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sheets/sheet30.xml" ContentType="application/vnd.openxmlformats-officedocument.spreadsheetml.worksheet+xml"/>
  <Override PartName="/xl/tables/table28.xml" ContentType="application/vnd.openxmlformats-officedocument.spreadsheetml.table+xml"/>
  <Override PartName="/xl/worksheets/sheet31.xml" ContentType="application/vnd.openxmlformats-officedocument.spreadsheetml.worksheet+xml"/>
  <Override PartName="/xl/tables/table29.xml" ContentType="application/vnd.openxmlformats-officedocument.spreadsheetml.table+xml"/>
  <Override PartName="/xl/worksheets/sheet32.xml" ContentType="application/vnd.openxmlformats-officedocument.spreadsheetml.worksheet+xml"/>
  <Override PartName="/xl/tables/table30.xml" ContentType="application/vnd.openxmlformats-officedocument.spreadsheetml.table+xml"/>
  <Override PartName="/xl/worksheets/sheet33.xml" ContentType="application/vnd.openxmlformats-officedocument.spreadsheetml.worksheet+xml"/>
  <Override PartName="/xl/tables/table31.xml" ContentType="application/vnd.openxmlformats-officedocument.spreadsheetml.table+xml"/>
  <Override PartName="/xl/worksheets/sheet34.xml" ContentType="application/vnd.openxmlformats-officedocument.spreadsheetml.worksheet+xml"/>
  <Override PartName="/xl/tables/table32.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worksheets/sheet39.xml" ContentType="application/vnd.openxmlformats-officedocument.spreadsheetml.worksheet+xml"/>
  <Override PartName="/xl/tables/table37.xml" ContentType="application/vnd.openxmlformats-officedocument.spreadsheetml.table+xml"/>
  <Override PartName="/xl/worksheets/sheet40.xml" ContentType="application/vnd.openxmlformats-officedocument.spreadsheetml.worksheet+xml"/>
  <Override PartName="/xl/tables/table38.xml" ContentType="application/vnd.openxmlformats-officedocument.spreadsheetml.table+xml"/>
  <Override PartName="/xl/worksheets/sheet41.xml" ContentType="application/vnd.openxmlformats-officedocument.spreadsheetml.worksheet+xml"/>
  <Override PartName="/xl/tables/table3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Catalogue" sheetId="1" state="visible" r:id="rId1"/>
    <sheet xmlns:r="http://schemas.openxmlformats.org/officeDocument/2006/relationships" name="Lists" sheetId="2" state="visible" r:id="rId2"/>
    <sheet xmlns:r="http://schemas.openxmlformats.org/officeDocument/2006/relationships" name="Dashboard" sheetId="3" state="visible" r:id="rId3"/>
    <sheet xmlns:r="http://schemas.openxmlformats.org/officeDocument/2006/relationships" name="Army Builder" sheetId="4" state="visible" r:id="rId4"/>
    <sheet xmlns:r="http://schemas.openxmlformats.org/officeDocument/2006/relationships" name="Collection Tracker" sheetId="5" state="visible" r:id="rId5"/>
    <sheet xmlns:r="http://schemas.openxmlformats.org/officeDocument/2006/relationships" name="Adepta Sororitas" sheetId="6" state="visible" r:id="rId6"/>
    <sheet xmlns:r="http://schemas.openxmlformats.org/officeDocument/2006/relationships" name="Adeptus Custodes" sheetId="7" state="visible" r:id="rId7"/>
    <sheet xmlns:r="http://schemas.openxmlformats.org/officeDocument/2006/relationships" name="Adeptus Mechanicus" sheetId="8" state="visible" r:id="rId8"/>
    <sheet xmlns:r="http://schemas.openxmlformats.org/officeDocument/2006/relationships" name="Aeldari" sheetId="9" state="visible" r:id="rId9"/>
    <sheet xmlns:r="http://schemas.openxmlformats.org/officeDocument/2006/relationships" name="Astra Militarum" sheetId="10" state="visible" r:id="rId10"/>
    <sheet xmlns:r="http://schemas.openxmlformats.org/officeDocument/2006/relationships" name="Black Templars" sheetId="11" state="visible" r:id="rId11"/>
    <sheet xmlns:r="http://schemas.openxmlformats.org/officeDocument/2006/relationships" name="Blood Angels" sheetId="12" state="visible" r:id="rId12"/>
    <sheet xmlns:r="http://schemas.openxmlformats.org/officeDocument/2006/relationships" name="Chaos Daemons" sheetId="13" state="visible" r:id="rId13"/>
    <sheet xmlns:r="http://schemas.openxmlformats.org/officeDocument/2006/relationships" name="Chaos Knights" sheetId="14" state="visible" r:id="rId14"/>
    <sheet xmlns:r="http://schemas.openxmlformats.org/officeDocument/2006/relationships" name="Chaos Space Marines" sheetId="15" state="visible" r:id="rId15"/>
    <sheet xmlns:r="http://schemas.openxmlformats.org/officeDocument/2006/relationships" name="Dark Angels" sheetId="16" state="visible" r:id="rId16"/>
    <sheet xmlns:r="http://schemas.openxmlformats.org/officeDocument/2006/relationships" name="Death Guard" sheetId="17" state="visible" r:id="rId17"/>
    <sheet xmlns:r="http://schemas.openxmlformats.org/officeDocument/2006/relationships" name="Deathwatch" sheetId="18" state="visible" r:id="rId18"/>
    <sheet xmlns:r="http://schemas.openxmlformats.org/officeDocument/2006/relationships" name="Drukhari" sheetId="19" state="visible" r:id="rId19"/>
    <sheet xmlns:r="http://schemas.openxmlformats.org/officeDocument/2006/relationships" name="Emperor's Children" sheetId="20" state="visible" r:id="rId20"/>
    <sheet xmlns:r="http://schemas.openxmlformats.org/officeDocument/2006/relationships" name="Genestealer Cults" sheetId="21" state="visible" r:id="rId21"/>
    <sheet xmlns:r="http://schemas.openxmlformats.org/officeDocument/2006/relationships" name="Grey Knights" sheetId="22" state="visible" r:id="rId22"/>
    <sheet xmlns:r="http://schemas.openxmlformats.org/officeDocument/2006/relationships" name="Harlequins" sheetId="23" state="visible" r:id="rId23"/>
    <sheet xmlns:r="http://schemas.openxmlformats.org/officeDocument/2006/relationships" name="Imperial Agents" sheetId="24" state="visible" r:id="rId24"/>
    <sheet xmlns:r="http://schemas.openxmlformats.org/officeDocument/2006/relationships" name="Imperial Knights" sheetId="25" state="visible" r:id="rId25"/>
    <sheet xmlns:r="http://schemas.openxmlformats.org/officeDocument/2006/relationships" name="Leagues of Votann" sheetId="26" state="visible" r:id="rId26"/>
    <sheet xmlns:r="http://schemas.openxmlformats.org/officeDocument/2006/relationships" name="Necrons" sheetId="27" state="visible" r:id="rId27"/>
    <sheet xmlns:r="http://schemas.openxmlformats.org/officeDocument/2006/relationships" name="Orks" sheetId="28" state="visible" r:id="rId28"/>
    <sheet xmlns:r="http://schemas.openxmlformats.org/officeDocument/2006/relationships" name="Space Marines" sheetId="29" state="visible" r:id="rId29"/>
    <sheet xmlns:r="http://schemas.openxmlformats.org/officeDocument/2006/relationships" name="Space Wolves" sheetId="30" state="visible" r:id="rId30"/>
    <sheet xmlns:r="http://schemas.openxmlformats.org/officeDocument/2006/relationships" name="T'au Empire" sheetId="31" state="visible" r:id="rId31"/>
    <sheet xmlns:r="http://schemas.openxmlformats.org/officeDocument/2006/relationships" name="Thousand Sons" sheetId="32" state="visible" r:id="rId32"/>
    <sheet xmlns:r="http://schemas.openxmlformats.org/officeDocument/2006/relationships" name="Tyranids" sheetId="33" state="visible" r:id="rId33"/>
    <sheet xmlns:r="http://schemas.openxmlformats.org/officeDocument/2006/relationships" name="World Eaters" sheetId="34" state="visible" r:id="rId34"/>
    <sheet xmlns:r="http://schemas.openxmlformats.org/officeDocument/2006/relationships" name="Sources &amp; Caveats" sheetId="35" state="visible" r:id="rId35"/>
    <sheet xmlns:r="http://schemas.openxmlformats.org/officeDocument/2006/relationships" name="Points Options" sheetId="36" state="visible" r:id="rId36"/>
    <sheet xmlns:r="http://schemas.openxmlformats.org/officeDocument/2006/relationships" name="Army Calculator" sheetId="37" state="visible" r:id="rId37"/>
    <sheet xmlns:r="http://schemas.openxmlformats.org/officeDocument/2006/relationships" name="Unmatched Units" sheetId="38" state="visible" r:id="rId38"/>
    <sheet xmlns:r="http://schemas.openxmlformats.org/officeDocument/2006/relationships" name="Adeptus Titanicus" sheetId="39" state="visible" r:id="rId39"/>
    <sheet xmlns:r="http://schemas.openxmlformats.org/officeDocument/2006/relationships" name="Chaos Titan Legions" sheetId="40" state="visible" r:id="rId40"/>
    <sheet xmlns:r="http://schemas.openxmlformats.org/officeDocument/2006/relationships" name="Current MFM Audit" sheetId="41" state="visible" r:id="rId41"/>
  </sheets>
  <definedNames/>
</workbook>
</file>

<file path=xl/styles.xml><?xml version="1.0" encoding="utf-8"?>
<styleSheet xmlns="http://schemas.openxmlformats.org/spreadsheetml/2006/main">
  <numFmts count="0"/>
  <fonts count="5">
    <font>
      <name val="Carlito"/>
      <sz val="11"/>
    </font>
    <font>
      <name val="Carlito"/>
      <b val="1"/>
      <color rgb="FFFFFFFF"/>
      <sz val="11"/>
    </font>
    <font>
      <name val="Carlito"/>
      <b val="1"/>
      <color rgb="FFFFFFFF"/>
      <sz val="16"/>
    </font>
    <font>
      <name val="Carlito"/>
      <b val="1"/>
      <sz val="11"/>
    </font>
    <font>
      <name val="Carlito"/>
      <b val="1"/>
      <color rgb="FFFFFFFF"/>
      <sz val="14"/>
    </font>
  </fonts>
  <fills count="8">
    <fill>
      <patternFill/>
    </fill>
    <fill>
      <patternFill patternType="gray125"/>
    </fill>
    <fill>
      <patternFill patternType="solid">
        <fgColor rgb="FF183A2E"/>
      </patternFill>
    </fill>
    <fill>
      <patternFill patternType="solid">
        <fgColor rgb="FFDDE7D6"/>
      </patternFill>
    </fill>
    <fill>
      <patternFill patternType="solid">
        <fgColor rgb="FF111827"/>
      </patternFill>
    </fill>
    <fill>
      <patternFill patternType="solid">
        <fgColor rgb="FFE5E7EB"/>
      </patternFill>
    </fill>
    <fill>
      <patternFill patternType="solid">
        <fgColor rgb="FF1F4E78"/>
      </patternFill>
    </fill>
    <fill>
      <patternFill patternType="solid">
        <fgColor rgb="FF5B9BD5"/>
      </patternFill>
    </fill>
  </fills>
  <borders count="2">
    <border/>
    <border/>
  </borders>
  <cellStyleXfs count="1">
    <xf numFmtId="0" fontId="0" fillId="0" borderId="1"/>
  </cellStyleXfs>
  <cellXfs count="8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 fontId="0" fillId="0" borderId="0" applyAlignment="1" pivotButton="0" quotePrefix="0" xfId="0">
      <alignment wrapText="1"/>
    </xf>
    <xf numFmtId="1" fontId="0" fillId="0" borderId="1" applyAlignment="1" pivotButton="0" quotePrefix="0" xfId="0">
      <alignment wrapText="1"/>
    </xf>
    <xf numFmtId="0" fontId="2" fillId="2" borderId="0" pivotButton="0" quotePrefix="0" xfId="0"/>
    <xf numFmtId="0" fontId="2" fillId="2" borderId="0" applyAlignment="1" pivotButton="0" quotePrefix="0" xfId="0">
      <alignment horizontal="center"/>
    </xf>
    <xf numFmtId="0" fontId="2" fillId="2" borderId="1" pivotButton="0" quotePrefix="0" xfId="0"/>
    <xf numFmtId="0" fontId="2" fillId="2" borderId="1" applyAlignment="1" pivotButton="0" quotePrefix="0" xfId="0">
      <alignment horizontal="center"/>
    </xf>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1" fontId="0" fillId="0" borderId="0" pivotButton="0" quotePrefix="0" xfId="0"/>
    <xf numFmtId="1" fontId="0" fillId="0" borderId="1" pivotButton="0" quotePrefix="0" xfId="0"/>
    <xf numFmtId="0" fontId="1" fillId="2" borderId="0" applyAlignment="1" pivotButton="0" quotePrefix="0" xfId="0">
      <alignment horizontal="center"/>
    </xf>
    <xf numFmtId="0" fontId="1" fillId="2" borderId="1" applyAlignment="1" pivotButton="0" quotePrefix="0" xfId="0">
      <alignment horizontal="center"/>
    </xf>
    <xf numFmtId="0" fontId="0" fillId="0" borderId="0" pivotButton="0" quotePrefix="0" xfId="0"/>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horizontal="center" wrapText="1"/>
    </xf>
    <xf numFmtId="0" fontId="1" fillId="4" borderId="0" applyAlignment="1" pivotButton="0" quotePrefix="0" xfId="0">
      <alignment horizontal="center" vertical="center" wrapText="1"/>
    </xf>
    <xf numFmtId="0" fontId="4" fillId="4" borderId="0" pivotButton="0" quotePrefix="0" xfId="0"/>
    <xf numFmtId="0" fontId="4" fillId="4" borderId="0" applyAlignment="1" pivotButton="0" quotePrefix="0" xfId="0">
      <alignment horizontal="center"/>
    </xf>
    <xf numFmtId="0" fontId="4" fillId="4" borderId="0" applyAlignment="1" pivotButton="0" quotePrefix="0" xfId="0">
      <alignment horizontal="center" vertical="center"/>
    </xf>
    <xf numFmtId="0" fontId="0" fillId="5" borderId="0" pivotButton="0" quotePrefix="0" xfId="0"/>
    <xf numFmtId="0" fontId="3" fillId="5" borderId="0" pivotButton="0" quotePrefix="0" xfId="0"/>
    <xf numFmtId="0" fontId="0" fillId="0" borderId="0" applyAlignment="1" pivotButton="0" quotePrefix="0" xfId="0">
      <alignment vertical="top" wrapText="1"/>
    </xf>
    <xf numFmtId="1" fontId="0" fillId="0" borderId="0" applyAlignment="1" pivotButton="0" quotePrefix="0" xfId="0">
      <alignment vertical="top" wrapText="1"/>
    </xf>
    <xf numFmtId="0" fontId="3" fillId="5" borderId="0" applyAlignment="1" pivotButton="0" quotePrefix="0" xfId="0">
      <alignment wrapText="1"/>
    </xf>
    <xf numFmtId="1" fontId="1" fillId="2" borderId="0" applyAlignment="1" pivotButton="0" quotePrefix="0" xfId="0">
      <alignment horizontal="center"/>
    </xf>
    <xf numFmtId="1" fontId="0" fillId="0" borderId="0" applyAlignment="1" pivotButton="0" quotePrefix="0" xfId="0">
      <alignment wrapText="1"/>
    </xf>
    <xf numFmtId="1" fontId="0" fillId="0" borderId="0" pivotButton="0" quotePrefix="0" xfId="0"/>
    <xf numFmtId="1" fontId="1" fillId="2" borderId="0" applyAlignment="1" pivotButton="0" quotePrefix="0" xfId="0">
      <alignment horizontal="center"/>
    </xf>
    <xf numFmtId="0" fontId="4" fillId="4" borderId="1" applyAlignment="1" pivotButton="0" quotePrefix="0" xfId="0">
      <alignment horizontal="center" vertical="center"/>
    </xf>
    <xf numFmtId="1" fontId="0" fillId="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0" borderId="0" applyAlignment="1" pivotButton="0" quotePrefix="0" xfId="0">
      <alignment wrapText="1"/>
    </xf>
    <xf numFmtId="1" fontId="0" fillId="0" borderId="0" applyAlignment="1" pivotButton="0" quotePrefix="0" xfId="0">
      <alignment wrapText="1"/>
    </xf>
    <xf numFmtId="0" fontId="2" fillId="2" borderId="0" pivotButton="0" quotePrefix="0" xfId="0"/>
    <xf numFmtId="0" fontId="2" fillId="2" borderId="0" applyAlignment="1" pivotButton="0" quotePrefix="0" xfId="0">
      <alignment horizontal="center"/>
    </xf>
    <xf numFmtId="0" fontId="0" fillId="3" borderId="0" pivotButton="0" quotePrefix="0" xfId="0"/>
    <xf numFmtId="0" fontId="3" fillId="3" borderId="0" pivotButton="0" quotePrefix="0" xfId="0"/>
    <xf numFmtId="1" fontId="0" fillId="0" borderId="0" pivotButton="0" quotePrefix="0" xfId="0"/>
    <xf numFmtId="0" fontId="1" fillId="2" borderId="0" applyAlignment="1" pivotButton="0" quotePrefix="0" xfId="0">
      <alignment horizontal="center"/>
    </xf>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horizontal="center" wrapText="1"/>
    </xf>
    <xf numFmtId="0" fontId="1" fillId="4" borderId="0" applyAlignment="1" pivotButton="0" quotePrefix="0" xfId="0">
      <alignment horizontal="center" vertical="center" wrapText="1"/>
    </xf>
    <xf numFmtId="0" fontId="4" fillId="4" borderId="0" pivotButton="0" quotePrefix="0" xfId="0"/>
    <xf numFmtId="0" fontId="4" fillId="4" borderId="0" applyAlignment="1" pivotButton="0" quotePrefix="0" xfId="0">
      <alignment horizontal="center"/>
    </xf>
    <xf numFmtId="0" fontId="4" fillId="4" borderId="0" applyAlignment="1" pivotButton="0" quotePrefix="0" xfId="0">
      <alignment horizontal="center" vertical="center"/>
    </xf>
    <xf numFmtId="0" fontId="0" fillId="5" borderId="0" pivotButton="0" quotePrefix="0" xfId="0"/>
    <xf numFmtId="0" fontId="3" fillId="5" borderId="0" pivotButton="0" quotePrefix="0" xfId="0"/>
    <xf numFmtId="0" fontId="0" fillId="0" borderId="0" applyAlignment="1" pivotButton="0" quotePrefix="0" xfId="0">
      <alignment vertical="top" wrapText="1"/>
    </xf>
    <xf numFmtId="1" fontId="0" fillId="0" borderId="0" applyAlignment="1" pivotButton="0" quotePrefix="0" xfId="0">
      <alignment vertical="top" wrapText="1"/>
    </xf>
    <xf numFmtId="0" fontId="3" fillId="5" borderId="0" applyAlignment="1" pivotButton="0" quotePrefix="0" xfId="0">
      <alignment wrapText="1"/>
    </xf>
    <xf numFmtId="1" fontId="1" fillId="2" borderId="0" applyAlignment="1" pivotButton="0" quotePrefix="0" xfId="0">
      <alignment horizontal="center"/>
    </xf>
    <xf numFmtId="0" fontId="0" fillId="6" borderId="0" pivotButton="0" quotePrefix="0" xfId="0"/>
    <xf numFmtId="0" fontId="1" fillId="6" borderId="0" pivotButton="0" quotePrefix="0" xfId="0"/>
    <xf numFmtId="0" fontId="1" fillId="6" borderId="0" applyAlignment="1" pivotButton="0" quotePrefix="0" xfId="0">
      <alignment horizontal="center"/>
    </xf>
    <xf numFmtId="0" fontId="1" fillId="6" borderId="0" applyAlignment="1" pivotButton="0" quotePrefix="0" xfId="0">
      <alignment horizontal="center" wrapText="1"/>
    </xf>
    <xf numFmtId="0" fontId="4" fillId="6" borderId="0" pivotButton="0" quotePrefix="0" xfId="0"/>
    <xf numFmtId="0" fontId="4" fillId="6" borderId="0" applyAlignment="1" pivotButton="0" quotePrefix="0" xfId="0">
      <alignment horizontal="center"/>
    </xf>
    <xf numFmtId="0" fontId="0" fillId="7" borderId="0" pivotButton="0" quotePrefix="0" xfId="0"/>
    <xf numFmtId="0" fontId="1" fillId="7" borderId="0" pivotButton="0" quotePrefix="0" xfId="0"/>
    <xf numFmtId="0" fontId="4" fillId="6" borderId="0" applyAlignment="1" pivotButton="0" quotePrefix="0" xfId="0">
      <alignment horizontal="center" wrapText="1"/>
    </xf>
    <xf numFmtId="0" fontId="4" fillId="6" borderId="1" applyAlignment="1" pivotButton="0" quotePrefix="0" xfId="0">
      <alignment horizont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tables/table1.xml><?xml version="1.0" encoding="utf-8"?>
<table xmlns="http://schemas.openxmlformats.org/spreadsheetml/2006/main" id="1" name="MasterCatalogue" displayName="MasterCatalogue" ref="A1:O1127"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xml><?xml version="1.0" encoding="utf-8"?>
<table xmlns="http://schemas.openxmlformats.org/spreadsheetml/2006/main" id="2" name="ArmyBuilder" displayName="ArmyBuilder" ref="A1:H201" headerRowCount="1">
  <tableColumns count="8">
    <tableColumn id="1" name="Roster Name"/>
    <tableColumn id="2" name="Faction"/>
    <tableColumn id="3" name="Unit Name"/>
    <tableColumn id="4" name="Quantity"/>
    <tableColumn id="5" name="Points Each"/>
    <tableColumn id="6" name="Line Total"/>
    <tableColumn id="7" name="Role"/>
    <tableColumn id="8" name="Notes"/>
  </tableColumns>
  <tableStyleInfo name="TableStyleMedium2" showRowStripes="1"/>
</table>
</file>

<file path=xl/tables/table3.xml><?xml version="1.0" encoding="utf-8"?>
<table xmlns="http://schemas.openxmlformats.org/spreadsheetml/2006/main" id="3" name="CollectionTracker" displayName="CollectionTracker" ref="A1:G820" headerRowCount="1">
  <tableColumns count="7">
    <tableColumn id="1" name="Faction"/>
    <tableColumn id="2" name="Unit Name"/>
    <tableColumn id="3" name="Owned Qty"/>
    <tableColumn id="4" name="Built Qty"/>
    <tableColumn id="5" name="Painted Qty"/>
    <tableColumn id="6" name="Target Qty"/>
    <tableColumn id="7" name="Gap"/>
  </tableColumns>
  <tableStyleInfo name="TableStyleMedium2" showRowStripes="1"/>
</table>
</file>

<file path=xl/tables/table4.xml><?xml version="1.0" encoding="utf-8"?>
<table xmlns="http://schemas.openxmlformats.org/spreadsheetml/2006/main" id="4" name="T_AdeptaSororitas" displayName="T_AdeptaSororitas" ref="A1:O37"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5.xml><?xml version="1.0" encoding="utf-8"?>
<table xmlns="http://schemas.openxmlformats.org/spreadsheetml/2006/main" id="5" name="T_AdeptusCustodes" displayName="T_AdeptusCustodes" ref="A1:O32"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6.xml><?xml version="1.0" encoding="utf-8"?>
<table xmlns="http://schemas.openxmlformats.org/spreadsheetml/2006/main" id="6" name="T_AdeptusMechanicus" displayName="T_AdeptusMechanicus" ref="A1:O38"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7.xml><?xml version="1.0" encoding="utf-8"?>
<table xmlns="http://schemas.openxmlformats.org/spreadsheetml/2006/main" id="7" name="T_Aeldari" displayName="T_Aeldari" ref="A1:O82"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8.xml><?xml version="1.0" encoding="utf-8"?>
<table xmlns="http://schemas.openxmlformats.org/spreadsheetml/2006/main" id="8" name="T_AstraMilitarum" displayName="T_AstraMilitarum" ref="A1:O81"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9.xml><?xml version="1.0" encoding="utf-8"?>
<table xmlns="http://schemas.openxmlformats.org/spreadsheetml/2006/main" id="9" name="T_BlackTemplars" displayName="T_BlackTemplars" ref="A1:O1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0.xml><?xml version="1.0" encoding="utf-8"?>
<table xmlns="http://schemas.openxmlformats.org/spreadsheetml/2006/main" id="10" name="T_BloodAngels" displayName="T_BloodAngels" ref="A1:O20"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1.xml><?xml version="1.0" encoding="utf-8"?>
<table xmlns="http://schemas.openxmlformats.org/spreadsheetml/2006/main" id="11" name="T_ChaosDaemons" displayName="T_ChaosDaemons" ref="A1:O5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2.xml><?xml version="1.0" encoding="utf-8"?>
<table xmlns="http://schemas.openxmlformats.org/spreadsheetml/2006/main" id="12" name="T_ChaosKnights" displayName="T_ChaosKnights" ref="A1:O21"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3.xml><?xml version="1.0" encoding="utf-8"?>
<table xmlns="http://schemas.openxmlformats.org/spreadsheetml/2006/main" id="13" name="T_ChaosSpaceMarines" displayName="T_ChaosSpaceMarines" ref="A1:O56"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4.xml><?xml version="1.0" encoding="utf-8"?>
<table xmlns="http://schemas.openxmlformats.org/spreadsheetml/2006/main" id="14" name="T_DarkAngels" displayName="T_DarkAngels" ref="A1:O21"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5.xml><?xml version="1.0" encoding="utf-8"?>
<table xmlns="http://schemas.openxmlformats.org/spreadsheetml/2006/main" id="15" name="T_DeathGuard" displayName="T_DeathGuard" ref="A1:O46"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6.xml><?xml version="1.0" encoding="utf-8"?>
<table xmlns="http://schemas.openxmlformats.org/spreadsheetml/2006/main" id="16" name="T_Deathwatch" displayName="T_Deathwatch" ref="A1:O1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7.xml><?xml version="1.0" encoding="utf-8"?>
<table xmlns="http://schemas.openxmlformats.org/spreadsheetml/2006/main" id="17" name="T_Drukhari" displayName="T_Drukhari" ref="A1:O31"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8.xml><?xml version="1.0" encoding="utf-8"?>
<table xmlns="http://schemas.openxmlformats.org/spreadsheetml/2006/main" id="18" name="T_EmperorsChildren" displayName="T_EmperorsChildren" ref="A1:O2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19.xml><?xml version="1.0" encoding="utf-8"?>
<table xmlns="http://schemas.openxmlformats.org/spreadsheetml/2006/main" id="19" name="T_GenestealerCults" displayName="T_GenestealerCults" ref="A1:O2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0.xml><?xml version="1.0" encoding="utf-8"?>
<table xmlns="http://schemas.openxmlformats.org/spreadsheetml/2006/main" id="20" name="T_GreyKnights" displayName="T_GreyKnights" ref="A1:O30"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1.xml><?xml version="1.0" encoding="utf-8"?>
<table xmlns="http://schemas.openxmlformats.org/spreadsheetml/2006/main" id="21" name="T_Harlequins" displayName="T_Harlequins" ref="A1:O9"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2.xml><?xml version="1.0" encoding="utf-8"?>
<table xmlns="http://schemas.openxmlformats.org/spreadsheetml/2006/main" id="22" name="T_ImperialAgents" displayName="T_ImperialAgents" ref="A1:O30"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3.xml><?xml version="1.0" encoding="utf-8"?>
<table xmlns="http://schemas.openxmlformats.org/spreadsheetml/2006/main" id="23" name="T_ImperialKnights" displayName="T_ImperialKnights" ref="A1:O2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4.xml><?xml version="1.0" encoding="utf-8"?>
<table xmlns="http://schemas.openxmlformats.org/spreadsheetml/2006/main" id="24" name="T_LeaguesofVotann" displayName="T_LeaguesofVotann" ref="A1:O2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5.xml><?xml version="1.0" encoding="utf-8"?>
<table xmlns="http://schemas.openxmlformats.org/spreadsheetml/2006/main" id="25" name="T_Necrons" displayName="T_Necrons" ref="A1:O5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6.xml><?xml version="1.0" encoding="utf-8"?>
<table xmlns="http://schemas.openxmlformats.org/spreadsheetml/2006/main" id="26" name="T_Orks" displayName="T_Orks" ref="A1:O6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7.xml><?xml version="1.0" encoding="utf-8"?>
<table xmlns="http://schemas.openxmlformats.org/spreadsheetml/2006/main" id="27" name="T_SpaceMarines" displayName="T_SpaceMarines" ref="A1:O106"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8.xml><?xml version="1.0" encoding="utf-8"?>
<table xmlns="http://schemas.openxmlformats.org/spreadsheetml/2006/main" id="28" name="T_SpaceWolves" displayName="T_SpaceWolves" ref="A1:O3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29.xml><?xml version="1.0" encoding="utf-8"?>
<table xmlns="http://schemas.openxmlformats.org/spreadsheetml/2006/main" id="29" name="T_TauEmpire" displayName="T_TauEmpire" ref="A1:O46"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0.xml><?xml version="1.0" encoding="utf-8"?>
<table xmlns="http://schemas.openxmlformats.org/spreadsheetml/2006/main" id="30" name="T_ThousandSons" displayName="T_ThousandSons" ref="A1:O40"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1.xml><?xml version="1.0" encoding="utf-8"?>
<table xmlns="http://schemas.openxmlformats.org/spreadsheetml/2006/main" id="31" name="T_Tyranids" displayName="T_Tyranids" ref="A1:O53"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2.xml><?xml version="1.0" encoding="utf-8"?>
<table xmlns="http://schemas.openxmlformats.org/spreadsheetml/2006/main" id="32" name="T_WorldEaters" displayName="T_WorldEaters" ref="A1:O38"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3.xml><?xml version="1.0" encoding="utf-8"?>
<table xmlns="http://schemas.openxmlformats.org/spreadsheetml/2006/main" id="33" name="PointsOptionsTable" displayName="PointsOptionsTable" ref="A1:H1268" headerRowCount="1">
  <tableColumns count="8">
    <tableColumn id="1" name="Faction"/>
    <tableColumn id="2" name="Unit Name"/>
    <tableColumn id="3" name="Models"/>
    <tableColumn id="4" name="Points"/>
    <tableColumn id="5" name="Option Label"/>
    <tableColumn id="6" name="Lookup Points"/>
    <tableColumn id="7" name="PDF Page"/>
    <tableColumn id="8" name="Source"/>
  </tableColumns>
  <tableStyleInfo name="TableStyleMedium2" showRowStripes="1"/>
</table>
</file>

<file path=xl/tables/table34.xml><?xml version="1.0" encoding="utf-8"?>
<table xmlns="http://schemas.openxmlformats.org/spreadsheetml/2006/main" id="34" name="ArmyCalculatorTable" displayName="ArmyCalculatorTable" ref="A3:K203" headerRowCount="1">
  <tableColumns count="11">
    <tableColumn id="1" name="Slot"/>
    <tableColumn id="2" name="Unit Option"/>
    <tableColumn id="3" name="Faction"/>
    <tableColumn id="4" name="Unit Name"/>
    <tableColumn id="5" name="Models"/>
    <tableColumn id="6" name="Points Each"/>
    <tableColumn id="7" name="Quantity"/>
    <tableColumn id="8" name="Line Total"/>
    <tableColumn id="9" name="Notes"/>
    <tableColumn id="10" name="PDF Page"/>
    <tableColumn id="11" name="Source"/>
  </tableColumns>
  <tableStyleInfo name="TableStyleMedium2" showRowStripes="1"/>
</table>
</file>

<file path=xl/tables/table35.xml><?xml version="1.0" encoding="utf-8"?>
<table xmlns="http://schemas.openxmlformats.org/spreadsheetml/2006/main" id="35" name="UnmatchedUnitsTable" displayName="UnmatchedUnitsTable" ref="A1:D1" headerRowCount="1">
  <tableColumns count="4">
    <tableColumn id="1" name="Master Row"/>
    <tableColumn id="2" name="Faction"/>
    <tableColumn id="3" name="Unit Name"/>
    <tableColumn id="4" name="Reason"/>
  </tableColumns>
  <tableStyleInfo name="TableStyleMedium2" showRowStripes="1"/>
</table>
</file>

<file path=xl/tables/table36.xml><?xml version="1.0" encoding="utf-8"?>
<table xmlns="http://schemas.openxmlformats.org/spreadsheetml/2006/main" id="36" name="UnmatchedUnitsTable_table36" displayName="UnmatchedUnitsTable_table36" ref="A1:D52" headerRowCount="1">
  <tableColumns count="4">
    <tableColumn id="1" name="Master Row"/>
    <tableColumn id="2" name="Faction"/>
    <tableColumn id="3" name="Unit Name"/>
    <tableColumn id="4" name="Reason"/>
  </tableColumns>
  <tableStyleInfo name="TableStyleMedium2" showRowStripes="1"/>
</table>
</file>

<file path=xl/tables/table37.xml><?xml version="1.0" encoding="utf-8"?>
<table xmlns="http://schemas.openxmlformats.org/spreadsheetml/2006/main" id="37" name="AdeptusTitanicusTable" displayName="AdeptusTitanicusTable" ref="A1:O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8.xml><?xml version="1.0" encoding="utf-8"?>
<table xmlns="http://schemas.openxmlformats.org/spreadsheetml/2006/main" id="38" name="ChaosTitanLegionsTable" displayName="ChaosTitanLegionsTable" ref="A1:O5" headerRowCount="1">
  <tableColumns count="15">
    <tableColumn id="1" name="Faction"/>
    <tableColumn id="2" name="Subfaction/Chapter"/>
    <tableColumn id="3" name="Battlefield Role"/>
    <tableColumn id="4" name="Unit Type"/>
    <tableColumn id="5" name="Unit Name"/>
    <tableColumn id="6" name="Models"/>
    <tableColumn id="7" name="Keywords / Tags"/>
    <tableColumn id="8" name="Owned?"/>
    <tableColumn id="9" name="Built?"/>
    <tableColumn id="10" name="Paint Status"/>
    <tableColumn id="11" name="Wishlist Priority"/>
    <tableColumn id="12" name="Points"/>
    <tableColumn id="13" name="Notes"/>
    <tableColumn id="14" name="Verification Status"/>
    <tableColumn id="15" name="Source URL"/>
  </tableColumns>
  <tableStyleInfo name="TableStyleMedium2" showRowStripes="1"/>
</table>
</file>

<file path=xl/tables/table39.xml><?xml version="1.0" encoding="utf-8"?>
<table xmlns="http://schemas.openxmlformats.org/spreadsheetml/2006/main" id="39" name="CurrentMFMAuditTable" displayName="CurrentMFMAuditTable" ref="A6:F313" headerRowCount="1">
  <tableColumns count="6">
    <tableColumn id="1" name="Faction"/>
    <tableColumn id="2" name="Unit Name"/>
    <tableColumn id="3" name="Models"/>
    <tableColumn id="4" name="Base Points"/>
    <tableColumn id="5" name="Subfaction/Chapter"/>
    <tableColumn id="6" name="Action"/>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5.xml.rels><Relationships xmlns="http://schemas.openxmlformats.org/package/2006/relationships"><Relationship Type="http://schemas.openxmlformats.org/officeDocument/2006/relationships/table" Target="/xl/tables/table23.xml" Id="rId1"/></Relationships>
</file>

<file path=xl/worksheets/_rels/sheet26.xml.rels><Relationships xmlns="http://schemas.openxmlformats.org/package/2006/relationships"><Relationship Type="http://schemas.openxmlformats.org/officeDocument/2006/relationships/table" Target="/xl/tables/table24.xml" Id="rId1"/></Relationships>
</file>

<file path=xl/worksheets/_rels/sheet27.xml.rels><Relationships xmlns="http://schemas.openxmlformats.org/package/2006/relationships"><Relationship Type="http://schemas.openxmlformats.org/officeDocument/2006/relationships/table" Target="/xl/tables/table25.xml" Id="rId1"/></Relationships>
</file>

<file path=xl/worksheets/_rels/sheet28.xml.rels><Relationships xmlns="http://schemas.openxmlformats.org/package/2006/relationships"><Relationship Type="http://schemas.openxmlformats.org/officeDocument/2006/relationships/table" Target="/xl/tables/table26.xml" Id="rId1"/></Relationships>
</file>

<file path=xl/worksheets/_rels/sheet29.xml.rels><Relationships xmlns="http://schemas.openxmlformats.org/package/2006/relationships"><Relationship Type="http://schemas.openxmlformats.org/officeDocument/2006/relationships/table" Target="/xl/tables/table27.xml" Id="rId1"/></Relationships>
</file>

<file path=xl/worksheets/_rels/sheet30.xml.rels><Relationships xmlns="http://schemas.openxmlformats.org/package/2006/relationships"><Relationship Type="http://schemas.openxmlformats.org/officeDocument/2006/relationships/table" Target="/xl/tables/table28.xml" Id="rId1"/></Relationships>
</file>

<file path=xl/worksheets/_rels/sheet31.xml.rels><Relationships xmlns="http://schemas.openxmlformats.org/package/2006/relationships"><Relationship Type="http://schemas.openxmlformats.org/officeDocument/2006/relationships/table" Target="/xl/tables/table29.xml" Id="rId1"/></Relationships>
</file>

<file path=xl/worksheets/_rels/sheet32.xml.rels><Relationships xmlns="http://schemas.openxmlformats.org/package/2006/relationships"><Relationship Type="http://schemas.openxmlformats.org/officeDocument/2006/relationships/table" Target="/xl/tables/table30.xml" Id="rId1"/></Relationships>
</file>

<file path=xl/worksheets/_rels/sheet33.xml.rels><Relationships xmlns="http://schemas.openxmlformats.org/package/2006/relationships"><Relationship Type="http://schemas.openxmlformats.org/officeDocument/2006/relationships/table" Target="/xl/tables/table31.xml" Id="rId1"/></Relationships>
</file>

<file path=xl/worksheets/_rels/sheet34.xml.rels><Relationships xmlns="http://schemas.openxmlformats.org/package/2006/relationships"><Relationship Type="http://schemas.openxmlformats.org/officeDocument/2006/relationships/table" Target="/xl/tables/table32.xml" Id="rId1"/></Relationships>
</file>

<file path=xl/worksheets/_rels/sheet36.xml.rels><Relationships xmlns="http://schemas.openxmlformats.org/package/2006/relationships"><Relationship Type="http://schemas.openxmlformats.org/officeDocument/2006/relationships/table" Target="/xl/tables/table33.xml" Id="rId1"/></Relationships>
</file>

<file path=xl/worksheets/_rels/sheet37.xml.rels><Relationships xmlns="http://schemas.openxmlformats.org/package/2006/relationships"><Relationship Type="http://schemas.openxmlformats.org/officeDocument/2006/relationships/table" Target="/xl/tables/table34.xml" Id="rId1"/></Relationships>
</file>

<file path=xl/worksheets/_rels/sheet38.xml.rels><Relationships xmlns="http://schemas.openxmlformats.org/package/2006/relationships"><Relationship Type="http://schemas.openxmlformats.org/officeDocument/2006/relationships/table" Target="/xl/tables/table35.xml" Id="rId1"/><Relationship Type="http://schemas.openxmlformats.org/officeDocument/2006/relationships/table" Target="/xl/tables/table36.xml" Id="rId2"/></Relationships>
</file>

<file path=xl/worksheets/_rels/sheet39.xml.rels><Relationships xmlns="http://schemas.openxmlformats.org/package/2006/relationships"><Relationship Type="http://schemas.openxmlformats.org/officeDocument/2006/relationships/table" Target="/xl/tables/table37.xml" Id="rId1"/></Relationships>
</file>

<file path=xl/worksheets/_rels/sheet40.xml.rels><Relationships xmlns="http://schemas.openxmlformats.org/package/2006/relationships"><Relationship Type="http://schemas.openxmlformats.org/officeDocument/2006/relationships/table" Target="/xl/tables/table38.xml" Id="rId1"/></Relationships>
</file>

<file path=xl/worksheets/_rels/sheet41.xml.rels><Relationships xmlns="http://schemas.openxmlformats.org/package/2006/relationships"><Relationship Type="http://schemas.openxmlformats.org/officeDocument/2006/relationships/table" Target="/xl/tables/table39.xml" Id="rId1"/></Relationships>
</file>

<file path=xl/worksheets/sheet1.xml><?xml version="1.0" encoding="utf-8"?>
<worksheet xmlns="http://schemas.openxmlformats.org/spreadsheetml/2006/main">
  <sheetPr>
    <outlinePr summaryBelow="1" summaryRight="1"/>
    <pageSetUpPr/>
  </sheetPr>
  <dimension ref="A1:O1127"/>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53" t="inlineStr">
        <is>
          <t>Faction</t>
        </is>
      </c>
      <c r="B1" s="53" t="inlineStr">
        <is>
          <t>Subfaction/Chapter</t>
        </is>
      </c>
      <c r="C1" s="53" t="inlineStr">
        <is>
          <t>Battlefield Role</t>
        </is>
      </c>
      <c r="D1" s="53" t="inlineStr">
        <is>
          <t>Unit Type</t>
        </is>
      </c>
      <c r="E1" s="53" t="inlineStr">
        <is>
          <t>Unit Name</t>
        </is>
      </c>
      <c r="F1" s="53" t="inlineStr">
        <is>
          <t>Models</t>
        </is>
      </c>
      <c r="G1" s="53" t="inlineStr">
        <is>
          <t>Keywords / Tags</t>
        </is>
      </c>
      <c r="H1" s="53" t="inlineStr">
        <is>
          <t>Owned?</t>
        </is>
      </c>
      <c r="I1" s="53" t="inlineStr">
        <is>
          <t>Built?</t>
        </is>
      </c>
      <c r="J1" s="53" t="inlineStr">
        <is>
          <t>Paint Status</t>
        </is>
      </c>
      <c r="K1" s="53" t="inlineStr">
        <is>
          <t>Wishlist Priority</t>
        </is>
      </c>
      <c r="L1" s="53" t="inlineStr">
        <is>
          <t>Points</t>
        </is>
      </c>
      <c r="M1" s="53" t="inlineStr">
        <is>
          <t>Notes</t>
        </is>
      </c>
      <c r="N1" s="53" t="inlineStr">
        <is>
          <t>Verification Status</t>
        </is>
      </c>
      <c r="O1" s="53" t="inlineStr">
        <is>
          <t>Source URL</t>
        </is>
      </c>
    </row>
    <row r="2">
      <c r="A2" s="54" t="inlineStr">
        <is>
          <t>Salamanders</t>
        </is>
      </c>
      <c r="B2" s="54" t="inlineStr">
        <is>
          <t>Salamanders</t>
        </is>
      </c>
      <c r="C2" s="54" t="inlineStr">
        <is>
          <t>Infantry / Other</t>
        </is>
      </c>
      <c r="D2" s="54" t="inlineStr">
        <is>
          <t>Infantry</t>
        </is>
      </c>
      <c r="E2" s="54" t="inlineStr">
        <is>
          <t>Adrax Agatone</t>
        </is>
      </c>
      <c r="F2" s="54" t="inlineStr">
        <is>
          <t>1 model</t>
        </is>
      </c>
      <c r="G2" s="54" t="inlineStr">
        <is>
          <t>Infantry</t>
        </is>
      </c>
      <c r="H2" s="54" t="str"/>
      <c r="I2" s="54" t="str"/>
      <c r="J2" s="54" t="str"/>
      <c r="K2" s="54" t="str"/>
      <c r="L2" s="55" t="n">
        <v>85</v>
      </c>
      <c r="M2" s="54" t="str"/>
      <c r="N2" s="54" t="inlineStr">
        <is>
          <t>Matched to Munitorum Field Manual v2.3</t>
        </is>
      </c>
      <c r="O2" s="54" t="inlineStr">
        <is>
          <t>Uploaded PDF: Munitorum Field Manual v2.3 / March 2025, p.31</t>
        </is>
      </c>
    </row>
    <row r="3">
      <c r="A3" s="54" t="inlineStr">
        <is>
          <t>Space Marines</t>
        </is>
      </c>
      <c r="B3" s="54" t="inlineStr">
        <is>
          <t>Space Marines</t>
        </is>
      </c>
      <c r="C3" s="54" t="inlineStr">
        <is>
          <t>Infantry / Other</t>
        </is>
      </c>
      <c r="D3" s="54" t="inlineStr">
        <is>
          <t>Infantry</t>
        </is>
      </c>
      <c r="E3" s="54" t="inlineStr">
        <is>
          <t>Aggressor Squad</t>
        </is>
      </c>
      <c r="F3" s="54" t="inlineStr">
        <is>
          <t>3 models</t>
        </is>
      </c>
      <c r="G3" s="54" t="inlineStr">
        <is>
          <t>Infantry</t>
        </is>
      </c>
      <c r="H3" s="54" t="str"/>
      <c r="I3" s="54" t="str"/>
      <c r="J3" s="54" t="str"/>
      <c r="K3" s="54" t="str"/>
      <c r="L3" s="55" t="n">
        <v>120</v>
      </c>
      <c r="M3" s="54" t="inlineStr">
        <is>
          <t>Points options: 3 models = 120 pts; 6 models = 240 pts</t>
        </is>
      </c>
      <c r="N3" s="54" t="inlineStr">
        <is>
          <t>Matched to Munitorum Field Manual v2.3</t>
        </is>
      </c>
      <c r="O3" s="54" t="inlineStr">
        <is>
          <t>Uploaded PDF: Munitorum Field Manual v2.3 / March 2025, p.31</t>
        </is>
      </c>
    </row>
    <row r="4">
      <c r="A4" s="54" t="inlineStr">
        <is>
          <t>Space Marines</t>
        </is>
      </c>
      <c r="B4" s="54" t="inlineStr">
        <is>
          <t>Space Marines</t>
        </is>
      </c>
      <c r="C4" s="54" t="inlineStr">
        <is>
          <t>Character</t>
        </is>
      </c>
      <c r="D4" s="54" t="inlineStr">
        <is>
          <t>Character</t>
        </is>
      </c>
      <c r="E4" s="54" t="inlineStr">
        <is>
          <t>Ancient</t>
        </is>
      </c>
      <c r="F4" s="54" t="inlineStr">
        <is>
          <t>1 model</t>
        </is>
      </c>
      <c r="G4" s="54" t="inlineStr">
        <is>
          <t>Character</t>
        </is>
      </c>
      <c r="H4" s="54" t="str"/>
      <c r="I4" s="54" t="str"/>
      <c r="J4" s="54" t="str"/>
      <c r="K4" s="54" t="str"/>
      <c r="L4" s="55" t="n">
        <v>50</v>
      </c>
      <c r="M4" s="54" t="str"/>
      <c r="N4" s="54" t="inlineStr">
        <is>
          <t>Matched to Munitorum Field Manual v2.3</t>
        </is>
      </c>
      <c r="O4" s="54" t="inlineStr">
        <is>
          <t>Uploaded PDF: Munitorum Field Manual v2.3 / March 2025, p.31</t>
        </is>
      </c>
    </row>
    <row r="5">
      <c r="A5" s="54" t="inlineStr">
        <is>
          <t>Space Marines</t>
        </is>
      </c>
      <c r="B5" s="54" t="inlineStr">
        <is>
          <t>Space Marines</t>
        </is>
      </c>
      <c r="C5" s="54" t="inlineStr">
        <is>
          <t>Character</t>
        </is>
      </c>
      <c r="D5" s="54" t="inlineStr">
        <is>
          <t>Character</t>
        </is>
      </c>
      <c r="E5" s="54" t="inlineStr">
        <is>
          <t>Apothecary</t>
        </is>
      </c>
      <c r="F5" s="54" t="inlineStr">
        <is>
          <t>1 model</t>
        </is>
      </c>
      <c r="G5" s="54" t="inlineStr">
        <is>
          <t>Character</t>
        </is>
      </c>
      <c r="H5" s="54" t="str"/>
      <c r="I5" s="54" t="str"/>
      <c r="J5" s="54" t="str"/>
      <c r="K5" s="54" t="str"/>
      <c r="L5" s="55" t="n">
        <v>50</v>
      </c>
      <c r="M5" s="54" t="str"/>
      <c r="N5" s="54" t="inlineStr">
        <is>
          <t>Matched to Munitorum Field Manual v2.3</t>
        </is>
      </c>
      <c r="O5" s="54" t="inlineStr">
        <is>
          <t>Uploaded PDF: Munitorum Field Manual v2.3 / March 2025, p.31</t>
        </is>
      </c>
    </row>
    <row r="6">
      <c r="A6" s="54" t="inlineStr">
        <is>
          <t>Space Marines</t>
        </is>
      </c>
      <c r="B6" s="54" t="inlineStr">
        <is>
          <t>Space Marines</t>
        </is>
      </c>
      <c r="C6" s="54" t="inlineStr">
        <is>
          <t>Character</t>
        </is>
      </c>
      <c r="D6" s="54" t="inlineStr">
        <is>
          <t>Character</t>
        </is>
      </c>
      <c r="E6" s="54" t="inlineStr">
        <is>
          <t>Apothecary Biologis</t>
        </is>
      </c>
      <c r="F6" s="54" t="inlineStr">
        <is>
          <t>1 model</t>
        </is>
      </c>
      <c r="G6" s="54" t="inlineStr">
        <is>
          <t>Character</t>
        </is>
      </c>
      <c r="H6" s="54" t="str"/>
      <c r="I6" s="54" t="str"/>
      <c r="J6" s="54" t="str"/>
      <c r="K6" s="54" t="str"/>
      <c r="L6" s="55" t="n">
        <v>70</v>
      </c>
      <c r="M6" s="54" t="str"/>
      <c r="N6" s="54" t="inlineStr">
        <is>
          <t>Matched to Munitorum Field Manual v2.3</t>
        </is>
      </c>
      <c r="O6" s="54" t="inlineStr">
        <is>
          <t>Uploaded PDF: Munitorum Field Manual v2.3 / March 2025, p.31</t>
        </is>
      </c>
    </row>
    <row r="7">
      <c r="A7" s="54" t="inlineStr">
        <is>
          <t>Space Marines</t>
        </is>
      </c>
      <c r="B7" s="54" t="inlineStr">
        <is>
          <t>Space Marines</t>
        </is>
      </c>
      <c r="C7" s="54" t="inlineStr">
        <is>
          <t>Battleline / Core</t>
        </is>
      </c>
      <c r="D7" s="54" t="inlineStr">
        <is>
          <t>Infantry</t>
        </is>
      </c>
      <c r="E7" s="54" t="inlineStr">
        <is>
          <t>Assault Intercessor Squad</t>
        </is>
      </c>
      <c r="F7" s="54" t="inlineStr">
        <is>
          <t>5 models</t>
        </is>
      </c>
      <c r="G7" s="54" t="inlineStr">
        <is>
          <t>Infantry</t>
        </is>
      </c>
      <c r="H7" s="54" t="str"/>
      <c r="I7" s="54" t="str"/>
      <c r="J7" s="54" t="str"/>
      <c r="K7" s="54" t="str"/>
      <c r="L7" s="55" t="n">
        <v>75</v>
      </c>
      <c r="M7" s="54" t="inlineStr">
        <is>
          <t>Points options: 5 models = 75 pts; 10 models = 150 pts</t>
        </is>
      </c>
      <c r="N7" s="54" t="inlineStr">
        <is>
          <t>Matched to Munitorum Field Manual v2.3</t>
        </is>
      </c>
      <c r="O7" s="54" t="inlineStr">
        <is>
          <t>Uploaded PDF: Munitorum Field Manual v2.3 / March 2025, p.31</t>
        </is>
      </c>
    </row>
    <row r="8">
      <c r="A8" s="54" t="inlineStr">
        <is>
          <t>Space Marines</t>
        </is>
      </c>
      <c r="B8" s="54" t="inlineStr">
        <is>
          <t>Space Marines</t>
        </is>
      </c>
      <c r="C8" s="54" t="inlineStr">
        <is>
          <t>Infantry / Other</t>
        </is>
      </c>
      <c r="D8" s="54" t="inlineStr">
        <is>
          <t>Infantry</t>
        </is>
      </c>
      <c r="E8" s="54" t="inlineStr">
        <is>
          <t>Assault Intercessors with Jump Packs</t>
        </is>
      </c>
      <c r="F8" s="54" t="inlineStr">
        <is>
          <t>5 models</t>
        </is>
      </c>
      <c r="G8" s="54" t="inlineStr">
        <is>
          <t>Infantry</t>
        </is>
      </c>
      <c r="H8" s="54" t="str"/>
      <c r="I8" s="54" t="str"/>
      <c r="J8" s="54" t="str"/>
      <c r="K8" s="54" t="str"/>
      <c r="L8" s="55" t="n">
        <v>90</v>
      </c>
      <c r="M8" s="54" t="inlineStr">
        <is>
          <t>Points options: 5 models = 90 pts; 10 models = 160 pts</t>
        </is>
      </c>
      <c r="N8" s="54" t="inlineStr">
        <is>
          <t>Matched to Munitorum Field Manual v2.3</t>
        </is>
      </c>
      <c r="O8" s="54" t="inlineStr">
        <is>
          <t>Uploaded PDF: Munitorum Field Manual v2.3 / March 2025, p.31</t>
        </is>
      </c>
    </row>
    <row r="9">
      <c r="A9" s="54" t="inlineStr">
        <is>
          <t>Space Marines</t>
        </is>
      </c>
      <c r="B9" s="54" t="inlineStr">
        <is>
          <t>Space Marines</t>
        </is>
      </c>
      <c r="C9" s="54" t="inlineStr">
        <is>
          <t>Vehicle / Support</t>
        </is>
      </c>
      <c r="D9" s="54" t="inlineStr">
        <is>
          <t>Walker / Battlesuit</t>
        </is>
      </c>
      <c r="E9" s="54" t="inlineStr">
        <is>
          <t>Ballistus Dreadnought</t>
        </is>
      </c>
      <c r="F9" s="54" t="inlineStr">
        <is>
          <t>1 model</t>
        </is>
      </c>
      <c r="G9" s="54" t="inlineStr">
        <is>
          <t>Walker / Battlesuit</t>
        </is>
      </c>
      <c r="H9" s="54" t="str"/>
      <c r="I9" s="54" t="str"/>
      <c r="J9" s="54" t="str"/>
      <c r="K9" s="54" t="str"/>
      <c r="L9" s="55" t="n">
        <v>140</v>
      </c>
      <c r="M9" s="54" t="str"/>
      <c r="N9" s="54" t="inlineStr">
        <is>
          <t>Matched to Munitorum Field Manual v2.3</t>
        </is>
      </c>
      <c r="O9" s="54" t="inlineStr">
        <is>
          <t>Uploaded PDF: Munitorum Field Manual v2.3 / March 2025, p.31</t>
        </is>
      </c>
    </row>
    <row r="10">
      <c r="A10" s="54" t="inlineStr">
        <is>
          <t>Space Marines</t>
        </is>
      </c>
      <c r="B10" s="54" t="inlineStr">
        <is>
          <t>Space Marines</t>
        </is>
      </c>
      <c r="C10" s="54" t="inlineStr">
        <is>
          <t>Character</t>
        </is>
      </c>
      <c r="D10" s="54" t="inlineStr">
        <is>
          <t>Character</t>
        </is>
      </c>
      <c r="E10" s="54" t="inlineStr">
        <is>
          <t>Bladeguard Ancient</t>
        </is>
      </c>
      <c r="F10" s="54" t="inlineStr">
        <is>
          <t>1 model</t>
        </is>
      </c>
      <c r="G10" s="54" t="inlineStr">
        <is>
          <t>Character</t>
        </is>
      </c>
      <c r="H10" s="54" t="str"/>
      <c r="I10" s="54" t="str"/>
      <c r="J10" s="54" t="str"/>
      <c r="K10" s="54" t="str"/>
      <c r="L10" s="55" t="n">
        <v>45</v>
      </c>
      <c r="M10" s="54" t="str"/>
      <c r="N10" s="54" t="inlineStr">
        <is>
          <t>Matched to Munitorum Field Manual v2.3</t>
        </is>
      </c>
      <c r="O10" s="54" t="inlineStr">
        <is>
          <t>Uploaded PDF: Munitorum Field Manual v2.3 / March 2025, p.31</t>
        </is>
      </c>
    </row>
    <row r="11">
      <c r="A11" s="54" t="inlineStr">
        <is>
          <t>Space Marines</t>
        </is>
      </c>
      <c r="B11" s="54" t="inlineStr">
        <is>
          <t>Space Marines</t>
        </is>
      </c>
      <c r="C11" s="54" t="inlineStr">
        <is>
          <t>Infantry / Other</t>
        </is>
      </c>
      <c r="D11" s="54" t="inlineStr">
        <is>
          <t>Infantry</t>
        </is>
      </c>
      <c r="E11" s="54" t="inlineStr">
        <is>
          <t>Bladeguard Veteran Squad</t>
        </is>
      </c>
      <c r="F11" s="54" t="inlineStr">
        <is>
          <t>3 models</t>
        </is>
      </c>
      <c r="G11" s="54" t="inlineStr">
        <is>
          <t>Infantry</t>
        </is>
      </c>
      <c r="H11" s="54" t="str"/>
      <c r="I11" s="54" t="str"/>
      <c r="J11" s="54" t="str"/>
      <c r="K11" s="54" t="str"/>
      <c r="L11" s="55" t="n">
        <v>80</v>
      </c>
      <c r="M11" s="54" t="inlineStr">
        <is>
          <t>Points options: 3 models = 80 pts; 6 models = 160 pts</t>
        </is>
      </c>
      <c r="N11" s="54" t="inlineStr">
        <is>
          <t>Matched to Munitorum Field Manual v2.3</t>
        </is>
      </c>
      <c r="O11" s="54" t="inlineStr">
        <is>
          <t>Uploaded PDF: Munitorum Field Manual v2.3 / March 2025, p.31</t>
        </is>
      </c>
    </row>
    <row r="12">
      <c r="A12" s="54" t="inlineStr">
        <is>
          <t>Space Marines</t>
        </is>
      </c>
      <c r="B12" s="54" t="inlineStr">
        <is>
          <t>Space Marines</t>
        </is>
      </c>
      <c r="C12" s="54" t="inlineStr">
        <is>
          <t>Vehicle / Support</t>
        </is>
      </c>
      <c r="D12" s="54" t="inlineStr">
        <is>
          <t>Walker / Battlesuit</t>
        </is>
      </c>
      <c r="E12" s="54" t="inlineStr">
        <is>
          <t>Brutalis Dreadnought</t>
        </is>
      </c>
      <c r="F12" s="54" t="inlineStr">
        <is>
          <t>1 model</t>
        </is>
      </c>
      <c r="G12" s="54" t="inlineStr">
        <is>
          <t>Walker / Battlesuit</t>
        </is>
      </c>
      <c r="H12" s="54" t="str"/>
      <c r="I12" s="54" t="str"/>
      <c r="J12" s="54" t="str"/>
      <c r="K12" s="54" t="str"/>
      <c r="L12" s="55" t="n">
        <v>160</v>
      </c>
      <c r="M12" s="54" t="str"/>
      <c r="N12" s="54" t="inlineStr">
        <is>
          <t>Matched to Munitorum Field Manual v2.3</t>
        </is>
      </c>
      <c r="O12" s="54" t="inlineStr">
        <is>
          <t>Uploaded PDF: Munitorum Field Manual v2.3 / March 2025, p.31</t>
        </is>
      </c>
    </row>
    <row r="13">
      <c r="A13" s="54" t="inlineStr">
        <is>
          <t>Space Marines</t>
        </is>
      </c>
      <c r="B13" s="54" t="inlineStr">
        <is>
          <t>Space Marines</t>
        </is>
      </c>
      <c r="C13" s="54" t="inlineStr">
        <is>
          <t>Character</t>
        </is>
      </c>
      <c r="D13" s="54" t="inlineStr">
        <is>
          <t>Character</t>
        </is>
      </c>
      <c r="E13" s="54" t="inlineStr">
        <is>
          <t>Captain</t>
        </is>
      </c>
      <c r="F13" s="54" t="inlineStr">
        <is>
          <t>1 model</t>
        </is>
      </c>
      <c r="G13" s="54" t="inlineStr">
        <is>
          <t>Character</t>
        </is>
      </c>
      <c r="H13" s="54" t="str"/>
      <c r="I13" s="54" t="str"/>
      <c r="J13" s="54" t="str"/>
      <c r="K13" s="54" t="str"/>
      <c r="L13" s="55" t="n">
        <v>80</v>
      </c>
      <c r="M13" s="54" t="str"/>
      <c r="N13" s="54" t="inlineStr">
        <is>
          <t>Matched to Munitorum Field Manual v2.3</t>
        </is>
      </c>
      <c r="O13" s="54" t="inlineStr">
        <is>
          <t>Uploaded PDF: Munitorum Field Manual v2.3 / March 2025, p.31</t>
        </is>
      </c>
    </row>
    <row r="14">
      <c r="A14" s="54" t="inlineStr">
        <is>
          <t>Space Marines</t>
        </is>
      </c>
      <c r="B14" s="54" t="inlineStr">
        <is>
          <t>Space Marines</t>
        </is>
      </c>
      <c r="C14" s="54" t="inlineStr">
        <is>
          <t>Character</t>
        </is>
      </c>
      <c r="D14" s="54" t="inlineStr">
        <is>
          <t>Character</t>
        </is>
      </c>
      <c r="E14" s="54" t="inlineStr">
        <is>
          <t>Captain in Gravis Armour</t>
        </is>
      </c>
      <c r="F14" s="54" t="inlineStr">
        <is>
          <t>1 model</t>
        </is>
      </c>
      <c r="G14" s="54" t="inlineStr">
        <is>
          <t>Character</t>
        </is>
      </c>
      <c r="H14" s="54" t="str"/>
      <c r="I14" s="54" t="str"/>
      <c r="J14" s="54" t="str"/>
      <c r="K14" s="54" t="str"/>
      <c r="L14" s="55" t="n">
        <v>80</v>
      </c>
      <c r="M14" s="54" t="str"/>
      <c r="N14" s="54" t="inlineStr">
        <is>
          <t>Matched to Munitorum Field Manual v2.3</t>
        </is>
      </c>
      <c r="O14" s="54" t="inlineStr">
        <is>
          <t>Uploaded PDF: Munitorum Field Manual v2.3 / March 2025, p.31</t>
        </is>
      </c>
    </row>
    <row r="15">
      <c r="A15" s="54" t="inlineStr">
        <is>
          <t>Space Marines</t>
        </is>
      </c>
      <c r="B15" s="54" t="inlineStr">
        <is>
          <t>Space Marines</t>
        </is>
      </c>
      <c r="C15" s="54" t="inlineStr">
        <is>
          <t>Character</t>
        </is>
      </c>
      <c r="D15" s="54" t="inlineStr">
        <is>
          <t>Character</t>
        </is>
      </c>
      <c r="E15" s="54" t="inlineStr">
        <is>
          <t>Captain in Phobos Armour</t>
        </is>
      </c>
      <c r="F15" s="54" t="inlineStr">
        <is>
          <t>1 model</t>
        </is>
      </c>
      <c r="G15" s="54" t="inlineStr">
        <is>
          <t>Character</t>
        </is>
      </c>
      <c r="H15" s="54" t="str"/>
      <c r="I15" s="54" t="str"/>
      <c r="J15" s="54" t="str"/>
      <c r="K15" s="54" t="str"/>
      <c r="L15" s="55" t="n">
        <v>70</v>
      </c>
      <c r="M15" s="54" t="str"/>
      <c r="N15" s="54" t="inlineStr">
        <is>
          <t>Matched to Munitorum Field Manual v2.3</t>
        </is>
      </c>
      <c r="O15" s="54" t="inlineStr">
        <is>
          <t>Uploaded PDF: Munitorum Field Manual v2.3 / March 2025, p.31</t>
        </is>
      </c>
    </row>
    <row r="16">
      <c r="A16" s="54" t="inlineStr">
        <is>
          <t>Space Marines</t>
        </is>
      </c>
      <c r="B16" s="54" t="inlineStr">
        <is>
          <t>Space Marines</t>
        </is>
      </c>
      <c r="C16" s="54" t="inlineStr">
        <is>
          <t>Character</t>
        </is>
      </c>
      <c r="D16" s="54" t="inlineStr">
        <is>
          <t>Character</t>
        </is>
      </c>
      <c r="E16" s="54" t="inlineStr">
        <is>
          <t>Captain in Terminator Armour</t>
        </is>
      </c>
      <c r="F16" s="54" t="inlineStr">
        <is>
          <t>1 model</t>
        </is>
      </c>
      <c r="G16" s="54" t="inlineStr">
        <is>
          <t>Character</t>
        </is>
      </c>
      <c r="H16" s="54" t="str"/>
      <c r="I16" s="54" t="str"/>
      <c r="J16" s="54" t="str"/>
      <c r="K16" s="54" t="str"/>
      <c r="L16" s="55" t="n">
        <v>95</v>
      </c>
      <c r="M16" s="54" t="str"/>
      <c r="N16" s="54" t="inlineStr">
        <is>
          <t>Matched to Munitorum Field Manual v2.3</t>
        </is>
      </c>
      <c r="O16" s="54" t="inlineStr">
        <is>
          <t>Uploaded PDF: Munitorum Field Manual v2.3 / March 2025, p.31</t>
        </is>
      </c>
    </row>
    <row r="17">
      <c r="A17" s="54" t="inlineStr">
        <is>
          <t>Ultramarines</t>
        </is>
      </c>
      <c r="B17" s="54" t="inlineStr">
        <is>
          <t>Ultramarines</t>
        </is>
      </c>
      <c r="C17" s="54" t="inlineStr">
        <is>
          <t>Character</t>
        </is>
      </c>
      <c r="D17" s="54" t="inlineStr">
        <is>
          <t>Character</t>
        </is>
      </c>
      <c r="E17" s="54" t="inlineStr">
        <is>
          <t>Captain Sicarius</t>
        </is>
      </c>
      <c r="F17" s="54" t="inlineStr">
        <is>
          <t>1 model</t>
        </is>
      </c>
      <c r="G17" s="54" t="inlineStr">
        <is>
          <t>Character</t>
        </is>
      </c>
      <c r="H17" s="54" t="str"/>
      <c r="I17" s="54" t="str"/>
      <c r="J17" s="54" t="str"/>
      <c r="K17" s="54" t="str"/>
      <c r="L17" s="55" t="n">
        <v>85</v>
      </c>
      <c r="M17" s="54" t="str"/>
      <c r="N17" s="54" t="inlineStr">
        <is>
          <t>Matched to Munitorum Field Manual v2.3</t>
        </is>
      </c>
      <c r="O17" s="54" t="inlineStr">
        <is>
          <t>Uploaded PDF: Munitorum Field Manual v2.3 / March 2025, p.31</t>
        </is>
      </c>
    </row>
    <row r="18">
      <c r="A18" s="54" t="inlineStr">
        <is>
          <t>Space Marines</t>
        </is>
      </c>
      <c r="B18" s="54" t="inlineStr">
        <is>
          <t>Space Marines</t>
        </is>
      </c>
      <c r="C18" s="54" t="inlineStr">
        <is>
          <t>Character</t>
        </is>
      </c>
      <c r="D18" s="54" t="inlineStr">
        <is>
          <t>Character</t>
        </is>
      </c>
      <c r="E18" s="54" t="inlineStr">
        <is>
          <t>Chaplain</t>
        </is>
      </c>
      <c r="F18" s="54" t="inlineStr">
        <is>
          <t>1 model</t>
        </is>
      </c>
      <c r="G18" s="54" t="inlineStr">
        <is>
          <t>Character</t>
        </is>
      </c>
      <c r="H18" s="54" t="str"/>
      <c r="I18" s="54" t="str"/>
      <c r="J18" s="54" t="str"/>
      <c r="K18" s="54" t="str"/>
      <c r="L18" s="55" t="n">
        <v>60</v>
      </c>
      <c r="M18" s="54" t="str"/>
      <c r="N18" s="54" t="inlineStr">
        <is>
          <t>Matched to Munitorum Field Manual v2.3</t>
        </is>
      </c>
      <c r="O18" s="54" t="inlineStr">
        <is>
          <t>Uploaded PDF: Munitorum Field Manual v2.3 / March 2025, p.31</t>
        </is>
      </c>
    </row>
    <row r="19">
      <c r="A19" s="54" t="inlineStr">
        <is>
          <t>Space Marines</t>
        </is>
      </c>
      <c r="B19" s="54" t="inlineStr">
        <is>
          <t>Space Marines</t>
        </is>
      </c>
      <c r="C19" s="54" t="inlineStr">
        <is>
          <t>Character</t>
        </is>
      </c>
      <c r="D19" s="54" t="inlineStr">
        <is>
          <t>Character</t>
        </is>
      </c>
      <c r="E19" s="54" t="inlineStr">
        <is>
          <t>Chaplain in Terminator Armour</t>
        </is>
      </c>
      <c r="F19" s="54" t="inlineStr">
        <is>
          <t>1 model</t>
        </is>
      </c>
      <c r="G19" s="54" t="inlineStr">
        <is>
          <t>Character</t>
        </is>
      </c>
      <c r="H19" s="54" t="str"/>
      <c r="I19" s="54" t="str"/>
      <c r="J19" s="54" t="str"/>
      <c r="K19" s="54" t="str"/>
      <c r="L19" s="55" t="n">
        <v>75</v>
      </c>
      <c r="M19" s="54" t="str"/>
      <c r="N19" s="54" t="inlineStr">
        <is>
          <t>Matched to Munitorum Field Manual v2.3</t>
        </is>
      </c>
      <c r="O19" s="54" t="inlineStr">
        <is>
          <t>Uploaded PDF: Munitorum Field Manual v2.3 / March 2025, p.31</t>
        </is>
      </c>
    </row>
    <row r="20">
      <c r="A20" s="54" t="inlineStr">
        <is>
          <t>Space Marines</t>
        </is>
      </c>
      <c r="B20" s="54" t="inlineStr">
        <is>
          <t>Space Marines</t>
        </is>
      </c>
      <c r="C20" s="54" t="inlineStr">
        <is>
          <t>Character</t>
        </is>
      </c>
      <c r="D20" s="54" t="inlineStr">
        <is>
          <t>Character</t>
        </is>
      </c>
      <c r="E20" s="54" t="inlineStr">
        <is>
          <t>Chaplain on Bike</t>
        </is>
      </c>
      <c r="F20" s="54" t="inlineStr">
        <is>
          <t>1 model</t>
        </is>
      </c>
      <c r="G20" s="54" t="inlineStr">
        <is>
          <t>Character</t>
        </is>
      </c>
      <c r="H20" s="54" t="str"/>
      <c r="I20" s="54" t="str"/>
      <c r="J20" s="54" t="str"/>
      <c r="K20" s="54" t="str"/>
      <c r="L20" s="55" t="n">
        <v>75</v>
      </c>
      <c r="M20" s="54" t="str"/>
      <c r="N20" s="54" t="inlineStr">
        <is>
          <t>Matched to Munitorum Field Manual v2.3</t>
        </is>
      </c>
      <c r="O20" s="54" t="inlineStr">
        <is>
          <t>Uploaded PDF: Munitorum Field Manual v2.3 / March 2025, p.31</t>
        </is>
      </c>
    </row>
    <row r="21">
      <c r="A21" s="54" t="inlineStr">
        <is>
          <t>Space Marines</t>
        </is>
      </c>
      <c r="B21" s="54" t="inlineStr">
        <is>
          <t>Space Marines</t>
        </is>
      </c>
      <c r="C21" s="54" t="inlineStr">
        <is>
          <t>Infantry / Other</t>
        </is>
      </c>
      <c r="D21" s="54" t="inlineStr">
        <is>
          <t>Infantry</t>
        </is>
      </c>
      <c r="E21" s="54" t="inlineStr">
        <is>
          <t>Company Heroes</t>
        </is>
      </c>
      <c r="F21" s="54" t="inlineStr">
        <is>
          <t>4 models</t>
        </is>
      </c>
      <c r="G21" s="54" t="inlineStr">
        <is>
          <t>Infantry</t>
        </is>
      </c>
      <c r="H21" s="54" t="str"/>
      <c r="I21" s="54" t="str"/>
      <c r="J21" s="54" t="str"/>
      <c r="K21" s="54" t="str"/>
      <c r="L21" s="55" t="n">
        <v>105</v>
      </c>
      <c r="M21" s="54" t="str"/>
      <c r="N21" s="54" t="inlineStr">
        <is>
          <t>Matched to Munitorum Field Manual v2.3</t>
        </is>
      </c>
      <c r="O21" s="54" t="inlineStr">
        <is>
          <t>Uploaded PDF: Munitorum Field Manual v2.3 / March 2025, p.31</t>
        </is>
      </c>
    </row>
    <row r="22">
      <c r="A22" s="54" t="inlineStr">
        <is>
          <t>Imperial Fists</t>
        </is>
      </c>
      <c r="B22" s="54" t="inlineStr">
        <is>
          <t>Imperial Fists</t>
        </is>
      </c>
      <c r="C22" s="54" t="inlineStr">
        <is>
          <t>Infantry / Other</t>
        </is>
      </c>
      <c r="D22" s="54" t="inlineStr">
        <is>
          <t>Infantry</t>
        </is>
      </c>
      <c r="E22" s="54" t="inlineStr">
        <is>
          <t>Darnath Lysander</t>
        </is>
      </c>
      <c r="F22" s="54" t="inlineStr">
        <is>
          <t>1 model</t>
        </is>
      </c>
      <c r="G22" s="54" t="inlineStr">
        <is>
          <t>Infantry</t>
        </is>
      </c>
      <c r="H22" s="54" t="str"/>
      <c r="I22" s="54" t="str"/>
      <c r="J22" s="54" t="str"/>
      <c r="K22" s="54" t="str"/>
      <c r="L22" s="55" t="n">
        <v>100</v>
      </c>
      <c r="M22" s="54" t="str"/>
      <c r="N22" s="54" t="inlineStr">
        <is>
          <t>Matched to Munitorum Field Manual v2.3</t>
        </is>
      </c>
      <c r="O22" s="54" t="inlineStr">
        <is>
          <t>Uploaded PDF: Munitorum Field Manual v2.3 / March 2025, p.31</t>
        </is>
      </c>
    </row>
    <row r="23">
      <c r="A23" s="54" t="inlineStr">
        <is>
          <t>Space Marines</t>
        </is>
      </c>
      <c r="B23" s="54" t="inlineStr">
        <is>
          <t>Space Marines</t>
        </is>
      </c>
      <c r="C23" s="54" t="inlineStr">
        <is>
          <t>Infantry / Other</t>
        </is>
      </c>
      <c r="D23" s="54" t="inlineStr">
        <is>
          <t>Infantry</t>
        </is>
      </c>
      <c r="E23" s="54" t="inlineStr">
        <is>
          <t>Desolation Squad</t>
        </is>
      </c>
      <c r="F23" s="54" t="inlineStr">
        <is>
          <t>5 models</t>
        </is>
      </c>
      <c r="G23" s="54" t="inlineStr">
        <is>
          <t>Infantry</t>
        </is>
      </c>
      <c r="H23" s="54" t="str"/>
      <c r="I23" s="54" t="str"/>
      <c r="J23" s="54" t="str"/>
      <c r="K23" s="54" t="str"/>
      <c r="L23" s="55" t="n">
        <v>200</v>
      </c>
      <c r="M23" s="54" t="str"/>
      <c r="N23" s="54" t="inlineStr">
        <is>
          <t>Matched to Munitorum Field Manual v2.3</t>
        </is>
      </c>
      <c r="O23" s="54" t="inlineStr">
        <is>
          <t>Uploaded PDF: Munitorum Field Manual v2.3 / March 2025, p.31</t>
        </is>
      </c>
    </row>
    <row r="24">
      <c r="A24" s="54" t="inlineStr">
        <is>
          <t>Space Marines</t>
        </is>
      </c>
      <c r="B24" s="54" t="inlineStr">
        <is>
          <t>Space Marines</t>
        </is>
      </c>
      <c r="C24" s="54" t="inlineStr">
        <is>
          <t>Infantry / Other</t>
        </is>
      </c>
      <c r="D24" s="54" t="inlineStr">
        <is>
          <t>Infantry</t>
        </is>
      </c>
      <c r="E24" s="54" t="inlineStr">
        <is>
          <t>Devastator Squad</t>
        </is>
      </c>
      <c r="F24" s="54" t="inlineStr">
        <is>
          <t>5 models</t>
        </is>
      </c>
      <c r="G24" s="54" t="inlineStr">
        <is>
          <t>Infantry</t>
        </is>
      </c>
      <c r="H24" s="54" t="str"/>
      <c r="I24" s="54" t="str"/>
      <c r="J24" s="54" t="str"/>
      <c r="K24" s="54" t="str"/>
      <c r="L24" s="55" t="n">
        <v>120</v>
      </c>
      <c r="M24" s="54" t="inlineStr">
        <is>
          <t>Points options: 5 models = 120 pts; 10 models = 200 pts</t>
        </is>
      </c>
      <c r="N24" s="54" t="inlineStr">
        <is>
          <t>Matched to Munitorum Field Manual v2.3</t>
        </is>
      </c>
      <c r="O24" s="54" t="inlineStr">
        <is>
          <t>Uploaded PDF: Munitorum Field Manual v2.3 / March 2025, p.31</t>
        </is>
      </c>
    </row>
    <row r="25">
      <c r="A25" s="54" t="inlineStr">
        <is>
          <t>Space Marines</t>
        </is>
      </c>
      <c r="B25" s="54" t="inlineStr">
        <is>
          <t>Space Marines</t>
        </is>
      </c>
      <c r="C25" s="54" t="inlineStr">
        <is>
          <t>Infantry / Other</t>
        </is>
      </c>
      <c r="D25" s="54" t="inlineStr">
        <is>
          <t>Infantry</t>
        </is>
      </c>
      <c r="E25" s="54" t="inlineStr">
        <is>
          <t>Eliminator Squad</t>
        </is>
      </c>
      <c r="F25" s="54" t="inlineStr">
        <is>
          <t>3 models</t>
        </is>
      </c>
      <c r="G25" s="54" t="inlineStr">
        <is>
          <t>Infantry</t>
        </is>
      </c>
      <c r="H25" s="54" t="str"/>
      <c r="I25" s="54" t="str"/>
      <c r="J25" s="54" t="str"/>
      <c r="K25" s="54" t="str"/>
      <c r="L25" s="55" t="n">
        <v>85</v>
      </c>
      <c r="M25" s="54" t="str"/>
      <c r="N25" s="54" t="inlineStr">
        <is>
          <t>Matched to Munitorum Field Manual v2.3</t>
        </is>
      </c>
      <c r="O25" s="54" t="inlineStr">
        <is>
          <t>Uploaded PDF: Munitorum Field Manual v2.3 / March 2025, p.31</t>
        </is>
      </c>
    </row>
    <row r="26">
      <c r="A26" s="54" t="inlineStr">
        <is>
          <t>Space Marines</t>
        </is>
      </c>
      <c r="B26" s="54" t="inlineStr">
        <is>
          <t>Space Marines</t>
        </is>
      </c>
      <c r="C26" s="54" t="inlineStr">
        <is>
          <t>Infantry / Other</t>
        </is>
      </c>
      <c r="D26" s="54" t="inlineStr">
        <is>
          <t>Infantry</t>
        </is>
      </c>
      <c r="E26" s="54" t="inlineStr">
        <is>
          <t>Eradicator Squad</t>
        </is>
      </c>
      <c r="F26" s="54" t="inlineStr">
        <is>
          <t>3 models</t>
        </is>
      </c>
      <c r="G26" s="54" t="inlineStr">
        <is>
          <t>Infantry</t>
        </is>
      </c>
      <c r="H26" s="54" t="str"/>
      <c r="I26" s="54" t="str"/>
      <c r="J26" s="54" t="str"/>
      <c r="K26" s="54" t="str"/>
      <c r="L26" s="55" t="n">
        <v>100</v>
      </c>
      <c r="M26" s="54" t="inlineStr">
        <is>
          <t>Points options: 3 models = 100 pts; 6 models = 200 pts</t>
        </is>
      </c>
      <c r="N26" s="54" t="inlineStr">
        <is>
          <t>Matched to Munitorum Field Manual v2.3</t>
        </is>
      </c>
      <c r="O26" s="54" t="inlineStr">
        <is>
          <t>Uploaded PDF: Munitorum Field Manual v2.3 / March 2025, p.31</t>
        </is>
      </c>
    </row>
    <row r="27">
      <c r="A27" s="54" t="inlineStr">
        <is>
          <t>Space Marines</t>
        </is>
      </c>
      <c r="B27" s="54" t="inlineStr">
        <is>
          <t>Space Marines</t>
        </is>
      </c>
      <c r="C27" s="54" t="inlineStr">
        <is>
          <t>Vehicle / Support</t>
        </is>
      </c>
      <c r="D27" s="54" t="inlineStr">
        <is>
          <t>Vehicle</t>
        </is>
      </c>
      <c r="E27" s="54" t="inlineStr">
        <is>
          <t>Gladiator Lancer</t>
        </is>
      </c>
      <c r="F27" s="54" t="inlineStr">
        <is>
          <t>1 model</t>
        </is>
      </c>
      <c r="G27" s="54" t="inlineStr">
        <is>
          <t>Vehicle</t>
        </is>
      </c>
      <c r="H27" s="54" t="str"/>
      <c r="I27" s="54" t="str"/>
      <c r="J27" s="54" t="str"/>
      <c r="K27" s="54" t="str"/>
      <c r="L27" s="55" t="n">
        <v>160</v>
      </c>
      <c r="M27" s="54" t="str"/>
      <c r="N27" s="54" t="inlineStr">
        <is>
          <t>Matched to Munitorum Field Manual v2.3</t>
        </is>
      </c>
      <c r="O27" s="54" t="inlineStr">
        <is>
          <t>Uploaded PDF: Munitorum Field Manual v2.3 / March 2025, p.31</t>
        </is>
      </c>
    </row>
    <row r="28">
      <c r="A28" s="54" t="inlineStr">
        <is>
          <t>Space Marines</t>
        </is>
      </c>
      <c r="B28" s="54" t="inlineStr">
        <is>
          <t>Space Marines</t>
        </is>
      </c>
      <c r="C28" s="54" t="inlineStr">
        <is>
          <t>Vehicle / Support</t>
        </is>
      </c>
      <c r="D28" s="54" t="inlineStr">
        <is>
          <t>Vehicle</t>
        </is>
      </c>
      <c r="E28" s="54" t="inlineStr">
        <is>
          <t>Gladiator Reaper</t>
        </is>
      </c>
      <c r="F28" s="54" t="inlineStr">
        <is>
          <t>1 model</t>
        </is>
      </c>
      <c r="G28" s="54" t="inlineStr">
        <is>
          <t>Vehicle</t>
        </is>
      </c>
      <c r="H28" s="54" t="str"/>
      <c r="I28" s="54" t="str"/>
      <c r="J28" s="54" t="str"/>
      <c r="K28" s="54" t="str"/>
      <c r="L28" s="55" t="n">
        <v>160</v>
      </c>
      <c r="M28" s="54" t="str"/>
      <c r="N28" s="54" t="inlineStr">
        <is>
          <t>Matched to Munitorum Field Manual v2.3</t>
        </is>
      </c>
      <c r="O28" s="54" t="inlineStr">
        <is>
          <t>Uploaded PDF: Munitorum Field Manual v2.3 / March 2025, p.31</t>
        </is>
      </c>
    </row>
    <row r="29">
      <c r="A29" s="54" t="inlineStr">
        <is>
          <t>Space Marines</t>
        </is>
      </c>
      <c r="B29" s="54" t="inlineStr">
        <is>
          <t>Space Marines</t>
        </is>
      </c>
      <c r="C29" s="54" t="inlineStr">
        <is>
          <t>Vehicle / Support</t>
        </is>
      </c>
      <c r="D29" s="54" t="inlineStr">
        <is>
          <t>Vehicle</t>
        </is>
      </c>
      <c r="E29" s="54" t="inlineStr">
        <is>
          <t>Gladiator Valiant</t>
        </is>
      </c>
      <c r="F29" s="54" t="inlineStr">
        <is>
          <t>1 model</t>
        </is>
      </c>
      <c r="G29" s="54" t="inlineStr">
        <is>
          <t>Vehicle</t>
        </is>
      </c>
      <c r="H29" s="54" t="str"/>
      <c r="I29" s="54" t="str"/>
      <c r="J29" s="54" t="str"/>
      <c r="K29" s="54" t="str"/>
      <c r="L29" s="55" t="n">
        <v>160</v>
      </c>
      <c r="M29" s="54" t="str"/>
      <c r="N29" s="54" t="inlineStr">
        <is>
          <t>Matched to Munitorum Field Manual v2.3</t>
        </is>
      </c>
      <c r="O29" s="54" t="inlineStr">
        <is>
          <t>Uploaded PDF: Munitorum Field Manual v2.3 / March 2025, p.31</t>
        </is>
      </c>
    </row>
    <row r="30">
      <c r="A30" s="54" t="inlineStr">
        <is>
          <t>Space Marines</t>
        </is>
      </c>
      <c r="B30" s="54" t="inlineStr">
        <is>
          <t>Space Marines</t>
        </is>
      </c>
      <c r="C30" s="54" t="inlineStr">
        <is>
          <t>Vehicle / Support</t>
        </is>
      </c>
      <c r="D30" s="54" t="inlineStr">
        <is>
          <t>Vehicle</t>
        </is>
      </c>
      <c r="E30" s="54" t="inlineStr">
        <is>
          <t>Hammerfall Bunker</t>
        </is>
      </c>
      <c r="F30" s="54" t="inlineStr">
        <is>
          <t>1 model</t>
        </is>
      </c>
      <c r="G30" s="54" t="inlineStr">
        <is>
          <t>Vehicle</t>
        </is>
      </c>
      <c r="H30" s="54" t="str"/>
      <c r="I30" s="54" t="str"/>
      <c r="J30" s="54" t="str"/>
      <c r="K30" s="54" t="str"/>
      <c r="L30" s="55" t="n">
        <v>175</v>
      </c>
      <c r="M30" s="54" t="str"/>
      <c r="N30" s="54" t="inlineStr">
        <is>
          <t>Matched to Munitorum Field Manual v2.3</t>
        </is>
      </c>
      <c r="O30" s="54" t="inlineStr">
        <is>
          <t>Uploaded PDF: Munitorum Field Manual v2.3 / March 2025, p.31</t>
        </is>
      </c>
    </row>
    <row r="31">
      <c r="A31" s="54" t="inlineStr">
        <is>
          <t>Space Marines</t>
        </is>
      </c>
      <c r="B31" s="54" t="inlineStr">
        <is>
          <t>Space Marines</t>
        </is>
      </c>
      <c r="C31" s="54" t="inlineStr">
        <is>
          <t>Battleline / Core</t>
        </is>
      </c>
      <c r="D31" s="54" t="inlineStr">
        <is>
          <t>Infantry</t>
        </is>
      </c>
      <c r="E31" s="54" t="inlineStr">
        <is>
          <t>Heavy Intercessor Squad</t>
        </is>
      </c>
      <c r="F31" s="54" t="inlineStr">
        <is>
          <t>5 models</t>
        </is>
      </c>
      <c r="G31" s="54" t="inlineStr">
        <is>
          <t>Infantry</t>
        </is>
      </c>
      <c r="H31" s="54" t="str"/>
      <c r="I31" s="54" t="str"/>
      <c r="J31" s="54" t="str"/>
      <c r="K31" s="54" t="str"/>
      <c r="L31" s="55" t="n">
        <v>110</v>
      </c>
      <c r="M31" s="54" t="inlineStr">
        <is>
          <t>Points options: 5 models = 110 pts; 10 models = 220 pts</t>
        </is>
      </c>
      <c r="N31" s="54" t="inlineStr">
        <is>
          <t>Matched to Munitorum Field Manual v2.3</t>
        </is>
      </c>
      <c r="O31" s="54" t="inlineStr">
        <is>
          <t>Uploaded PDF: Munitorum Field Manual v2.3 / March 2025, p.31</t>
        </is>
      </c>
    </row>
    <row r="32">
      <c r="A32" s="54" t="inlineStr">
        <is>
          <t>Space Marines</t>
        </is>
      </c>
      <c r="B32" s="54" t="inlineStr">
        <is>
          <t>Space Marines</t>
        </is>
      </c>
      <c r="C32" s="54" t="inlineStr">
        <is>
          <t>Infantry / Other</t>
        </is>
      </c>
      <c r="D32" s="54" t="inlineStr">
        <is>
          <t>Infantry</t>
        </is>
      </c>
      <c r="E32" s="54" t="inlineStr">
        <is>
          <t>Hellblaster Squad</t>
        </is>
      </c>
      <c r="F32" s="54" t="inlineStr">
        <is>
          <t>5 models</t>
        </is>
      </c>
      <c r="G32" s="54" t="inlineStr">
        <is>
          <t>Infantry</t>
        </is>
      </c>
      <c r="H32" s="54" t="str"/>
      <c r="I32" s="54" t="str"/>
      <c r="J32" s="54" t="str"/>
      <c r="K32" s="54" t="str"/>
      <c r="L32" s="55" t="n">
        <v>115</v>
      </c>
      <c r="M32" s="54" t="inlineStr">
        <is>
          <t>Points options: 5 models = 115 pts; 10 models = 230 pts</t>
        </is>
      </c>
      <c r="N32" s="54" t="inlineStr">
        <is>
          <t>Matched to Munitorum Field Manual v2.3</t>
        </is>
      </c>
      <c r="O32" s="54" t="inlineStr">
        <is>
          <t>Uploaded PDF: Munitorum Field Manual v2.3 / March 2025, p.31</t>
        </is>
      </c>
    </row>
    <row r="33">
      <c r="A33" s="54" t="inlineStr">
        <is>
          <t>Space Marines</t>
        </is>
      </c>
      <c r="B33" s="54" t="inlineStr">
        <is>
          <t>Space Marines</t>
        </is>
      </c>
      <c r="C33" s="54" t="inlineStr">
        <is>
          <t>Vehicle / Support</t>
        </is>
      </c>
      <c r="D33" s="54" t="inlineStr">
        <is>
          <t>Vehicle</t>
        </is>
      </c>
      <c r="E33" s="54" t="inlineStr">
        <is>
          <t>Impulsor</t>
        </is>
      </c>
      <c r="F33" s="54" t="inlineStr">
        <is>
          <t>1 model</t>
        </is>
      </c>
      <c r="G33" s="54" t="inlineStr">
        <is>
          <t>Vehicle</t>
        </is>
      </c>
      <c r="H33" s="54" t="str"/>
      <c r="I33" s="54" t="str"/>
      <c r="J33" s="54" t="str"/>
      <c r="K33" s="54" t="str"/>
      <c r="L33" s="55" t="n">
        <v>80</v>
      </c>
      <c r="M33" s="54" t="str"/>
      <c r="N33" s="54" t="inlineStr">
        <is>
          <t>Matched to Munitorum Field Manual v2.3</t>
        </is>
      </c>
      <c r="O33" s="54" t="inlineStr">
        <is>
          <t>Uploaded PDF: Munitorum Field Manual v2.3 / March 2025, p.31</t>
        </is>
      </c>
    </row>
    <row r="34">
      <c r="A34" s="54" t="inlineStr">
        <is>
          <t>Space Marines</t>
        </is>
      </c>
      <c r="B34" s="54" t="inlineStr">
        <is>
          <t>Space Marines</t>
        </is>
      </c>
      <c r="C34" s="54" t="inlineStr">
        <is>
          <t>Infantry / Other</t>
        </is>
      </c>
      <c r="D34" s="54" t="inlineStr">
        <is>
          <t>Infantry</t>
        </is>
      </c>
      <c r="E34" s="54" t="inlineStr">
        <is>
          <t>Inceptor Squad</t>
        </is>
      </c>
      <c r="F34" s="54" t="inlineStr">
        <is>
          <t>3 models</t>
        </is>
      </c>
      <c r="G34" s="54" t="inlineStr">
        <is>
          <t>Infantry</t>
        </is>
      </c>
      <c r="H34" s="54" t="str"/>
      <c r="I34" s="54" t="str"/>
      <c r="J34" s="54" t="str"/>
      <c r="K34" s="54" t="str"/>
      <c r="L34" s="55" t="n">
        <v>120</v>
      </c>
      <c r="M34" s="54" t="inlineStr">
        <is>
          <t>Points options: 3 models = 120 pts; 6 models = 240 pts</t>
        </is>
      </c>
      <c r="N34" s="54" t="inlineStr">
        <is>
          <t>Matched to Munitorum Field Manual v2.3</t>
        </is>
      </c>
      <c r="O34" s="54" t="inlineStr">
        <is>
          <t>Uploaded PDF: Munitorum Field Manual v2.3 / March 2025, p.31</t>
        </is>
      </c>
    </row>
    <row r="35">
      <c r="A35" s="54" t="inlineStr">
        <is>
          <t>Space Marines</t>
        </is>
      </c>
      <c r="B35" s="54" t="inlineStr">
        <is>
          <t>Space Marines</t>
        </is>
      </c>
      <c r="C35" s="54" t="inlineStr">
        <is>
          <t>Infantry / Other</t>
        </is>
      </c>
      <c r="D35" s="54" t="inlineStr">
        <is>
          <t>Infantry</t>
        </is>
      </c>
      <c r="E35" s="54" t="inlineStr">
        <is>
          <t>Incursor Squad</t>
        </is>
      </c>
      <c r="F35" s="54" t="inlineStr">
        <is>
          <t>5 models</t>
        </is>
      </c>
      <c r="G35" s="54" t="inlineStr">
        <is>
          <t>Infantry</t>
        </is>
      </c>
      <c r="H35" s="54" t="str"/>
      <c r="I35" s="54" t="str"/>
      <c r="J35" s="54" t="str"/>
      <c r="K35" s="54" t="str"/>
      <c r="L35" s="55" t="n">
        <v>80</v>
      </c>
      <c r="M35" s="54" t="inlineStr">
        <is>
          <t>Points options: 5 models = 80 pts; 10 models = 160 pts</t>
        </is>
      </c>
      <c r="N35" s="54" t="inlineStr">
        <is>
          <t>Matched to Munitorum Field Manual v2.3</t>
        </is>
      </c>
      <c r="O35" s="54" t="inlineStr">
        <is>
          <t>Uploaded PDF: Munitorum Field Manual v2.3 / March 2025, p.31</t>
        </is>
      </c>
    </row>
    <row r="36">
      <c r="A36" s="54" t="inlineStr">
        <is>
          <t>Space Marines</t>
        </is>
      </c>
      <c r="B36" s="54" t="inlineStr">
        <is>
          <t>Space Marines</t>
        </is>
      </c>
      <c r="C36" s="54" t="inlineStr">
        <is>
          <t>Infantry / Other</t>
        </is>
      </c>
      <c r="D36" s="54" t="inlineStr">
        <is>
          <t>Infantry</t>
        </is>
      </c>
      <c r="E36" s="54" t="inlineStr">
        <is>
          <t>Infernus Squad</t>
        </is>
      </c>
      <c r="F36" s="54" t="inlineStr">
        <is>
          <t>5 models</t>
        </is>
      </c>
      <c r="G36" s="54" t="inlineStr">
        <is>
          <t>Infantry</t>
        </is>
      </c>
      <c r="H36" s="54" t="str"/>
      <c r="I36" s="54" t="str"/>
      <c r="J36" s="54" t="str"/>
      <c r="K36" s="54" t="str"/>
      <c r="L36" s="55" t="n">
        <v>90</v>
      </c>
      <c r="M36" s="54" t="inlineStr">
        <is>
          <t>Points options: 5 models = 90 pts; 10 models = 180 pts</t>
        </is>
      </c>
      <c r="N36" s="54" t="inlineStr">
        <is>
          <t>Matched to Munitorum Field Manual v2.3</t>
        </is>
      </c>
      <c r="O36" s="54" t="inlineStr">
        <is>
          <t>Uploaded PDF: Munitorum Field Manual v2.3 / March 2025, p.31</t>
        </is>
      </c>
    </row>
    <row r="37">
      <c r="A37" s="54" t="inlineStr">
        <is>
          <t>Space Marines</t>
        </is>
      </c>
      <c r="B37" s="54" t="inlineStr">
        <is>
          <t>Space Marines</t>
        </is>
      </c>
      <c r="C37" s="54" t="inlineStr">
        <is>
          <t>Infantry / Other</t>
        </is>
      </c>
      <c r="D37" s="54" t="inlineStr">
        <is>
          <t>Infantry</t>
        </is>
      </c>
      <c r="E37" s="54" t="inlineStr">
        <is>
          <t>Infiltrator Squad</t>
        </is>
      </c>
      <c r="F37" s="54" t="inlineStr">
        <is>
          <t>5 models</t>
        </is>
      </c>
      <c r="G37" s="54" t="inlineStr">
        <is>
          <t>Infantry</t>
        </is>
      </c>
      <c r="H37" s="54" t="str"/>
      <c r="I37" s="54" t="str"/>
      <c r="J37" s="54" t="str"/>
      <c r="K37" s="54" t="str"/>
      <c r="L37" s="55" t="n">
        <v>100</v>
      </c>
      <c r="M37" s="54" t="inlineStr">
        <is>
          <t>Points options: 5 models = 100 pts; 10 models = 200 pts</t>
        </is>
      </c>
      <c r="N37" s="54" t="inlineStr">
        <is>
          <t>Matched to Munitorum Field Manual v2.3</t>
        </is>
      </c>
      <c r="O37" s="54" t="inlineStr">
        <is>
          <t>Uploaded PDF: Munitorum Field Manual v2.3 / March 2025, p.31</t>
        </is>
      </c>
    </row>
    <row r="38">
      <c r="A38" s="54" t="inlineStr">
        <is>
          <t>Space Marines</t>
        </is>
      </c>
      <c r="B38" s="54" t="inlineStr">
        <is>
          <t>Space Marines</t>
        </is>
      </c>
      <c r="C38" s="54" t="inlineStr">
        <is>
          <t>Infantry / Other</t>
        </is>
      </c>
      <c r="D38" s="54" t="inlineStr">
        <is>
          <t>Mounted / Bike</t>
        </is>
      </c>
      <c r="E38" s="54" t="inlineStr">
        <is>
          <t>Invader ATV</t>
        </is>
      </c>
      <c r="F38" s="54" t="inlineStr">
        <is>
          <t>1 model</t>
        </is>
      </c>
      <c r="G38" s="54" t="inlineStr">
        <is>
          <t>Mounted / Bike</t>
        </is>
      </c>
      <c r="H38" s="54" t="str"/>
      <c r="I38" s="54" t="str"/>
      <c r="J38" s="54" t="str"/>
      <c r="K38" s="54" t="str"/>
      <c r="L38" s="55" t="n">
        <v>60</v>
      </c>
      <c r="M38" s="54" t="str"/>
      <c r="N38" s="54" t="inlineStr">
        <is>
          <t>Matched to Munitorum Field Manual v2.3</t>
        </is>
      </c>
      <c r="O38" s="54" t="inlineStr">
        <is>
          <t>Uploaded PDF: Munitorum Field Manual v2.3 / March 2025, p.31</t>
        </is>
      </c>
    </row>
    <row r="39">
      <c r="A39" s="54" t="inlineStr">
        <is>
          <t>Space Marines</t>
        </is>
      </c>
      <c r="B39" s="54" t="inlineStr">
        <is>
          <t>Space Marines</t>
        </is>
      </c>
      <c r="C39" s="54" t="inlineStr">
        <is>
          <t>Vehicle / Support</t>
        </is>
      </c>
      <c r="D39" s="54" t="inlineStr">
        <is>
          <t>Walker / Battlesuit</t>
        </is>
      </c>
      <c r="E39" s="54" t="inlineStr">
        <is>
          <t>Invictor Tactical Warsuit</t>
        </is>
      </c>
      <c r="F39" s="54" t="inlineStr">
        <is>
          <t>1 model</t>
        </is>
      </c>
      <c r="G39" s="54" t="inlineStr">
        <is>
          <t>Walker / Battlesuit</t>
        </is>
      </c>
      <c r="H39" s="54" t="str"/>
      <c r="I39" s="54" t="str"/>
      <c r="J39" s="54" t="str"/>
      <c r="K39" s="54" t="str"/>
      <c r="L39" s="55" t="n">
        <v>125</v>
      </c>
      <c r="M39" s="54" t="str"/>
      <c r="N39" s="54" t="inlineStr">
        <is>
          <t>Matched to Munitorum Field Manual v2.3</t>
        </is>
      </c>
      <c r="O39" s="54" t="inlineStr">
        <is>
          <t>Uploaded PDF: Munitorum Field Manual v2.3 / March 2025, p.31</t>
        </is>
      </c>
    </row>
    <row r="40">
      <c r="A40" s="54" t="inlineStr">
        <is>
          <t>Space Marines</t>
        </is>
      </c>
      <c r="B40" s="54" t="inlineStr">
        <is>
          <t>Space Marines</t>
        </is>
      </c>
      <c r="C40" s="54" t="inlineStr">
        <is>
          <t>Infantry / Other</t>
        </is>
      </c>
      <c r="D40" s="54" t="inlineStr">
        <is>
          <t>Infantry</t>
        </is>
      </c>
      <c r="E40" s="54" t="inlineStr">
        <is>
          <t>Judiciar</t>
        </is>
      </c>
      <c r="F40" s="54" t="inlineStr">
        <is>
          <t>1 model</t>
        </is>
      </c>
      <c r="G40" s="54" t="inlineStr">
        <is>
          <t>Infantry</t>
        </is>
      </c>
      <c r="H40" s="54" t="str"/>
      <c r="I40" s="54" t="str"/>
      <c r="J40" s="54" t="str"/>
      <c r="K40" s="54" t="str"/>
      <c r="L40" s="55" t="n">
        <v>70</v>
      </c>
      <c r="M40" s="54" t="str"/>
      <c r="N40" s="54" t="inlineStr">
        <is>
          <t>Matched to Munitorum Field Manual v2.3</t>
        </is>
      </c>
      <c r="O40" s="54" t="inlineStr">
        <is>
          <t>Uploaded PDF: Munitorum Field Manual v2.3 / March 2025, p.31</t>
        </is>
      </c>
    </row>
    <row r="41">
      <c r="A41" s="54" t="inlineStr">
        <is>
          <t>Raven Guard</t>
        </is>
      </c>
      <c r="B41" s="54" t="inlineStr">
        <is>
          <t>Raven Guard</t>
        </is>
      </c>
      <c r="C41" s="54" t="inlineStr">
        <is>
          <t>Infantry / Other</t>
        </is>
      </c>
      <c r="D41" s="54" t="inlineStr">
        <is>
          <t>Infantry</t>
        </is>
      </c>
      <c r="E41" s="54" t="inlineStr">
        <is>
          <t>Kayvaan Shrike</t>
        </is>
      </c>
      <c r="F41" s="54" t="inlineStr">
        <is>
          <t>1 model</t>
        </is>
      </c>
      <c r="G41" s="54" t="inlineStr">
        <is>
          <t>Infantry</t>
        </is>
      </c>
      <c r="H41" s="54" t="str"/>
      <c r="I41" s="54" t="str"/>
      <c r="J41" s="54" t="str"/>
      <c r="K41" s="54" t="str"/>
      <c r="L41" s="55" t="n">
        <v>100</v>
      </c>
      <c r="M41" s="54" t="str"/>
      <c r="N41" s="54" t="inlineStr">
        <is>
          <t>Matched to Munitorum Field Manual v2.3</t>
        </is>
      </c>
      <c r="O41" s="54" t="inlineStr">
        <is>
          <t>Uploaded PDF: Munitorum Field Manual v2.3 / March 2025, p.31</t>
        </is>
      </c>
    </row>
    <row r="42">
      <c r="A42" s="54" t="inlineStr">
        <is>
          <t>White Scars</t>
        </is>
      </c>
      <c r="B42" s="54" t="inlineStr">
        <is>
          <t>White Scars</t>
        </is>
      </c>
      <c r="C42" s="54" t="inlineStr">
        <is>
          <t>Infantry / Other</t>
        </is>
      </c>
      <c r="D42" s="54" t="inlineStr">
        <is>
          <t>Infantry</t>
        </is>
      </c>
      <c r="E42" s="54" t="inlineStr">
        <is>
          <t>Kor'sarro Khan</t>
        </is>
      </c>
      <c r="F42" s="54" t="inlineStr">
        <is>
          <t>1 model</t>
        </is>
      </c>
      <c r="G42" s="54" t="inlineStr">
        <is>
          <t>Infantry</t>
        </is>
      </c>
      <c r="H42" s="54" t="str"/>
      <c r="I42" s="54" t="str"/>
      <c r="J42" s="54" t="str"/>
      <c r="K42" s="54" t="str"/>
      <c r="L42" s="55" t="n">
        <v>70</v>
      </c>
      <c r="M42" s="54" t="str"/>
      <c r="N42" s="54" t="inlineStr">
        <is>
          <t>Matched to Munitorum Field Manual v2.3</t>
        </is>
      </c>
      <c r="O42" s="54" t="inlineStr">
        <is>
          <t>Uploaded PDF: Munitorum Field Manual v2.3 / March 2025, p.31</t>
        </is>
      </c>
    </row>
    <row r="43">
      <c r="A43" s="54" t="inlineStr">
        <is>
          <t>Space Marines</t>
        </is>
      </c>
      <c r="B43" s="54" t="inlineStr">
        <is>
          <t>Space Marines</t>
        </is>
      </c>
      <c r="C43" s="54" t="inlineStr">
        <is>
          <t>Vehicle / Support</t>
        </is>
      </c>
      <c r="D43" s="54" t="inlineStr">
        <is>
          <t>Vehicle</t>
        </is>
      </c>
      <c r="E43" s="54" t="inlineStr">
        <is>
          <t>Land Raider</t>
        </is>
      </c>
      <c r="F43" s="54" t="inlineStr">
        <is>
          <t>1 model</t>
        </is>
      </c>
      <c r="G43" s="54" t="inlineStr">
        <is>
          <t>Vehicle</t>
        </is>
      </c>
      <c r="H43" s="54" t="str"/>
      <c r="I43" s="54" t="str"/>
      <c r="J43" s="54" t="str"/>
      <c r="K43" s="54" t="str"/>
      <c r="L43" s="55" t="n">
        <v>240</v>
      </c>
      <c r="M43" s="54" t="str"/>
      <c r="N43" s="54" t="inlineStr">
        <is>
          <t>Matched to Munitorum Field Manual v2.3</t>
        </is>
      </c>
      <c r="O43" s="54" t="inlineStr">
        <is>
          <t>Uploaded PDF: Munitorum Field Manual v2.3 / March 2025, p.31</t>
        </is>
      </c>
    </row>
    <row r="44">
      <c r="A44" s="54" t="inlineStr">
        <is>
          <t>Space Marines</t>
        </is>
      </c>
      <c r="B44" s="54" t="inlineStr">
        <is>
          <t>Space Marines</t>
        </is>
      </c>
      <c r="C44" s="54" t="inlineStr">
        <is>
          <t>Vehicle / Support</t>
        </is>
      </c>
      <c r="D44" s="54" t="inlineStr">
        <is>
          <t>Vehicle</t>
        </is>
      </c>
      <c r="E44" s="54" t="inlineStr">
        <is>
          <t>Land Raider Crusader</t>
        </is>
      </c>
      <c r="F44" s="54" t="inlineStr">
        <is>
          <t>1 model</t>
        </is>
      </c>
      <c r="G44" s="54" t="inlineStr">
        <is>
          <t>Vehicle</t>
        </is>
      </c>
      <c r="H44" s="54" t="str"/>
      <c r="I44" s="54" t="str"/>
      <c r="J44" s="54" t="str"/>
      <c r="K44" s="54" t="str"/>
      <c r="L44" s="55" t="n">
        <v>220</v>
      </c>
      <c r="M44" s="54" t="str"/>
      <c r="N44" s="54" t="inlineStr">
        <is>
          <t>Matched to Munitorum Field Manual v2.3</t>
        </is>
      </c>
      <c r="O44" s="54" t="inlineStr">
        <is>
          <t>Uploaded PDF: Munitorum Field Manual v2.3 / March 2025, p.31</t>
        </is>
      </c>
    </row>
    <row r="45">
      <c r="A45" s="54" t="inlineStr">
        <is>
          <t>Space Marines</t>
        </is>
      </c>
      <c r="B45" s="54" t="inlineStr">
        <is>
          <t>Space Marines</t>
        </is>
      </c>
      <c r="C45" s="54" t="inlineStr">
        <is>
          <t>Vehicle / Support</t>
        </is>
      </c>
      <c r="D45" s="54" t="inlineStr">
        <is>
          <t>Vehicle</t>
        </is>
      </c>
      <c r="E45" s="54" t="inlineStr">
        <is>
          <t>Land Raider Redeemer</t>
        </is>
      </c>
      <c r="F45" s="54" t="inlineStr">
        <is>
          <t>1 model</t>
        </is>
      </c>
      <c r="G45" s="54" t="inlineStr">
        <is>
          <t>Vehicle</t>
        </is>
      </c>
      <c r="H45" s="54" t="str"/>
      <c r="I45" s="54" t="str"/>
      <c r="J45" s="54" t="str"/>
      <c r="K45" s="54" t="str"/>
      <c r="L45" s="55" t="n">
        <v>285</v>
      </c>
      <c r="M45" s="54" t="str"/>
      <c r="N45" s="54" t="inlineStr">
        <is>
          <t>Matched to Munitorum Field Manual v2.3</t>
        </is>
      </c>
      <c r="O45" s="54" t="inlineStr">
        <is>
          <t>Uploaded PDF: Munitorum Field Manual v2.3 / March 2025, p.31</t>
        </is>
      </c>
    </row>
    <row r="46">
      <c r="A46" s="54" t="inlineStr">
        <is>
          <t>Space Marines</t>
        </is>
      </c>
      <c r="B46" s="54" t="inlineStr">
        <is>
          <t>Space Marines</t>
        </is>
      </c>
      <c r="C46" s="54" t="inlineStr">
        <is>
          <t>Character</t>
        </is>
      </c>
      <c r="D46" s="54" t="inlineStr">
        <is>
          <t>Character</t>
        </is>
      </c>
      <c r="E46" s="54" t="inlineStr">
        <is>
          <t>Librarian</t>
        </is>
      </c>
      <c r="F46" s="54" t="inlineStr">
        <is>
          <t>1 model</t>
        </is>
      </c>
      <c r="G46" s="54" t="inlineStr">
        <is>
          <t>Character, Psyker</t>
        </is>
      </c>
      <c r="H46" s="54" t="str"/>
      <c r="I46" s="54" t="str"/>
      <c r="J46" s="54" t="str"/>
      <c r="K46" s="54" t="str"/>
      <c r="L46" s="55" t="n">
        <v>65</v>
      </c>
      <c r="M46" s="54" t="str"/>
      <c r="N46" s="54" t="inlineStr">
        <is>
          <t>Matched to Munitorum Field Manual v2.3</t>
        </is>
      </c>
      <c r="O46" s="54" t="inlineStr">
        <is>
          <t>Uploaded PDF: Munitorum Field Manual v2.3 / March 2025, p.31</t>
        </is>
      </c>
    </row>
    <row r="47">
      <c r="A47" s="54" t="inlineStr">
        <is>
          <t>Space Marines</t>
        </is>
      </c>
      <c r="B47" s="54" t="inlineStr">
        <is>
          <t>Space Marines</t>
        </is>
      </c>
      <c r="C47" s="54" t="inlineStr">
        <is>
          <t>Character</t>
        </is>
      </c>
      <c r="D47" s="54" t="inlineStr">
        <is>
          <t>Character</t>
        </is>
      </c>
      <c r="E47" s="54" t="inlineStr">
        <is>
          <t>Librarian in Phobos Armour</t>
        </is>
      </c>
      <c r="F47" s="54" t="inlineStr">
        <is>
          <t>1 model</t>
        </is>
      </c>
      <c r="G47" s="54" t="inlineStr">
        <is>
          <t>Character, Psyker</t>
        </is>
      </c>
      <c r="H47" s="54" t="str"/>
      <c r="I47" s="54" t="str"/>
      <c r="J47" s="54" t="str"/>
      <c r="K47" s="54" t="str"/>
      <c r="L47" s="55" t="n">
        <v>70</v>
      </c>
      <c r="M47" s="54" t="str"/>
      <c r="N47" s="54" t="inlineStr">
        <is>
          <t>Matched to Munitorum Field Manual v2.3</t>
        </is>
      </c>
      <c r="O47" s="54" t="inlineStr">
        <is>
          <t>Uploaded PDF: Munitorum Field Manual v2.3 / March 2025, p.31</t>
        </is>
      </c>
    </row>
    <row r="48">
      <c r="A48" s="54" t="inlineStr">
        <is>
          <t>Space Marines</t>
        </is>
      </c>
      <c r="B48" s="54" t="inlineStr">
        <is>
          <t>Space Marines</t>
        </is>
      </c>
      <c r="C48" s="54" t="inlineStr">
        <is>
          <t>Character</t>
        </is>
      </c>
      <c r="D48" s="54" t="inlineStr">
        <is>
          <t>Character</t>
        </is>
      </c>
      <c r="E48" s="54" t="inlineStr">
        <is>
          <t>Librarian in Terminator Armour</t>
        </is>
      </c>
      <c r="F48" s="54" t="inlineStr">
        <is>
          <t>1 model</t>
        </is>
      </c>
      <c r="G48" s="54" t="inlineStr">
        <is>
          <t>Character, Psyker</t>
        </is>
      </c>
      <c r="H48" s="54" t="str"/>
      <c r="I48" s="54" t="str"/>
      <c r="J48" s="54" t="str"/>
      <c r="K48" s="54" t="str"/>
      <c r="L48" s="55" t="n">
        <v>75</v>
      </c>
      <c r="M48" s="54" t="str"/>
      <c r="N48" s="54" t="inlineStr">
        <is>
          <t>Matched to Munitorum Field Manual v2.3</t>
        </is>
      </c>
      <c r="O48" s="54" t="inlineStr">
        <is>
          <t>Uploaded PDF: Munitorum Field Manual v2.3 / March 2025, p.31</t>
        </is>
      </c>
    </row>
    <row r="49">
      <c r="A49" s="54" t="inlineStr">
        <is>
          <t>Space Marines</t>
        </is>
      </c>
      <c r="B49" s="54" t="inlineStr">
        <is>
          <t>Space Marines</t>
        </is>
      </c>
      <c r="C49" s="54" t="inlineStr">
        <is>
          <t>Infantry / Other</t>
        </is>
      </c>
      <c r="D49" s="54" t="inlineStr">
        <is>
          <t>Infantry</t>
        </is>
      </c>
      <c r="E49" s="54" t="inlineStr">
        <is>
          <t>Lieutenant</t>
        </is>
      </c>
      <c r="F49" s="54" t="inlineStr">
        <is>
          <t>1 model</t>
        </is>
      </c>
      <c r="G49" s="54" t="inlineStr">
        <is>
          <t>Infantry</t>
        </is>
      </c>
      <c r="H49" s="54" t="str"/>
      <c r="I49" s="54" t="str"/>
      <c r="J49" s="54" t="str"/>
      <c r="K49" s="54" t="str"/>
      <c r="L49" s="55" t="n">
        <v>65</v>
      </c>
      <c r="M49" s="54" t="str"/>
      <c r="N49" s="54" t="inlineStr">
        <is>
          <t>Matched to Munitorum Field Manual v2.3</t>
        </is>
      </c>
      <c r="O49" s="54" t="inlineStr">
        <is>
          <t>Uploaded PDF: Munitorum Field Manual v2.3 / March 2025, p.31</t>
        </is>
      </c>
    </row>
    <row r="50">
      <c r="A50" s="54" t="inlineStr">
        <is>
          <t>Space Marines</t>
        </is>
      </c>
      <c r="B50" s="54" t="inlineStr">
        <is>
          <t>Space Marines</t>
        </is>
      </c>
      <c r="C50" s="54" t="inlineStr">
        <is>
          <t>Infantry / Other</t>
        </is>
      </c>
      <c r="D50" s="54" t="inlineStr">
        <is>
          <t>Infantry</t>
        </is>
      </c>
      <c r="E50" s="54" t="inlineStr">
        <is>
          <t>Lieutenant in Phobos Armour</t>
        </is>
      </c>
      <c r="F50" s="54" t="inlineStr">
        <is>
          <t>1 model</t>
        </is>
      </c>
      <c r="G50" s="54" t="inlineStr">
        <is>
          <t>Infantry</t>
        </is>
      </c>
      <c r="H50" s="54" t="str"/>
      <c r="I50" s="54" t="str"/>
      <c r="J50" s="54" t="str"/>
      <c r="K50" s="54" t="str"/>
      <c r="L50" s="55" t="n">
        <v>55</v>
      </c>
      <c r="M50" s="54" t="str"/>
      <c r="N50" s="54" t="inlineStr">
        <is>
          <t>Matched to Munitorum Field Manual v2.3</t>
        </is>
      </c>
      <c r="O50" s="54" t="inlineStr">
        <is>
          <t>Uploaded PDF: Munitorum Field Manual v2.3 / March 2025, p.31</t>
        </is>
      </c>
    </row>
    <row r="51">
      <c r="A51" s="54" t="inlineStr">
        <is>
          <t>Space Marines</t>
        </is>
      </c>
      <c r="B51" s="54" t="inlineStr">
        <is>
          <t>Space Marines</t>
        </is>
      </c>
      <c r="C51" s="54" t="inlineStr">
        <is>
          <t>Infantry / Other</t>
        </is>
      </c>
      <c r="D51" s="54" t="inlineStr">
        <is>
          <t>Infantry</t>
        </is>
      </c>
      <c r="E51" s="54" t="inlineStr">
        <is>
          <t>Lieutenant with Combi-weapon</t>
        </is>
      </c>
      <c r="F51" s="54" t="inlineStr">
        <is>
          <t>1 model</t>
        </is>
      </c>
      <c r="G51" s="54" t="inlineStr">
        <is>
          <t>Infantry</t>
        </is>
      </c>
      <c r="H51" s="54" t="str"/>
      <c r="I51" s="54" t="str"/>
      <c r="J51" s="54" t="str"/>
      <c r="K51" s="54" t="str"/>
      <c r="L51" s="55" t="n">
        <v>70</v>
      </c>
      <c r="M51" s="54" t="str"/>
      <c r="N51" s="54" t="inlineStr">
        <is>
          <t>Matched to Munitorum Field Manual v2.3</t>
        </is>
      </c>
      <c r="O51" s="54" t="inlineStr">
        <is>
          <t>Uploaded PDF: Munitorum Field Manual v2.3 / March 2025, p.31</t>
        </is>
      </c>
    </row>
    <row r="52">
      <c r="A52" s="54" t="inlineStr">
        <is>
          <t>Ultramarines</t>
        </is>
      </c>
      <c r="B52" s="54" t="inlineStr">
        <is>
          <t>Ultramarines</t>
        </is>
      </c>
      <c r="C52" s="54" t="inlineStr">
        <is>
          <t>Infantry / Other</t>
        </is>
      </c>
      <c r="D52" s="54" t="inlineStr">
        <is>
          <t>Infantry</t>
        </is>
      </c>
      <c r="E52" s="54" t="inlineStr">
        <is>
          <t>Marneus Calgar</t>
        </is>
      </c>
      <c r="F52" s="54" t="inlineStr">
        <is>
          <t>3 models</t>
        </is>
      </c>
      <c r="G52" s="54" t="inlineStr">
        <is>
          <t>Infantry</t>
        </is>
      </c>
      <c r="H52" s="54" t="str"/>
      <c r="I52" s="54" t="str"/>
      <c r="J52" s="54" t="str"/>
      <c r="K52" s="54" t="str"/>
      <c r="L52" s="55" t="n">
        <v>210</v>
      </c>
      <c r="M52" s="54" t="str"/>
      <c r="N52" s="54" t="inlineStr">
        <is>
          <t>Matched to Munitorum Field Manual v2.3</t>
        </is>
      </c>
      <c r="O52" s="54" t="inlineStr">
        <is>
          <t>Uploaded PDF: Munitorum Field Manual v2.3 / March 2025, p.31</t>
        </is>
      </c>
    </row>
    <row r="53">
      <c r="A53" s="54" t="inlineStr">
        <is>
          <t>Space Marines</t>
        </is>
      </c>
      <c r="B53" s="54" t="inlineStr">
        <is>
          <t>Space Marines</t>
        </is>
      </c>
      <c r="C53" s="54" t="inlineStr">
        <is>
          <t>Infantry / Other</t>
        </is>
      </c>
      <c r="D53" s="54" t="inlineStr">
        <is>
          <t>Mounted / Bike</t>
        </is>
      </c>
      <c r="E53" s="54" t="inlineStr">
        <is>
          <t>Outrider Squad</t>
        </is>
      </c>
      <c r="F53" s="54" t="inlineStr">
        <is>
          <t>3 models</t>
        </is>
      </c>
      <c r="G53" s="54" t="inlineStr">
        <is>
          <t>Mounted / Bike</t>
        </is>
      </c>
      <c r="H53" s="54" t="str"/>
      <c r="I53" s="54" t="str"/>
      <c r="J53" s="54" t="str"/>
      <c r="K53" s="54" t="str"/>
      <c r="L53" s="55" t="n">
        <v>80</v>
      </c>
      <c r="M53" s="54" t="inlineStr">
        <is>
          <t>Points options: 3 models = 80 pts; 6 models = 160 pts; Invader ATV + = 60 pts</t>
        </is>
      </c>
      <c r="N53" s="54" t="inlineStr">
        <is>
          <t>Matched to Munitorum Field Manual v2.3</t>
        </is>
      </c>
      <c r="O53" s="54" t="inlineStr">
        <is>
          <t>Uploaded PDF: Munitorum Field Manual v2.3 / March 2025, p.31</t>
        </is>
      </c>
    </row>
    <row r="54">
      <c r="A54" s="54" t="inlineStr">
        <is>
          <t>Crimson Fists</t>
        </is>
      </c>
      <c r="B54" s="54" t="inlineStr">
        <is>
          <t>Crimson Fists</t>
        </is>
      </c>
      <c r="C54" s="54" t="inlineStr">
        <is>
          <t>Infantry / Other</t>
        </is>
      </c>
      <c r="D54" s="54" t="inlineStr">
        <is>
          <t>Infantry</t>
        </is>
      </c>
      <c r="E54" s="54" t="inlineStr">
        <is>
          <t>Pedro Kantor</t>
        </is>
      </c>
      <c r="F54" s="54" t="inlineStr">
        <is>
          <t>1 model</t>
        </is>
      </c>
      <c r="G54" s="54" t="inlineStr">
        <is>
          <t>Infantry</t>
        </is>
      </c>
      <c r="H54" s="54" t="str"/>
      <c r="I54" s="54" t="str"/>
      <c r="J54" s="54" t="str"/>
      <c r="K54" s="54" t="str"/>
      <c r="L54" s="55" t="n">
        <v>90</v>
      </c>
      <c r="M54" s="54" t="str"/>
      <c r="N54" s="54" t="inlineStr">
        <is>
          <t>Matched to Munitorum Field Manual v2.3</t>
        </is>
      </c>
      <c r="O54" s="54" t="inlineStr">
        <is>
          <t>Uploaded PDF: Munitorum Field Manual v2.3 / March 2025, p.32</t>
        </is>
      </c>
    </row>
    <row r="55">
      <c r="A55" s="54" t="inlineStr">
        <is>
          <t>Space Marines</t>
        </is>
      </c>
      <c r="B55" s="54" t="inlineStr">
        <is>
          <t>Space Marines</t>
        </is>
      </c>
      <c r="C55" s="54" t="inlineStr">
        <is>
          <t>Vehicle / Support</t>
        </is>
      </c>
      <c r="D55" s="54" t="inlineStr">
        <is>
          <t>Vehicle</t>
        </is>
      </c>
      <c r="E55" s="54" t="inlineStr">
        <is>
          <t>Predator Annihilator</t>
        </is>
      </c>
      <c r="F55" s="54" t="inlineStr">
        <is>
          <t>1 model</t>
        </is>
      </c>
      <c r="G55" s="54" t="inlineStr">
        <is>
          <t>Vehicle</t>
        </is>
      </c>
      <c r="H55" s="54" t="str"/>
      <c r="I55" s="54" t="str"/>
      <c r="J55" s="54" t="str"/>
      <c r="K55" s="54" t="str"/>
      <c r="L55" s="55" t="n">
        <v>135</v>
      </c>
      <c r="M55" s="54" t="str"/>
      <c r="N55" s="54" t="inlineStr">
        <is>
          <t>Matched to Munitorum Field Manual v2.3</t>
        </is>
      </c>
      <c r="O55" s="54" t="inlineStr">
        <is>
          <t>Uploaded PDF: Munitorum Field Manual v2.3 / March 2025, p.32</t>
        </is>
      </c>
    </row>
    <row r="56">
      <c r="A56" s="54" t="inlineStr">
        <is>
          <t>Space Marines</t>
        </is>
      </c>
      <c r="B56" s="54" t="inlineStr">
        <is>
          <t>Space Marines</t>
        </is>
      </c>
      <c r="C56" s="54" t="inlineStr">
        <is>
          <t>Vehicle / Support</t>
        </is>
      </c>
      <c r="D56" s="54" t="inlineStr">
        <is>
          <t>Vehicle</t>
        </is>
      </c>
      <c r="E56" s="54" t="inlineStr">
        <is>
          <t>Predator Destructor</t>
        </is>
      </c>
      <c r="F56" s="54" t="inlineStr">
        <is>
          <t>1 model</t>
        </is>
      </c>
      <c r="G56" s="54" t="inlineStr">
        <is>
          <t>Vehicle</t>
        </is>
      </c>
      <c r="H56" s="54" t="str"/>
      <c r="I56" s="54" t="str"/>
      <c r="J56" s="54" t="str"/>
      <c r="K56" s="54" t="str"/>
      <c r="L56" s="55" t="n">
        <v>140</v>
      </c>
      <c r="M56" s="54" t="str"/>
      <c r="N56" s="54" t="inlineStr">
        <is>
          <t>Matched to Munitorum Field Manual v2.3</t>
        </is>
      </c>
      <c r="O56" s="54" t="inlineStr">
        <is>
          <t>Uploaded PDF: Munitorum Field Manual v2.3 / March 2025, p.32</t>
        </is>
      </c>
    </row>
    <row r="57">
      <c r="A57" s="54" t="inlineStr">
        <is>
          <t>Space Marines</t>
        </is>
      </c>
      <c r="B57" s="54" t="inlineStr">
        <is>
          <t>Space Marines</t>
        </is>
      </c>
      <c r="C57" s="54" t="inlineStr">
        <is>
          <t>Vehicle / Support</t>
        </is>
      </c>
      <c r="D57" s="54" t="inlineStr">
        <is>
          <t>Vehicle</t>
        </is>
      </c>
      <c r="E57" s="54" t="inlineStr">
        <is>
          <t>Razorback</t>
        </is>
      </c>
      <c r="F57" s="54" t="inlineStr">
        <is>
          <t>1 model</t>
        </is>
      </c>
      <c r="G57" s="54" t="inlineStr">
        <is>
          <t>Vehicle</t>
        </is>
      </c>
      <c r="H57" s="54" t="str"/>
      <c r="I57" s="54" t="str"/>
      <c r="J57" s="54" t="str"/>
      <c r="K57" s="54" t="str"/>
      <c r="L57" s="55" t="n">
        <v>95</v>
      </c>
      <c r="M57" s="54" t="str"/>
      <c r="N57" s="54" t="inlineStr">
        <is>
          <t>Matched to Munitorum Field Manual v2.3</t>
        </is>
      </c>
      <c r="O57" s="54" t="inlineStr">
        <is>
          <t>Uploaded PDF: Munitorum Field Manual v2.3 / March 2025, p.32</t>
        </is>
      </c>
    </row>
    <row r="58">
      <c r="A58" s="54" t="inlineStr">
        <is>
          <t>Space Marines</t>
        </is>
      </c>
      <c r="B58" s="54" t="inlineStr">
        <is>
          <t>Space Marines</t>
        </is>
      </c>
      <c r="C58" s="54" t="inlineStr">
        <is>
          <t>Vehicle / Support</t>
        </is>
      </c>
      <c r="D58" s="54" t="inlineStr">
        <is>
          <t>Walker / Battlesuit</t>
        </is>
      </c>
      <c r="E58" s="54" t="inlineStr">
        <is>
          <t>Redemptor Dreadnought</t>
        </is>
      </c>
      <c r="F58" s="54" t="inlineStr">
        <is>
          <t>1 model</t>
        </is>
      </c>
      <c r="G58" s="54" t="inlineStr">
        <is>
          <t>Walker / Battlesuit</t>
        </is>
      </c>
      <c r="H58" s="54" t="str"/>
      <c r="I58" s="54" t="str"/>
      <c r="J58" s="54" t="str"/>
      <c r="K58" s="54" t="str"/>
      <c r="L58" s="55" t="n">
        <v>210</v>
      </c>
      <c r="M58" s="54" t="str"/>
      <c r="N58" s="54" t="inlineStr">
        <is>
          <t>Matched to Munitorum Field Manual v2.3</t>
        </is>
      </c>
      <c r="O58" s="54" t="inlineStr">
        <is>
          <t>Uploaded PDF: Munitorum Field Manual v2.3 / March 2025, p.32</t>
        </is>
      </c>
    </row>
    <row r="59">
      <c r="A59" s="54" t="inlineStr">
        <is>
          <t>Space Marines</t>
        </is>
      </c>
      <c r="B59" s="54" t="inlineStr">
        <is>
          <t>Space Marines</t>
        </is>
      </c>
      <c r="C59" s="54" t="inlineStr">
        <is>
          <t>Infantry / Other</t>
        </is>
      </c>
      <c r="D59" s="54" t="inlineStr">
        <is>
          <t>Infantry</t>
        </is>
      </c>
      <c r="E59" s="54" t="inlineStr">
        <is>
          <t>Reiver Squad</t>
        </is>
      </c>
      <c r="F59" s="54" t="inlineStr">
        <is>
          <t>5 models</t>
        </is>
      </c>
      <c r="G59" s="54" t="inlineStr">
        <is>
          <t>Infantry</t>
        </is>
      </c>
      <c r="H59" s="54" t="str"/>
      <c r="I59" s="54" t="str"/>
      <c r="J59" s="54" t="str"/>
      <c r="K59" s="54" t="str"/>
      <c r="L59" s="55" t="n">
        <v>80</v>
      </c>
      <c r="M59" s="54" t="inlineStr">
        <is>
          <t>Points options: 5 models = 80 pts; 10 models = 160 pts</t>
        </is>
      </c>
      <c r="N59" s="54" t="inlineStr">
        <is>
          <t>Matched to Munitorum Field Manual v2.3</t>
        </is>
      </c>
      <c r="O59" s="54" t="inlineStr">
        <is>
          <t>Uploaded PDF: Munitorum Field Manual v2.3 / March 2025, p.32</t>
        </is>
      </c>
    </row>
    <row r="60">
      <c r="A60" s="54" t="inlineStr">
        <is>
          <t>Space Marines</t>
        </is>
      </c>
      <c r="B60" s="54" t="inlineStr">
        <is>
          <t>Space Marines</t>
        </is>
      </c>
      <c r="C60" s="54" t="inlineStr">
        <is>
          <t>Vehicle / Support</t>
        </is>
      </c>
      <c r="D60" s="54" t="inlineStr">
        <is>
          <t>Vehicle</t>
        </is>
      </c>
      <c r="E60" s="54" t="inlineStr">
        <is>
          <t>Repulsor</t>
        </is>
      </c>
      <c r="F60" s="54" t="inlineStr">
        <is>
          <t>1 model</t>
        </is>
      </c>
      <c r="G60" s="54" t="inlineStr">
        <is>
          <t>Vehicle</t>
        </is>
      </c>
      <c r="H60" s="54" t="str"/>
      <c r="I60" s="54" t="str"/>
      <c r="J60" s="54" t="str"/>
      <c r="K60" s="54" t="str"/>
      <c r="L60" s="55" t="n">
        <v>180</v>
      </c>
      <c r="M60" s="54" t="str"/>
      <c r="N60" s="54" t="inlineStr">
        <is>
          <t>Matched to Munitorum Field Manual v2.3</t>
        </is>
      </c>
      <c r="O60" s="54" t="inlineStr">
        <is>
          <t>Uploaded PDF: Munitorum Field Manual v2.3 / March 2025, p.32</t>
        </is>
      </c>
    </row>
    <row r="61">
      <c r="A61" s="54" t="inlineStr">
        <is>
          <t>Space Marines</t>
        </is>
      </c>
      <c r="B61" s="54" t="inlineStr">
        <is>
          <t>Space Marines</t>
        </is>
      </c>
      <c r="C61" s="54" t="inlineStr">
        <is>
          <t>Vehicle / Support</t>
        </is>
      </c>
      <c r="D61" s="54" t="inlineStr">
        <is>
          <t>Vehicle</t>
        </is>
      </c>
      <c r="E61" s="54" t="inlineStr">
        <is>
          <t>Repulsor Executioner</t>
        </is>
      </c>
      <c r="F61" s="54" t="inlineStr">
        <is>
          <t>1 model</t>
        </is>
      </c>
      <c r="G61" s="54" t="inlineStr">
        <is>
          <t>Vehicle</t>
        </is>
      </c>
      <c r="H61" s="54" t="str"/>
      <c r="I61" s="54" t="str"/>
      <c r="J61" s="54" t="str"/>
      <c r="K61" s="54" t="str"/>
      <c r="L61" s="55" t="n">
        <v>220</v>
      </c>
      <c r="M61" s="54" t="str"/>
      <c r="N61" s="54" t="inlineStr">
        <is>
          <t>Matched to Munitorum Field Manual v2.3</t>
        </is>
      </c>
      <c r="O61" s="54" t="inlineStr">
        <is>
          <t>Uploaded PDF: Munitorum Field Manual v2.3 / March 2025, p.32</t>
        </is>
      </c>
    </row>
    <row r="62">
      <c r="A62" s="54" t="inlineStr">
        <is>
          <t>Space Marines</t>
        </is>
      </c>
      <c r="B62" s="54" t="inlineStr">
        <is>
          <t>Space Marines</t>
        </is>
      </c>
      <c r="C62" s="54" t="inlineStr">
        <is>
          <t>Vehicle / Support</t>
        </is>
      </c>
      <c r="D62" s="54" t="inlineStr">
        <is>
          <t>Vehicle</t>
        </is>
      </c>
      <c r="E62" s="54" t="inlineStr">
        <is>
          <t>Rhino</t>
        </is>
      </c>
      <c r="F62" s="54" t="inlineStr">
        <is>
          <t>1 model</t>
        </is>
      </c>
      <c r="G62" s="54" t="inlineStr">
        <is>
          <t>Vehicle</t>
        </is>
      </c>
      <c r="H62" s="54" t="str"/>
      <c r="I62" s="54" t="str"/>
      <c r="J62" s="54" t="str"/>
      <c r="K62" s="54" t="str"/>
      <c r="L62" s="55" t="n">
        <v>75</v>
      </c>
      <c r="M62" s="54" t="str"/>
      <c r="N62" s="54" t="inlineStr">
        <is>
          <t>Matched to Munitorum Field Manual v2.3</t>
        </is>
      </c>
      <c r="O62" s="54" t="inlineStr">
        <is>
          <t>Uploaded PDF: Munitorum Field Manual v2.3 / March 2025, p.32</t>
        </is>
      </c>
    </row>
    <row r="63">
      <c r="A63" s="54" t="inlineStr">
        <is>
          <t>Ultramarines</t>
        </is>
      </c>
      <c r="B63" s="54" t="inlineStr">
        <is>
          <t>Ultramarines</t>
        </is>
      </c>
      <c r="C63" s="54" t="inlineStr">
        <is>
          <t>Infantry / Other</t>
        </is>
      </c>
      <c r="D63" s="54" t="inlineStr">
        <is>
          <t>Infantry</t>
        </is>
      </c>
      <c r="E63" s="54" t="inlineStr">
        <is>
          <t>Roboute Guilliman</t>
        </is>
      </c>
      <c r="F63" s="54" t="inlineStr">
        <is>
          <t>1 model</t>
        </is>
      </c>
      <c r="G63" s="54" t="inlineStr">
        <is>
          <t>Infantry, Epic Hero</t>
        </is>
      </c>
      <c r="H63" s="54" t="str"/>
      <c r="I63" s="54" t="str"/>
      <c r="J63" s="54" t="str"/>
      <c r="K63" s="54" t="str"/>
      <c r="L63" s="55" t="n">
        <v>345</v>
      </c>
      <c r="M63" s="54" t="str"/>
      <c r="N63" s="54" t="inlineStr">
        <is>
          <t>Matched to Munitorum Field Manual v2.3</t>
        </is>
      </c>
      <c r="O63" s="54" t="inlineStr">
        <is>
          <t>Uploaded PDF: Munitorum Field Manual v2.3 / March 2025, p.32</t>
        </is>
      </c>
    </row>
    <row r="64">
      <c r="A64" s="54" t="inlineStr">
        <is>
          <t>Space Marines</t>
        </is>
      </c>
      <c r="B64" s="54" t="inlineStr">
        <is>
          <t>Space Marines</t>
        </is>
      </c>
      <c r="C64" s="54" t="inlineStr">
        <is>
          <t>Infantry / Other</t>
        </is>
      </c>
      <c r="D64" s="54" t="inlineStr">
        <is>
          <t>Infantry</t>
        </is>
      </c>
      <c r="E64" s="54" t="inlineStr">
        <is>
          <t>Scout Squad</t>
        </is>
      </c>
      <c r="F64" s="54" t="inlineStr">
        <is>
          <t>5 models</t>
        </is>
      </c>
      <c r="G64" s="54" t="inlineStr">
        <is>
          <t>Infantry</t>
        </is>
      </c>
      <c r="H64" s="54" t="str"/>
      <c r="I64" s="54" t="str"/>
      <c r="J64" s="54" t="str"/>
      <c r="K64" s="54" t="str"/>
      <c r="L64" s="55" t="n">
        <v>70</v>
      </c>
      <c r="M64" s="54" t="inlineStr">
        <is>
          <t>Points options: 5 models = 70 pts; 10 models = 140 pts</t>
        </is>
      </c>
      <c r="N64" s="54" t="inlineStr">
        <is>
          <t>Matched to Munitorum Field Manual v2.3</t>
        </is>
      </c>
      <c r="O64" s="54" t="inlineStr">
        <is>
          <t>Uploaded PDF: Munitorum Field Manual v2.3 / March 2025, p.32</t>
        </is>
      </c>
    </row>
    <row r="65">
      <c r="A65" s="54" t="inlineStr">
        <is>
          <t>Space Marines</t>
        </is>
      </c>
      <c r="B65" s="54" t="inlineStr">
        <is>
          <t>Space Marines</t>
        </is>
      </c>
      <c r="C65" s="54" t="inlineStr">
        <is>
          <t>Infantry / Other</t>
        </is>
      </c>
      <c r="D65" s="54" t="inlineStr">
        <is>
          <t>Infantry</t>
        </is>
      </c>
      <c r="E65" s="54" t="inlineStr">
        <is>
          <t>Sternguard Veteran Squad</t>
        </is>
      </c>
      <c r="F65" s="54" t="inlineStr">
        <is>
          <t>5 models</t>
        </is>
      </c>
      <c r="G65" s="54" t="inlineStr">
        <is>
          <t>Infantry</t>
        </is>
      </c>
      <c r="H65" s="54" t="str"/>
      <c r="I65" s="54" t="str"/>
      <c r="J65" s="54" t="str"/>
      <c r="K65" s="54" t="str"/>
      <c r="L65" s="55" t="n">
        <v>100</v>
      </c>
      <c r="M65" s="54" t="inlineStr">
        <is>
          <t>Points options: 5 models = 100 pts; 10 models = 200 pts</t>
        </is>
      </c>
      <c r="N65" s="54" t="inlineStr">
        <is>
          <t>Matched to Munitorum Field Manual v2.3</t>
        </is>
      </c>
      <c r="O65" s="54" t="inlineStr">
        <is>
          <t>Uploaded PDF: Munitorum Field Manual v2.3 / March 2025, p.32</t>
        </is>
      </c>
    </row>
    <row r="66">
      <c r="A66" s="54" t="inlineStr">
        <is>
          <t>Space Marines</t>
        </is>
      </c>
      <c r="B66" s="54" t="inlineStr">
        <is>
          <t>Space Marines</t>
        </is>
      </c>
      <c r="C66" s="54" t="inlineStr">
        <is>
          <t>Vehicle / Support</t>
        </is>
      </c>
      <c r="D66" s="54" t="inlineStr">
        <is>
          <t>Vehicle</t>
        </is>
      </c>
      <c r="E66" s="54" t="inlineStr">
        <is>
          <t>Storm Speeder Hailstrike</t>
        </is>
      </c>
      <c r="F66" s="54" t="inlineStr">
        <is>
          <t>1 model</t>
        </is>
      </c>
      <c r="G66" s="54" t="inlineStr">
        <is>
          <t>Vehicle</t>
        </is>
      </c>
      <c r="H66" s="54" t="str"/>
      <c r="I66" s="54" t="str"/>
      <c r="J66" s="54" t="str"/>
      <c r="K66" s="54" t="str"/>
      <c r="L66" s="55" t="n">
        <v>115</v>
      </c>
      <c r="M66" s="54" t="str"/>
      <c r="N66" s="54" t="inlineStr">
        <is>
          <t>Matched to Munitorum Field Manual v2.3</t>
        </is>
      </c>
      <c r="O66" s="54" t="inlineStr">
        <is>
          <t>Uploaded PDF: Munitorum Field Manual v2.3 / March 2025, p.32</t>
        </is>
      </c>
    </row>
    <row r="67">
      <c r="A67" s="54" t="inlineStr">
        <is>
          <t>Space Marines</t>
        </is>
      </c>
      <c r="B67" s="54" t="inlineStr">
        <is>
          <t>Space Marines</t>
        </is>
      </c>
      <c r="C67" s="54" t="inlineStr">
        <is>
          <t>Vehicle / Support</t>
        </is>
      </c>
      <c r="D67" s="54" t="inlineStr">
        <is>
          <t>Vehicle</t>
        </is>
      </c>
      <c r="E67" s="54" t="inlineStr">
        <is>
          <t>Storm Speeder Hammerstrike</t>
        </is>
      </c>
      <c r="F67" s="54" t="inlineStr">
        <is>
          <t>1 model</t>
        </is>
      </c>
      <c r="G67" s="54" t="inlineStr">
        <is>
          <t>Vehicle</t>
        </is>
      </c>
      <c r="H67" s="54" t="str"/>
      <c r="I67" s="54" t="str"/>
      <c r="J67" s="54" t="str"/>
      <c r="K67" s="54" t="str"/>
      <c r="L67" s="55" t="n">
        <v>125</v>
      </c>
      <c r="M67" s="54" t="str"/>
      <c r="N67" s="54" t="inlineStr">
        <is>
          <t>Matched to Munitorum Field Manual v2.3</t>
        </is>
      </c>
      <c r="O67" s="54" t="inlineStr">
        <is>
          <t>Uploaded PDF: Munitorum Field Manual v2.3 / March 2025, p.32</t>
        </is>
      </c>
    </row>
    <row r="68">
      <c r="A68" s="54" t="inlineStr">
        <is>
          <t>Space Marines</t>
        </is>
      </c>
      <c r="B68" s="54" t="inlineStr">
        <is>
          <t>Space Marines</t>
        </is>
      </c>
      <c r="C68" s="54" t="inlineStr">
        <is>
          <t>Vehicle / Support</t>
        </is>
      </c>
      <c r="D68" s="54" t="inlineStr">
        <is>
          <t>Vehicle</t>
        </is>
      </c>
      <c r="E68" s="54" t="inlineStr">
        <is>
          <t>Storm Speeder Thunderstrike</t>
        </is>
      </c>
      <c r="F68" s="54" t="inlineStr">
        <is>
          <t>1 model</t>
        </is>
      </c>
      <c r="G68" s="54" t="inlineStr">
        <is>
          <t>Vehicle</t>
        </is>
      </c>
      <c r="H68" s="54" t="str"/>
      <c r="I68" s="54" t="str"/>
      <c r="J68" s="54" t="str"/>
      <c r="K68" s="54" t="str"/>
      <c r="L68" s="55" t="n">
        <v>150</v>
      </c>
      <c r="M68" s="54" t="str"/>
      <c r="N68" s="54" t="inlineStr">
        <is>
          <t>Matched to Munitorum Field Manual v2.3</t>
        </is>
      </c>
      <c r="O68" s="54" t="inlineStr">
        <is>
          <t>Uploaded PDF: Munitorum Field Manual v2.3 / March 2025, p.32</t>
        </is>
      </c>
    </row>
    <row r="69">
      <c r="A69" s="54" t="inlineStr">
        <is>
          <t>Space Marines</t>
        </is>
      </c>
      <c r="B69" s="54" t="inlineStr">
        <is>
          <t>Space Marines</t>
        </is>
      </c>
      <c r="C69" s="54" t="inlineStr">
        <is>
          <t>Vehicle / Support</t>
        </is>
      </c>
      <c r="D69" s="54" t="inlineStr">
        <is>
          <t>Aircraft</t>
        </is>
      </c>
      <c r="E69" s="54" t="inlineStr">
        <is>
          <t>Stormhawk Interceptor</t>
        </is>
      </c>
      <c r="F69" s="54" t="inlineStr">
        <is>
          <t>1 model</t>
        </is>
      </c>
      <c r="G69" s="54" t="inlineStr">
        <is>
          <t>Aircraft</t>
        </is>
      </c>
      <c r="H69" s="54" t="str"/>
      <c r="I69" s="54" t="str"/>
      <c r="J69" s="54" t="str"/>
      <c r="K69" s="54" t="str"/>
      <c r="L69" s="55" t="n">
        <v>155</v>
      </c>
      <c r="M69" s="54" t="str"/>
      <c r="N69" s="54" t="inlineStr">
        <is>
          <t>Matched to Munitorum Field Manual v2.3</t>
        </is>
      </c>
      <c r="O69" s="54" t="inlineStr">
        <is>
          <t>Uploaded PDF: Munitorum Field Manual v2.3 / March 2025, p.32</t>
        </is>
      </c>
    </row>
    <row r="70">
      <c r="A70" s="54" t="inlineStr">
        <is>
          <t>Space Marines</t>
        </is>
      </c>
      <c r="B70" s="54" t="inlineStr">
        <is>
          <t>Space Marines</t>
        </is>
      </c>
      <c r="C70" s="54" t="inlineStr">
        <is>
          <t>Vehicle / Support</t>
        </is>
      </c>
      <c r="D70" s="54" t="inlineStr">
        <is>
          <t>Vehicle</t>
        </is>
      </c>
      <c r="E70" s="54" t="inlineStr">
        <is>
          <t>Stormraven Gunship</t>
        </is>
      </c>
      <c r="F70" s="54" t="inlineStr">
        <is>
          <t>1 model</t>
        </is>
      </c>
      <c r="G70" s="54" t="inlineStr">
        <is>
          <t>Vehicle</t>
        </is>
      </c>
      <c r="H70" s="54" t="str"/>
      <c r="I70" s="54" t="str"/>
      <c r="J70" s="54" t="str"/>
      <c r="K70" s="54" t="str"/>
      <c r="L70" s="55" t="n">
        <v>280</v>
      </c>
      <c r="M70" s="54" t="str"/>
      <c r="N70" s="54" t="inlineStr">
        <is>
          <t>Matched to Munitorum Field Manual v2.3</t>
        </is>
      </c>
      <c r="O70" s="54" t="inlineStr">
        <is>
          <t>Uploaded PDF: Munitorum Field Manual v2.3 / March 2025, p.32</t>
        </is>
      </c>
    </row>
    <row r="71">
      <c r="A71" s="54" t="inlineStr">
        <is>
          <t>Space Marines</t>
        </is>
      </c>
      <c r="B71" s="54" t="inlineStr">
        <is>
          <t>Space Marines</t>
        </is>
      </c>
      <c r="C71" s="54" t="inlineStr">
        <is>
          <t>Vehicle / Support</t>
        </is>
      </c>
      <c r="D71" s="54" t="inlineStr">
        <is>
          <t>Vehicle</t>
        </is>
      </c>
      <c r="E71" s="54" t="inlineStr">
        <is>
          <t>Stormtalon Gunship</t>
        </is>
      </c>
      <c r="F71" s="54" t="inlineStr">
        <is>
          <t>1 model</t>
        </is>
      </c>
      <c r="G71" s="54" t="inlineStr">
        <is>
          <t>Vehicle</t>
        </is>
      </c>
      <c r="H71" s="54" t="str"/>
      <c r="I71" s="54" t="str"/>
      <c r="J71" s="54" t="str"/>
      <c r="K71" s="54" t="str"/>
      <c r="L71" s="55" t="n">
        <v>165</v>
      </c>
      <c r="M71" s="54" t="str"/>
      <c r="N71" s="54" t="inlineStr">
        <is>
          <t>Matched to Munitorum Field Manual v2.3</t>
        </is>
      </c>
      <c r="O71" s="54" t="inlineStr">
        <is>
          <t>Uploaded PDF: Munitorum Field Manual v2.3 / March 2025, p.32</t>
        </is>
      </c>
    </row>
    <row r="72">
      <c r="A72" s="54" t="inlineStr">
        <is>
          <t>Space Marines</t>
        </is>
      </c>
      <c r="B72" s="54" t="inlineStr">
        <is>
          <t>Space Marines</t>
        </is>
      </c>
      <c r="C72" s="54" t="inlineStr">
        <is>
          <t>Infantry / Other</t>
        </is>
      </c>
      <c r="D72" s="54" t="inlineStr">
        <is>
          <t>Infantry</t>
        </is>
      </c>
      <c r="E72" s="54" t="inlineStr">
        <is>
          <t>Suppressor Squad</t>
        </is>
      </c>
      <c r="F72" s="54" t="inlineStr">
        <is>
          <t>3 models</t>
        </is>
      </c>
      <c r="G72" s="54" t="inlineStr">
        <is>
          <t>Infantry</t>
        </is>
      </c>
      <c r="H72" s="54" t="str"/>
      <c r="I72" s="54" t="str"/>
      <c r="J72" s="54" t="str"/>
      <c r="K72" s="54" t="str"/>
      <c r="L72" s="55" t="n">
        <v>75</v>
      </c>
      <c r="M72" s="54" t="str"/>
      <c r="N72" s="54" t="inlineStr">
        <is>
          <t>Matched to Munitorum Field Manual v2.3</t>
        </is>
      </c>
      <c r="O72" s="54" t="inlineStr">
        <is>
          <t>Uploaded PDF: Munitorum Field Manual v2.3 / March 2025, p.32</t>
        </is>
      </c>
    </row>
    <row r="73">
      <c r="A73" s="54" t="inlineStr">
        <is>
          <t>Space Marines</t>
        </is>
      </c>
      <c r="B73" s="54" t="inlineStr">
        <is>
          <t>Space Marines</t>
        </is>
      </c>
      <c r="C73" s="54" t="inlineStr">
        <is>
          <t>Battleline / Core</t>
        </is>
      </c>
      <c r="D73" s="54" t="inlineStr">
        <is>
          <t>Infantry</t>
        </is>
      </c>
      <c r="E73" s="54" t="inlineStr">
        <is>
          <t>Tactical Squad</t>
        </is>
      </c>
      <c r="F73" s="54" t="inlineStr">
        <is>
          <t>10 models</t>
        </is>
      </c>
      <c r="G73" s="54" t="inlineStr">
        <is>
          <t>Infantry</t>
        </is>
      </c>
      <c r="H73" s="54" t="str"/>
      <c r="I73" s="54" t="str"/>
      <c r="J73" s="54" t="str"/>
      <c r="K73" s="54" t="str"/>
      <c r="L73" s="55" t="n">
        <v>140</v>
      </c>
      <c r="M73" s="54" t="str"/>
      <c r="N73" s="54" t="inlineStr">
        <is>
          <t>Matched to Munitorum Field Manual v2.3</t>
        </is>
      </c>
      <c r="O73" s="54" t="inlineStr">
        <is>
          <t>Uploaded PDF: Munitorum Field Manual v2.3 / March 2025, p.32</t>
        </is>
      </c>
    </row>
    <row r="74">
      <c r="A74" s="54" t="inlineStr">
        <is>
          <t>Space Marines</t>
        </is>
      </c>
      <c r="B74" s="54" t="inlineStr">
        <is>
          <t>Space Marines</t>
        </is>
      </c>
      <c r="C74" s="54" t="inlineStr">
        <is>
          <t>Character</t>
        </is>
      </c>
      <c r="D74" s="54" t="inlineStr">
        <is>
          <t>Character</t>
        </is>
      </c>
      <c r="E74" s="54" t="inlineStr">
        <is>
          <t>Techmarine</t>
        </is>
      </c>
      <c r="F74" s="54" t="inlineStr">
        <is>
          <t>1 model</t>
        </is>
      </c>
      <c r="G74" s="54" t="inlineStr">
        <is>
          <t>Character</t>
        </is>
      </c>
      <c r="H74" s="54" t="str"/>
      <c r="I74" s="54" t="str"/>
      <c r="J74" s="54" t="str"/>
      <c r="K74" s="54" t="str"/>
      <c r="L74" s="55" t="n">
        <v>55</v>
      </c>
      <c r="M74" s="54" t="str"/>
      <c r="N74" s="54" t="inlineStr">
        <is>
          <t>Matched to Munitorum Field Manual v2.3</t>
        </is>
      </c>
      <c r="O74" s="54" t="inlineStr">
        <is>
          <t>Uploaded PDF: Munitorum Field Manual v2.3 / March 2025, p.32</t>
        </is>
      </c>
    </row>
    <row r="75">
      <c r="A75" s="54" t="inlineStr">
        <is>
          <t>Space Marines</t>
        </is>
      </c>
      <c r="B75" s="54" t="inlineStr">
        <is>
          <t>Space Marines</t>
        </is>
      </c>
      <c r="C75" s="54" t="inlineStr">
        <is>
          <t>Infantry / Other</t>
        </is>
      </c>
      <c r="D75" s="54" t="inlineStr">
        <is>
          <t>Infantry</t>
        </is>
      </c>
      <c r="E75" s="54" t="inlineStr">
        <is>
          <t>Terminator Assault Squad</t>
        </is>
      </c>
      <c r="F75" s="54" t="inlineStr">
        <is>
          <t>5 models</t>
        </is>
      </c>
      <c r="G75" s="54" t="inlineStr">
        <is>
          <t>Infantry</t>
        </is>
      </c>
      <c r="H75" s="54" t="str"/>
      <c r="I75" s="54" t="str"/>
      <c r="J75" s="54" t="str"/>
      <c r="K75" s="54" t="str"/>
      <c r="L75" s="55" t="n">
        <v>180</v>
      </c>
      <c r="M75" s="54" t="inlineStr">
        <is>
          <t>Points options: 5 models = 180 pts; 10 models = 360 pts</t>
        </is>
      </c>
      <c r="N75" s="54" t="inlineStr">
        <is>
          <t>Matched to Munitorum Field Manual v2.3</t>
        </is>
      </c>
      <c r="O75" s="54" t="inlineStr">
        <is>
          <t>Uploaded PDF: Munitorum Field Manual v2.3 / March 2025, p.32</t>
        </is>
      </c>
    </row>
    <row r="76">
      <c r="A76" s="54" t="inlineStr">
        <is>
          <t>Space Marines</t>
        </is>
      </c>
      <c r="B76" s="54" t="inlineStr">
        <is>
          <t>Space Marines</t>
        </is>
      </c>
      <c r="C76" s="54" t="inlineStr">
        <is>
          <t>Infantry / Other</t>
        </is>
      </c>
      <c r="D76" s="54" t="inlineStr">
        <is>
          <t>Infantry</t>
        </is>
      </c>
      <c r="E76" s="54" t="inlineStr">
        <is>
          <t>Terminator Squad</t>
        </is>
      </c>
      <c r="F76" s="54" t="inlineStr">
        <is>
          <t>5 models</t>
        </is>
      </c>
      <c r="G76" s="54" t="inlineStr">
        <is>
          <t>Infantry</t>
        </is>
      </c>
      <c r="H76" s="54" t="str"/>
      <c r="I76" s="54" t="str"/>
      <c r="J76" s="54" t="str"/>
      <c r="K76" s="54" t="str"/>
      <c r="L76" s="55" t="n">
        <v>170</v>
      </c>
      <c r="M76" s="54" t="inlineStr">
        <is>
          <t>Points options: 5 models = 170 pts; 10 models = 340 pts</t>
        </is>
      </c>
      <c r="N76" s="54" t="inlineStr">
        <is>
          <t>Matched to Munitorum Field Manual v2.3</t>
        </is>
      </c>
      <c r="O76" s="54" t="inlineStr">
        <is>
          <t>Uploaded PDF: Munitorum Field Manual v2.3 / March 2025, p.32</t>
        </is>
      </c>
    </row>
    <row r="77">
      <c r="A77" s="54" t="inlineStr">
        <is>
          <t>Imperial Fists</t>
        </is>
      </c>
      <c r="B77" s="54" t="inlineStr">
        <is>
          <t>Imperial Fists</t>
        </is>
      </c>
      <c r="C77" s="54" t="inlineStr">
        <is>
          <t>Infantry / Other</t>
        </is>
      </c>
      <c r="D77" s="54" t="inlineStr">
        <is>
          <t>Infantry</t>
        </is>
      </c>
      <c r="E77" s="54" t="inlineStr">
        <is>
          <t>Tor Garadon</t>
        </is>
      </c>
      <c r="F77" s="54" t="inlineStr">
        <is>
          <t>1 model</t>
        </is>
      </c>
      <c r="G77" s="54" t="inlineStr">
        <is>
          <t>Infantry</t>
        </is>
      </c>
      <c r="H77" s="54" t="str"/>
      <c r="I77" s="54" t="str"/>
      <c r="J77" s="54" t="str"/>
      <c r="K77" s="54" t="str"/>
      <c r="L77" s="55" t="n">
        <v>90</v>
      </c>
      <c r="M77" s="54" t="str"/>
      <c r="N77" s="54" t="inlineStr">
        <is>
          <t>Matched to Munitorum Field Manual v2.3</t>
        </is>
      </c>
      <c r="O77" s="54" t="inlineStr">
        <is>
          <t>Uploaded PDF: Munitorum Field Manual v2.3 / March 2025, p.32</t>
        </is>
      </c>
    </row>
    <row r="78">
      <c r="A78" s="54" t="inlineStr">
        <is>
          <t>Ultramarines</t>
        </is>
      </c>
      <c r="B78" s="54" t="inlineStr">
        <is>
          <t>Ultramarines</t>
        </is>
      </c>
      <c r="C78" s="54" t="inlineStr">
        <is>
          <t>Infantry / Other</t>
        </is>
      </c>
      <c r="D78" s="54" t="inlineStr">
        <is>
          <t>Infantry</t>
        </is>
      </c>
      <c r="E78" s="54" t="inlineStr">
        <is>
          <t>Uriel Ventris</t>
        </is>
      </c>
      <c r="F78" s="54" t="inlineStr">
        <is>
          <t>1 model</t>
        </is>
      </c>
      <c r="G78" s="54" t="inlineStr">
        <is>
          <t>Infantry</t>
        </is>
      </c>
      <c r="H78" s="54" t="str"/>
      <c r="I78" s="54" t="str"/>
      <c r="J78" s="54" t="str"/>
      <c r="K78" s="54" t="str"/>
      <c r="L78" s="55" t="n">
        <v>95</v>
      </c>
      <c r="M78" s="54" t="str"/>
      <c r="N78" s="54" t="inlineStr">
        <is>
          <t>Matched to Munitorum Field Manual v2.3</t>
        </is>
      </c>
      <c r="O78" s="54" t="inlineStr">
        <is>
          <t>Uploaded PDF: Munitorum Field Manual v2.3 / March 2025, p.32</t>
        </is>
      </c>
    </row>
    <row r="79">
      <c r="A79" s="54" t="inlineStr">
        <is>
          <t>Space Marines</t>
        </is>
      </c>
      <c r="B79" s="54" t="inlineStr">
        <is>
          <t>Space Marines</t>
        </is>
      </c>
      <c r="C79" s="54" t="inlineStr">
        <is>
          <t>Infantry / Other</t>
        </is>
      </c>
      <c r="D79" s="54" t="inlineStr">
        <is>
          <t>Infantry</t>
        </is>
      </c>
      <c r="E79" s="54" t="inlineStr">
        <is>
          <t>Vanguard Veteran Squad with Jump Packs</t>
        </is>
      </c>
      <c r="F79" s="54" t="inlineStr">
        <is>
          <t>5 models</t>
        </is>
      </c>
      <c r="G79" s="54" t="inlineStr">
        <is>
          <t>Infantry</t>
        </is>
      </c>
      <c r="H79" s="54" t="str"/>
      <c r="I79" s="54" t="str"/>
      <c r="J79" s="54" t="str"/>
      <c r="K79" s="54" t="str"/>
      <c r="L79" s="55" t="n">
        <v>110</v>
      </c>
      <c r="M79" s="54" t="inlineStr">
        <is>
          <t>Points options: 5 models = 110 pts; 10 models = 220 pts</t>
        </is>
      </c>
      <c r="N79" s="54" t="inlineStr">
        <is>
          <t>Matched to Munitorum Field Manual v2.3</t>
        </is>
      </c>
      <c r="O79" s="54" t="inlineStr">
        <is>
          <t>Uploaded PDF: Munitorum Field Manual v2.3 / March 2025, p.32</t>
        </is>
      </c>
    </row>
    <row r="80">
      <c r="A80" s="54" t="inlineStr">
        <is>
          <t>Space Marines</t>
        </is>
      </c>
      <c r="B80" s="54" t="inlineStr">
        <is>
          <t>Space Marines</t>
        </is>
      </c>
      <c r="C80" s="54" t="inlineStr">
        <is>
          <t>Vehicle / Support</t>
        </is>
      </c>
      <c r="D80" s="54" t="inlineStr">
        <is>
          <t>Vehicle</t>
        </is>
      </c>
      <c r="E80" s="54" t="inlineStr">
        <is>
          <t>Vindicator</t>
        </is>
      </c>
      <c r="F80" s="54" t="inlineStr">
        <is>
          <t>1 model</t>
        </is>
      </c>
      <c r="G80" s="54" t="inlineStr">
        <is>
          <t>Vehicle</t>
        </is>
      </c>
      <c r="H80" s="54" t="str"/>
      <c r="I80" s="54" t="str"/>
      <c r="J80" s="54" t="str"/>
      <c r="K80" s="54" t="str"/>
      <c r="L80" s="55" t="n">
        <v>185</v>
      </c>
      <c r="M80" s="54" t="str"/>
      <c r="N80" s="54" t="inlineStr">
        <is>
          <t>Matched to Munitorum Field Manual v2.3</t>
        </is>
      </c>
      <c r="O80" s="54" t="inlineStr">
        <is>
          <t>Uploaded PDF: Munitorum Field Manual v2.3 / March 2025, p.32</t>
        </is>
      </c>
    </row>
    <row r="81">
      <c r="A81" s="54" t="inlineStr">
        <is>
          <t>Space Marines</t>
        </is>
      </c>
      <c r="B81" s="54" t="inlineStr">
        <is>
          <t>Space Marines</t>
        </is>
      </c>
      <c r="C81" s="54" t="inlineStr">
        <is>
          <t>Vehicle / Support</t>
        </is>
      </c>
      <c r="D81" s="54" t="inlineStr">
        <is>
          <t>Vehicle</t>
        </is>
      </c>
      <c r="E81" s="54" t="inlineStr">
        <is>
          <t>Whirlwind</t>
        </is>
      </c>
      <c r="F81" s="54" t="inlineStr">
        <is>
          <t>1 model</t>
        </is>
      </c>
      <c r="G81" s="54" t="inlineStr">
        <is>
          <t>Vehicle</t>
        </is>
      </c>
      <c r="H81" s="54" t="str"/>
      <c r="I81" s="54" t="str"/>
      <c r="J81" s="54" t="str"/>
      <c r="K81" s="54" t="str"/>
      <c r="L81" s="55" t="n">
        <v>190</v>
      </c>
      <c r="M81" s="54" t="str"/>
      <c r="N81" s="54" t="inlineStr">
        <is>
          <t>Matched to Munitorum Field Manual v2.3</t>
        </is>
      </c>
      <c r="O81" s="54" t="inlineStr">
        <is>
          <t>Uploaded PDF: Munitorum Field Manual v2.3 / March 2025, p.32</t>
        </is>
      </c>
    </row>
    <row r="82">
      <c r="A82" s="54" t="inlineStr">
        <is>
          <t>Blood Angels</t>
        </is>
      </c>
      <c r="B82" s="54" t="inlineStr">
        <is>
          <t>Blood Angels</t>
        </is>
      </c>
      <c r="C82" s="54" t="inlineStr">
        <is>
          <t>Infantry / Other</t>
        </is>
      </c>
      <c r="D82" s="54" t="inlineStr">
        <is>
          <t>Infantry</t>
        </is>
      </c>
      <c r="E82" s="54" t="inlineStr">
        <is>
          <t>Astorath</t>
        </is>
      </c>
      <c r="F82" s="54" t="inlineStr">
        <is>
          <t>1 model</t>
        </is>
      </c>
      <c r="G82" s="54" t="inlineStr">
        <is>
          <t>Infantry</t>
        </is>
      </c>
      <c r="H82" s="54" t="str"/>
      <c r="I82" s="54" t="str"/>
      <c r="J82" s="54" t="str"/>
      <c r="K82" s="54" t="str"/>
      <c r="L82" s="55" t="n">
        <v>105</v>
      </c>
      <c r="M82" s="54" t="str"/>
      <c r="N82" s="54" t="inlineStr">
        <is>
          <t>Matched to Munitorum Field Manual v2.3</t>
        </is>
      </c>
      <c r="O82" s="54" t="inlineStr">
        <is>
          <t>Uploaded PDF: Munitorum Field Manual v2.3 / March 2025, p.11</t>
        </is>
      </c>
    </row>
    <row r="83">
      <c r="A83" s="54" t="inlineStr">
        <is>
          <t>Blood Angels</t>
        </is>
      </c>
      <c r="B83" s="54" t="inlineStr">
        <is>
          <t>Blood Angels</t>
        </is>
      </c>
      <c r="C83" s="54" t="inlineStr">
        <is>
          <t>Vehicle / Support</t>
        </is>
      </c>
      <c r="D83" s="54" t="inlineStr">
        <is>
          <t>Vehicle</t>
        </is>
      </c>
      <c r="E83" s="54" t="inlineStr">
        <is>
          <t>Baal Predator</t>
        </is>
      </c>
      <c r="F83" s="54" t="inlineStr">
        <is>
          <t>1 model</t>
        </is>
      </c>
      <c r="G83" s="54" t="inlineStr">
        <is>
          <t>Vehicle</t>
        </is>
      </c>
      <c r="H83" s="54" t="str"/>
      <c r="I83" s="54" t="str"/>
      <c r="J83" s="54" t="str"/>
      <c r="K83" s="54" t="str"/>
      <c r="L83" s="55" t="n">
        <v>135</v>
      </c>
      <c r="M83" s="54" t="str"/>
      <c r="N83" s="54" t="inlineStr">
        <is>
          <t>Matched to Munitorum Field Manual v2.3</t>
        </is>
      </c>
      <c r="O83" s="54" t="inlineStr">
        <is>
          <t>Uploaded PDF: Munitorum Field Manual v2.3 / March 2025, p.11</t>
        </is>
      </c>
    </row>
    <row r="84">
      <c r="A84" s="54" t="inlineStr">
        <is>
          <t>Blood Angels</t>
        </is>
      </c>
      <c r="B84" s="54" t="inlineStr">
        <is>
          <t>Blood Angels</t>
        </is>
      </c>
      <c r="C84" s="54" t="inlineStr">
        <is>
          <t>Character</t>
        </is>
      </c>
      <c r="D84" s="54" t="inlineStr">
        <is>
          <t>Character</t>
        </is>
      </c>
      <c r="E84" s="54" t="inlineStr">
        <is>
          <t>Blood Angels Captain</t>
        </is>
      </c>
      <c r="F84" s="54" t="inlineStr">
        <is>
          <t>1 model</t>
        </is>
      </c>
      <c r="G84" s="54" t="inlineStr">
        <is>
          <t>Character</t>
        </is>
      </c>
      <c r="H84" s="54" t="str"/>
      <c r="I84" s="54" t="str"/>
      <c r="J84" s="54" t="str"/>
      <c r="K84" s="54" t="str"/>
      <c r="L84" s="55" t="n">
        <v>80</v>
      </c>
      <c r="M84" s="54" t="str"/>
      <c r="N84" s="54" t="inlineStr">
        <is>
          <t>Matched to Munitorum Field Manual v2.3</t>
        </is>
      </c>
      <c r="O84" s="54" t="inlineStr">
        <is>
          <t>Uploaded PDF: Munitorum Field Manual v2.3 / March 2025, p.11</t>
        </is>
      </c>
    </row>
    <row r="85">
      <c r="A85" s="54" t="inlineStr">
        <is>
          <t>Blood Angels</t>
        </is>
      </c>
      <c r="B85" s="54" t="inlineStr">
        <is>
          <t>Blood Angels</t>
        </is>
      </c>
      <c r="C85" s="54" t="inlineStr">
        <is>
          <t>Character</t>
        </is>
      </c>
      <c r="D85" s="54" t="inlineStr">
        <is>
          <t>Character</t>
        </is>
      </c>
      <c r="E85" s="54" t="inlineStr">
        <is>
          <t>Chief Librarian Mephiston</t>
        </is>
      </c>
      <c r="F85" s="54" t="inlineStr">
        <is>
          <t>1 model</t>
        </is>
      </c>
      <c r="G85" s="54" t="inlineStr">
        <is>
          <t>Character, Psyker</t>
        </is>
      </c>
      <c r="H85" s="54" t="str"/>
      <c r="I85" s="54" t="str"/>
      <c r="J85" s="54" t="str"/>
      <c r="K85" s="54" t="str"/>
      <c r="L85" s="55" t="n">
        <v>135</v>
      </c>
      <c r="M85" s="54" t="str"/>
      <c r="N85" s="54" t="inlineStr">
        <is>
          <t>Matched to Munitorum Field Manual v2.3</t>
        </is>
      </c>
      <c r="O85" s="54" t="inlineStr">
        <is>
          <t>Uploaded PDF: Munitorum Field Manual v2.3 / March 2025, p.11</t>
        </is>
      </c>
    </row>
    <row r="86">
      <c r="A86" s="54" t="inlineStr">
        <is>
          <t>Blood Angels</t>
        </is>
      </c>
      <c r="B86" s="54" t="inlineStr">
        <is>
          <t>Blood Angels</t>
        </is>
      </c>
      <c r="C86" s="54" t="inlineStr">
        <is>
          <t>Character</t>
        </is>
      </c>
      <c r="D86" s="54" t="inlineStr">
        <is>
          <t>Character</t>
        </is>
      </c>
      <c r="E86" s="54" t="inlineStr">
        <is>
          <t>Commander Dante</t>
        </is>
      </c>
      <c r="F86" s="54" t="inlineStr">
        <is>
          <t>1 model</t>
        </is>
      </c>
      <c r="G86" s="54" t="inlineStr">
        <is>
          <t>Character, Epic Hero</t>
        </is>
      </c>
      <c r="H86" s="54" t="str"/>
      <c r="I86" s="54" t="str"/>
      <c r="J86" s="54" t="str"/>
      <c r="K86" s="54" t="str"/>
      <c r="L86" s="55" t="n">
        <v>130</v>
      </c>
      <c r="M86" s="54" t="str"/>
      <c r="N86" s="54" t="inlineStr">
        <is>
          <t>Matched to Munitorum Field Manual v2.3</t>
        </is>
      </c>
      <c r="O86" s="54" t="inlineStr">
        <is>
          <t>Uploaded PDF: Munitorum Field Manual v2.3 / March 2025, p.11</t>
        </is>
      </c>
    </row>
    <row r="87">
      <c r="A87" s="54" t="inlineStr">
        <is>
          <t>Blood Angels</t>
        </is>
      </c>
      <c r="B87" s="54" t="inlineStr">
        <is>
          <t>Blood Angels</t>
        </is>
      </c>
      <c r="C87" s="54" t="inlineStr">
        <is>
          <t>Vehicle / Support</t>
        </is>
      </c>
      <c r="D87" s="54" t="inlineStr">
        <is>
          <t>Walker / Battlesuit</t>
        </is>
      </c>
      <c r="E87" s="54" t="inlineStr">
        <is>
          <t>Death Company Dreadnought</t>
        </is>
      </c>
      <c r="F87" s="54" t="inlineStr">
        <is>
          <t>1 model</t>
        </is>
      </c>
      <c r="G87" s="54" t="inlineStr">
        <is>
          <t>Walker / Battlesuit</t>
        </is>
      </c>
      <c r="H87" s="54" t="str"/>
      <c r="I87" s="54" t="str"/>
      <c r="J87" s="54" t="str"/>
      <c r="K87" s="54" t="str"/>
      <c r="L87" s="55" t="n">
        <v>180</v>
      </c>
      <c r="M87" s="54" t="str"/>
      <c r="N87" s="54" t="inlineStr">
        <is>
          <t>Matched to Munitorum Field Manual v2.3</t>
        </is>
      </c>
      <c r="O87" s="54" t="inlineStr">
        <is>
          <t>Uploaded PDF: Munitorum Field Manual v2.3 / March 2025, p.11</t>
        </is>
      </c>
    </row>
    <row r="88">
      <c r="A88" s="54" t="inlineStr">
        <is>
          <t>Blood Angels</t>
        </is>
      </c>
      <c r="B88" s="54" t="inlineStr">
        <is>
          <t>Blood Angels</t>
        </is>
      </c>
      <c r="C88" s="54" t="inlineStr">
        <is>
          <t>Infantry / Other</t>
        </is>
      </c>
      <c r="D88" s="54" t="inlineStr">
        <is>
          <t>Infantry</t>
        </is>
      </c>
      <c r="E88" s="54" t="inlineStr">
        <is>
          <t>Death Company Marines</t>
        </is>
      </c>
      <c r="F88" s="54" t="inlineStr">
        <is>
          <t>5 models</t>
        </is>
      </c>
      <c r="G88" s="54" t="inlineStr">
        <is>
          <t>Infantry</t>
        </is>
      </c>
      <c r="H88" s="54" t="str"/>
      <c r="I88" s="54" t="str"/>
      <c r="J88" s="54" t="str"/>
      <c r="K88" s="54" t="str"/>
      <c r="L88" s="55" t="n">
        <v>85</v>
      </c>
      <c r="M88" s="54" t="inlineStr">
        <is>
          <t>Points options: 5 models = 85 pts; 10 models = 160 pts</t>
        </is>
      </c>
      <c r="N88" s="54" t="inlineStr">
        <is>
          <t>Matched to Munitorum Field Manual v2.3</t>
        </is>
      </c>
      <c r="O88" s="54" t="inlineStr">
        <is>
          <t>Uploaded PDF: Munitorum Field Manual v2.3 / March 2025, p.11</t>
        </is>
      </c>
    </row>
    <row r="89">
      <c r="A89" s="54" t="inlineStr">
        <is>
          <t>Blood Angels</t>
        </is>
      </c>
      <c r="B89" s="54" t="inlineStr">
        <is>
          <t>Blood Angels</t>
        </is>
      </c>
      <c r="C89" s="54" t="inlineStr">
        <is>
          <t>Infantry / Other</t>
        </is>
      </c>
      <c r="D89" s="54" t="inlineStr">
        <is>
          <t>Infantry</t>
        </is>
      </c>
      <c r="E89" s="54" t="inlineStr">
        <is>
          <t>Death Company Marines with Bolt Rifles</t>
        </is>
      </c>
      <c r="F89" s="54" t="inlineStr">
        <is>
          <t>5 models</t>
        </is>
      </c>
      <c r="G89" s="54" t="inlineStr">
        <is>
          <t>Infantry</t>
        </is>
      </c>
      <c r="H89" s="54" t="str"/>
      <c r="I89" s="54" t="str"/>
      <c r="J89" s="54" t="str"/>
      <c r="K89" s="54" t="str"/>
      <c r="L89" s="55" t="n">
        <v>85</v>
      </c>
      <c r="M89" s="54" t="inlineStr">
        <is>
          <t>Points options: 5 models = 85 pts; 10 models = 160 pts</t>
        </is>
      </c>
      <c r="N89" s="54" t="inlineStr">
        <is>
          <t>Matched to Munitorum Field Manual v2.3</t>
        </is>
      </c>
      <c r="O89" s="54" t="inlineStr">
        <is>
          <t>Uploaded PDF: Munitorum Field Manual v2.3 / March 2025, p.11</t>
        </is>
      </c>
    </row>
    <row r="90">
      <c r="A90" s="54" t="inlineStr">
        <is>
          <t>Blood Angels</t>
        </is>
      </c>
      <c r="B90" s="54" t="inlineStr">
        <is>
          <t>Blood Angels</t>
        </is>
      </c>
      <c r="C90" s="54" t="inlineStr">
        <is>
          <t>Infantry / Other</t>
        </is>
      </c>
      <c r="D90" s="54" t="inlineStr">
        <is>
          <t>Infantry</t>
        </is>
      </c>
      <c r="E90" s="54" t="inlineStr">
        <is>
          <t>Death Company Marines with Jump Packs</t>
        </is>
      </c>
      <c r="F90" s="54" t="inlineStr">
        <is>
          <t>5 models</t>
        </is>
      </c>
      <c r="G90" s="54" t="inlineStr">
        <is>
          <t>Infantry</t>
        </is>
      </c>
      <c r="H90" s="54" t="str"/>
      <c r="I90" s="54" t="str"/>
      <c r="J90" s="54" t="str"/>
      <c r="K90" s="54" t="str"/>
      <c r="L90" s="55" t="n">
        <v>130</v>
      </c>
      <c r="M90" s="54" t="inlineStr">
        <is>
          <t>Points options: 5 models = 130 pts; 10 models = 240 pts</t>
        </is>
      </c>
      <c r="N90" s="54" t="inlineStr">
        <is>
          <t>Matched to Munitorum Field Manual v2.3</t>
        </is>
      </c>
      <c r="O90" s="54" t="inlineStr">
        <is>
          <t>Uploaded PDF: Munitorum Field Manual v2.3 / March 2025, p.11</t>
        </is>
      </c>
    </row>
    <row r="91">
      <c r="A91" s="54" t="inlineStr">
        <is>
          <t>Blood Angels</t>
        </is>
      </c>
      <c r="B91" s="54" t="inlineStr">
        <is>
          <t>Blood Angels</t>
        </is>
      </c>
      <c r="C91" s="54" t="inlineStr">
        <is>
          <t>Vehicle / Support</t>
        </is>
      </c>
      <c r="D91" s="54" t="inlineStr">
        <is>
          <t>Walker / Battlesuit</t>
        </is>
      </c>
      <c r="E91" s="54" t="inlineStr">
        <is>
          <t>Furioso Dreadnought</t>
        </is>
      </c>
      <c r="F91" s="54" t="n"/>
      <c r="G91" s="54" t="inlineStr">
        <is>
          <t>Walker / Battlesuit</t>
        </is>
      </c>
      <c r="H91" s="54" t="str"/>
      <c r="I91" s="54" t="str"/>
      <c r="J91" s="54" t="str"/>
      <c r="K91" s="54" t="str"/>
      <c r="L91" s="55" t="n"/>
      <c r="M91" s="54" t="inlineStr">
        <is>
          <t>No matching points entry found in uploaded PDF; verify unit name/current support.</t>
        </is>
      </c>
      <c r="N91" s="54" t="inlineStr">
        <is>
          <t>Not found in uploaded PDF</t>
        </is>
      </c>
      <c r="O91" s="54" t="inlineStr">
        <is>
          <t>Uploaded PDF: Munitorum Field Manual v2.3 / March 2025</t>
        </is>
      </c>
    </row>
    <row r="92">
      <c r="A92" s="54" t="inlineStr">
        <is>
          <t>Blood Angels</t>
        </is>
      </c>
      <c r="B92" s="54" t="inlineStr">
        <is>
          <t>Blood Angels</t>
        </is>
      </c>
      <c r="C92" s="54" t="inlineStr">
        <is>
          <t>Infantry / Other</t>
        </is>
      </c>
      <c r="D92" s="54" t="inlineStr">
        <is>
          <t>Infantry</t>
        </is>
      </c>
      <c r="E92" s="54" t="inlineStr">
        <is>
          <t>Gabriel Seth</t>
        </is>
      </c>
      <c r="F92" s="54" t="n"/>
      <c r="G92" s="54" t="inlineStr">
        <is>
          <t>Infantry</t>
        </is>
      </c>
      <c r="H92" s="54" t="str"/>
      <c r="I92" s="54" t="str"/>
      <c r="J92" s="54" t="str"/>
      <c r="K92" s="54" t="str"/>
      <c r="L92" s="55" t="n"/>
      <c r="M92" s="54" t="inlineStr">
        <is>
          <t>No matching points entry found in uploaded PDF; verify unit name/current support.</t>
        </is>
      </c>
      <c r="N92" s="54" t="inlineStr">
        <is>
          <t>Not found in uploaded PDF</t>
        </is>
      </c>
      <c r="O92" s="54" t="inlineStr">
        <is>
          <t>Uploaded PDF: Munitorum Field Manual v2.3 / March 2025</t>
        </is>
      </c>
    </row>
    <row r="93">
      <c r="A93" s="54" t="inlineStr">
        <is>
          <t>Blood Angels</t>
        </is>
      </c>
      <c r="B93" s="54" t="inlineStr">
        <is>
          <t>Blood Angels</t>
        </is>
      </c>
      <c r="C93" s="54" t="inlineStr">
        <is>
          <t>Infantry / Other</t>
        </is>
      </c>
      <c r="D93" s="54" t="inlineStr">
        <is>
          <t>Infantry</t>
        </is>
      </c>
      <c r="E93" s="54" t="inlineStr">
        <is>
          <t>Lemartes</t>
        </is>
      </c>
      <c r="F93" s="54" t="inlineStr">
        <is>
          <t>1 model</t>
        </is>
      </c>
      <c r="G93" s="54" t="inlineStr">
        <is>
          <t>Infantry</t>
        </is>
      </c>
      <c r="H93" s="54" t="str"/>
      <c r="I93" s="54" t="str"/>
      <c r="J93" s="54" t="str"/>
      <c r="K93" s="54" t="str"/>
      <c r="L93" s="55" t="n">
        <v>110</v>
      </c>
      <c r="M93" s="54" t="str"/>
      <c r="N93" s="54" t="inlineStr">
        <is>
          <t>Matched to Munitorum Field Manual v2.3</t>
        </is>
      </c>
      <c r="O93" s="54" t="inlineStr">
        <is>
          <t>Uploaded PDF: Munitorum Field Manual v2.3 / March 2025, p.11</t>
        </is>
      </c>
    </row>
    <row r="94">
      <c r="A94" s="54" t="inlineStr">
        <is>
          <t>Blood Angels</t>
        </is>
      </c>
      <c r="B94" s="54" t="inlineStr">
        <is>
          <t>Blood Angels</t>
        </is>
      </c>
      <c r="C94" s="54" t="inlineStr">
        <is>
          <t>Character</t>
        </is>
      </c>
      <c r="D94" s="54" t="inlineStr">
        <is>
          <t>Character</t>
        </is>
      </c>
      <c r="E94" s="54" t="inlineStr">
        <is>
          <t>Librarian Dreadnought</t>
        </is>
      </c>
      <c r="F94" s="54" t="n"/>
      <c r="G94" s="54" t="inlineStr">
        <is>
          <t>Character, Psyker</t>
        </is>
      </c>
      <c r="H94" s="54" t="str"/>
      <c r="I94" s="54" t="str"/>
      <c r="J94" s="54" t="str"/>
      <c r="K94" s="54" t="str"/>
      <c r="L94" s="55" t="n"/>
      <c r="M94" s="54" t="inlineStr">
        <is>
          <t>No matching points entry found in uploaded PDF; verify unit name/current support.</t>
        </is>
      </c>
      <c r="N94" s="54" t="inlineStr">
        <is>
          <t>Not found in uploaded PDF</t>
        </is>
      </c>
      <c r="O94" s="54" t="inlineStr">
        <is>
          <t>Uploaded PDF: Munitorum Field Manual v2.3 / March 2025</t>
        </is>
      </c>
    </row>
    <row r="95">
      <c r="A95" s="54" t="inlineStr">
        <is>
          <t>Blood Angels</t>
        </is>
      </c>
      <c r="B95" s="54" t="inlineStr">
        <is>
          <t>Blood Angels</t>
        </is>
      </c>
      <c r="C95" s="54" t="inlineStr">
        <is>
          <t>Infantry / Other</t>
        </is>
      </c>
      <c r="D95" s="54" t="inlineStr">
        <is>
          <t>Infantry</t>
        </is>
      </c>
      <c r="E95" s="54" t="inlineStr">
        <is>
          <t>Sanguinary Guard</t>
        </is>
      </c>
      <c r="F95" s="54" t="inlineStr">
        <is>
          <t>3 models</t>
        </is>
      </c>
      <c r="G95" s="54" t="inlineStr">
        <is>
          <t>Infantry</t>
        </is>
      </c>
      <c r="H95" s="54" t="str"/>
      <c r="I95" s="54" t="str"/>
      <c r="J95" s="54" t="str"/>
      <c r="K95" s="54" t="str"/>
      <c r="L95" s="55" t="n">
        <v>130</v>
      </c>
      <c r="M95" s="54" t="inlineStr">
        <is>
          <t>Points options: 3 models = 130 pts; 6 models = 260 pts</t>
        </is>
      </c>
      <c r="N95" s="54" t="inlineStr">
        <is>
          <t>Matched to Munitorum Field Manual v2.3</t>
        </is>
      </c>
      <c r="O95" s="54" t="inlineStr">
        <is>
          <t>Uploaded PDF: Munitorum Field Manual v2.3 / March 2025, p.11</t>
        </is>
      </c>
    </row>
    <row r="96">
      <c r="A96" s="54" t="inlineStr">
        <is>
          <t>Blood Angels</t>
        </is>
      </c>
      <c r="B96" s="54" t="inlineStr">
        <is>
          <t>Blood Angels</t>
        </is>
      </c>
      <c r="C96" s="54" t="inlineStr">
        <is>
          <t>Character</t>
        </is>
      </c>
      <c r="D96" s="54" t="inlineStr">
        <is>
          <t>Character</t>
        </is>
      </c>
      <c r="E96" s="54" t="inlineStr">
        <is>
          <t>Sanguinary Priest</t>
        </is>
      </c>
      <c r="F96" s="54" t="inlineStr">
        <is>
          <t>1 model</t>
        </is>
      </c>
      <c r="G96" s="54" t="inlineStr">
        <is>
          <t>Character</t>
        </is>
      </c>
      <c r="H96" s="54" t="str"/>
      <c r="I96" s="54" t="str"/>
      <c r="J96" s="54" t="str"/>
      <c r="K96" s="54" t="str"/>
      <c r="L96" s="55" t="n">
        <v>90</v>
      </c>
      <c r="M96" s="54" t="str"/>
      <c r="N96" s="54" t="inlineStr">
        <is>
          <t>Matched to Munitorum Field Manual v2.3</t>
        </is>
      </c>
      <c r="O96" s="54" t="inlineStr">
        <is>
          <t>Uploaded PDF: Munitorum Field Manual v2.3 / March 2025, p.11</t>
        </is>
      </c>
    </row>
    <row r="97">
      <c r="A97" s="54" t="inlineStr">
        <is>
          <t>Blood Angels</t>
        </is>
      </c>
      <c r="B97" s="54" t="inlineStr">
        <is>
          <t>Blood Angels</t>
        </is>
      </c>
      <c r="C97" s="54" t="inlineStr">
        <is>
          <t>Infantry / Other</t>
        </is>
      </c>
      <c r="D97" s="54" t="inlineStr">
        <is>
          <t>Infantry</t>
        </is>
      </c>
      <c r="E97" s="54" t="inlineStr">
        <is>
          <t>The Sanguinor</t>
        </is>
      </c>
      <c r="F97" s="54" t="inlineStr">
        <is>
          <t>1 model</t>
        </is>
      </c>
      <c r="G97" s="54" t="inlineStr">
        <is>
          <t>Infantry</t>
        </is>
      </c>
      <c r="H97" s="54" t="str"/>
      <c r="I97" s="54" t="str"/>
      <c r="J97" s="54" t="str"/>
      <c r="K97" s="54" t="str"/>
      <c r="L97" s="55" t="n">
        <v>140</v>
      </c>
      <c r="M97" s="54" t="str"/>
      <c r="N97" s="54" t="inlineStr">
        <is>
          <t>Matched to Munitorum Field Manual v2.3</t>
        </is>
      </c>
      <c r="O97" s="54" t="inlineStr">
        <is>
          <t>Uploaded PDF: Munitorum Field Manual v2.3 / March 2025, p.11</t>
        </is>
      </c>
    </row>
    <row r="98">
      <c r="A98" s="54" t="inlineStr">
        <is>
          <t>Blood Angels</t>
        </is>
      </c>
      <c r="B98" s="54" t="inlineStr">
        <is>
          <t>Blood Angels</t>
        </is>
      </c>
      <c r="C98" s="54" t="inlineStr">
        <is>
          <t>Infantry / Other</t>
        </is>
      </c>
      <c r="D98" s="54" t="inlineStr">
        <is>
          <t>Infantry</t>
        </is>
      </c>
      <c r="E98" s="54" t="inlineStr">
        <is>
          <t>Tycho the Lost</t>
        </is>
      </c>
      <c r="F98" s="54" t="n"/>
      <c r="G98" s="54" t="inlineStr">
        <is>
          <t>Infantry</t>
        </is>
      </c>
      <c r="H98" s="54" t="str"/>
      <c r="I98" s="54" t="str"/>
      <c r="J98" s="54" t="str"/>
      <c r="K98" s="54" t="str"/>
      <c r="L98" s="55" t="n"/>
      <c r="M98" s="54" t="inlineStr">
        <is>
          <t>No matching points entry found in uploaded PDF; verify unit name/current support.</t>
        </is>
      </c>
      <c r="N98" s="54" t="inlineStr">
        <is>
          <t>Not found in uploaded PDF</t>
        </is>
      </c>
      <c r="O98" s="54" t="inlineStr">
        <is>
          <t>Uploaded PDF: Munitorum Field Manual v2.3 / March 2025</t>
        </is>
      </c>
    </row>
    <row r="99">
      <c r="A99" s="54" t="inlineStr">
        <is>
          <t>Dark Angels</t>
        </is>
      </c>
      <c r="B99" s="54" t="inlineStr">
        <is>
          <t>Dark Angels</t>
        </is>
      </c>
      <c r="C99" s="54" t="inlineStr">
        <is>
          <t>Infantry / Other</t>
        </is>
      </c>
      <c r="D99" s="54" t="inlineStr">
        <is>
          <t>Infantry</t>
        </is>
      </c>
      <c r="E99" s="54" t="inlineStr">
        <is>
          <t>Asmodai</t>
        </is>
      </c>
      <c r="F99" s="54" t="inlineStr">
        <is>
          <t>1 model</t>
        </is>
      </c>
      <c r="G99" s="54" t="inlineStr">
        <is>
          <t>Infantry</t>
        </is>
      </c>
      <c r="H99" s="54" t="str"/>
      <c r="I99" s="54" t="str"/>
      <c r="J99" s="54" t="str"/>
      <c r="K99" s="54" t="str"/>
      <c r="L99" s="55" t="n">
        <v>70</v>
      </c>
      <c r="M99" s="54" t="str"/>
      <c r="N99" s="54" t="inlineStr">
        <is>
          <t>Matched to Munitorum Field Manual v2.3</t>
        </is>
      </c>
      <c r="O99" s="54" t="inlineStr">
        <is>
          <t>Uploaded PDF: Munitorum Field Manual v2.3 / March 2025, p.17</t>
        </is>
      </c>
    </row>
    <row r="100">
      <c r="A100" s="54" t="inlineStr">
        <is>
          <t>Dark Angels</t>
        </is>
      </c>
      <c r="B100" s="54" t="inlineStr">
        <is>
          <t>Dark Angels</t>
        </is>
      </c>
      <c r="C100" s="54" t="inlineStr">
        <is>
          <t>Infantry / Other</t>
        </is>
      </c>
      <c r="D100" s="54" t="inlineStr">
        <is>
          <t>Infantry</t>
        </is>
      </c>
      <c r="E100" s="54" t="inlineStr">
        <is>
          <t>Azrael</t>
        </is>
      </c>
      <c r="F100" s="54" t="inlineStr">
        <is>
          <t>1 model</t>
        </is>
      </c>
      <c r="G100" s="54" t="inlineStr">
        <is>
          <t>Infantry</t>
        </is>
      </c>
      <c r="H100" s="54" t="str"/>
      <c r="I100" s="54" t="str"/>
      <c r="J100" s="54" t="str"/>
      <c r="K100" s="54" t="str"/>
      <c r="L100" s="55" t="n">
        <v>115</v>
      </c>
      <c r="M100" s="54" t="str"/>
      <c r="N100" s="54" t="inlineStr">
        <is>
          <t>Matched to Munitorum Field Manual v2.3</t>
        </is>
      </c>
      <c r="O100" s="54" t="inlineStr">
        <is>
          <t>Uploaded PDF: Munitorum Field Manual v2.3 / March 2025, p.17</t>
        </is>
      </c>
    </row>
    <row r="101">
      <c r="A101" s="54" t="inlineStr">
        <is>
          <t>Dark Angels</t>
        </is>
      </c>
      <c r="B101" s="54" t="inlineStr">
        <is>
          <t>Dark Angels</t>
        </is>
      </c>
      <c r="C101" s="54" t="inlineStr">
        <is>
          <t>Infantry / Other</t>
        </is>
      </c>
      <c r="D101" s="54" t="inlineStr">
        <is>
          <t>Infantry</t>
        </is>
      </c>
      <c r="E101" s="54" t="inlineStr">
        <is>
          <t>Belial</t>
        </is>
      </c>
      <c r="F101" s="54" t="inlineStr">
        <is>
          <t>1 model</t>
        </is>
      </c>
      <c r="G101" s="54" t="inlineStr">
        <is>
          <t>Infantry</t>
        </is>
      </c>
      <c r="H101" s="54" t="str"/>
      <c r="I101" s="54" t="str"/>
      <c r="J101" s="54" t="str"/>
      <c r="K101" s="54" t="str"/>
      <c r="L101" s="55" t="n">
        <v>85</v>
      </c>
      <c r="M101" s="54" t="str"/>
      <c r="N101" s="54" t="inlineStr">
        <is>
          <t>Matched to Munitorum Field Manual v2.3</t>
        </is>
      </c>
      <c r="O101" s="54" t="inlineStr">
        <is>
          <t>Uploaded PDF: Munitorum Field Manual v2.3 / March 2025, p.17</t>
        </is>
      </c>
    </row>
    <row r="102">
      <c r="A102" s="54" t="inlineStr">
        <is>
          <t>Dark Angels</t>
        </is>
      </c>
      <c r="B102" s="54" t="inlineStr">
        <is>
          <t>Dark Angels</t>
        </is>
      </c>
      <c r="C102" s="54" t="inlineStr">
        <is>
          <t>Vehicle / Support</t>
        </is>
      </c>
      <c r="D102" s="54" t="inlineStr">
        <is>
          <t>Super-heavy Vehicle/Monster</t>
        </is>
      </c>
      <c r="E102" s="54" t="inlineStr">
        <is>
          <t>Black Knights</t>
        </is>
      </c>
      <c r="F102" s="54" t="n"/>
      <c r="G102" s="54" t="inlineStr">
        <is>
          <t>Super-heavy Vehicle/Monster</t>
        </is>
      </c>
      <c r="H102" s="54" t="str"/>
      <c r="I102" s="54" t="str"/>
      <c r="J102" s="54" t="str"/>
      <c r="K102" s="54" t="str"/>
      <c r="L102" s="55" t="n"/>
      <c r="M102" s="54" t="inlineStr">
        <is>
          <t>No matching points entry found in uploaded PDF; verify unit name/current support.</t>
        </is>
      </c>
      <c r="N102" s="54" t="inlineStr">
        <is>
          <t>Not found in uploaded PDF</t>
        </is>
      </c>
      <c r="O102" s="54" t="inlineStr">
        <is>
          <t>Uploaded PDF: Munitorum Field Manual v2.3 / March 2025</t>
        </is>
      </c>
    </row>
    <row r="103">
      <c r="A103" s="54" t="inlineStr">
        <is>
          <t>Dark Angels</t>
        </is>
      </c>
      <c r="B103" s="54" t="inlineStr">
        <is>
          <t>Dark Angels</t>
        </is>
      </c>
      <c r="C103" s="54" t="inlineStr">
        <is>
          <t>Infantry / Other</t>
        </is>
      </c>
      <c r="D103" s="54" t="inlineStr">
        <is>
          <t>Infantry</t>
        </is>
      </c>
      <c r="E103" s="54" t="inlineStr">
        <is>
          <t>Deathwing Command Squad</t>
        </is>
      </c>
      <c r="F103" s="54" t="n"/>
      <c r="G103" s="54" t="inlineStr">
        <is>
          <t>Infantry</t>
        </is>
      </c>
      <c r="H103" s="54" t="str"/>
      <c r="I103" s="54" t="str"/>
      <c r="J103" s="54" t="str"/>
      <c r="K103" s="54" t="str"/>
      <c r="L103" s="55" t="n"/>
      <c r="M103" s="54" t="inlineStr">
        <is>
          <t>No matching points entry found in uploaded PDF; verify unit name/current support.</t>
        </is>
      </c>
      <c r="N103" s="54" t="inlineStr">
        <is>
          <t>Not found in uploaded PDF</t>
        </is>
      </c>
      <c r="O103" s="54" t="inlineStr">
        <is>
          <t>Uploaded PDF: Munitorum Field Manual v2.3 / March 2025</t>
        </is>
      </c>
    </row>
    <row r="104">
      <c r="A104" s="54" t="inlineStr">
        <is>
          <t>Dark Angels</t>
        </is>
      </c>
      <c r="B104" s="54" t="inlineStr">
        <is>
          <t>Dark Angels</t>
        </is>
      </c>
      <c r="C104" s="54" t="inlineStr">
        <is>
          <t>Vehicle / Support</t>
        </is>
      </c>
      <c r="D104" s="54" t="inlineStr">
        <is>
          <t>Super-heavy Vehicle/Monster</t>
        </is>
      </c>
      <c r="E104" s="54" t="inlineStr">
        <is>
          <t>Deathwing Knights</t>
        </is>
      </c>
      <c r="F104" s="54" t="inlineStr">
        <is>
          <t>5 models</t>
        </is>
      </c>
      <c r="G104" s="54" t="inlineStr">
        <is>
          <t>Super-heavy Vehicle/Monster</t>
        </is>
      </c>
      <c r="H104" s="54" t="str"/>
      <c r="I104" s="54" t="str"/>
      <c r="J104" s="54" t="str"/>
      <c r="K104" s="54" t="str"/>
      <c r="L104" s="55" t="n">
        <v>250</v>
      </c>
      <c r="M104" s="54" t="str"/>
      <c r="N104" s="54" t="inlineStr">
        <is>
          <t>Matched to Munitorum Field Manual v2.3</t>
        </is>
      </c>
      <c r="O104" s="54" t="inlineStr">
        <is>
          <t>Uploaded PDF: Munitorum Field Manual v2.3 / March 2025, p.17</t>
        </is>
      </c>
    </row>
    <row r="105">
      <c r="A105" s="54" t="inlineStr">
        <is>
          <t>Dark Angels</t>
        </is>
      </c>
      <c r="B105" s="54" t="inlineStr">
        <is>
          <t>Dark Angels</t>
        </is>
      </c>
      <c r="C105" s="54" t="inlineStr">
        <is>
          <t>Infantry / Other</t>
        </is>
      </c>
      <c r="D105" s="54" t="inlineStr">
        <is>
          <t>Infantry</t>
        </is>
      </c>
      <c r="E105" s="54" t="inlineStr">
        <is>
          <t>Deathwing Terminator Squad</t>
        </is>
      </c>
      <c r="F105" s="54" t="inlineStr">
        <is>
          <t>5 models</t>
        </is>
      </c>
      <c r="G105" s="54" t="inlineStr">
        <is>
          <t>Infantry</t>
        </is>
      </c>
      <c r="H105" s="54" t="str"/>
      <c r="I105" s="54" t="str"/>
      <c r="J105" s="54" t="str"/>
      <c r="K105" s="54" t="str"/>
      <c r="L105" s="55" t="n">
        <v>180</v>
      </c>
      <c r="M105" s="54" t="inlineStr">
        <is>
          <t>Points options: 5 models = 180 pts; 10 models = 360 pts</t>
        </is>
      </c>
      <c r="N105" s="54" t="inlineStr">
        <is>
          <t>Matched to Munitorum Field Manual v2.3</t>
        </is>
      </c>
      <c r="O105" s="54" t="inlineStr">
        <is>
          <t>Uploaded PDF: Munitorum Field Manual v2.3 / March 2025, p.17</t>
        </is>
      </c>
    </row>
    <row r="106">
      <c r="A106" s="54" t="inlineStr">
        <is>
          <t>Dark Angels</t>
        </is>
      </c>
      <c r="B106" s="54" t="inlineStr">
        <is>
          <t>Dark Angels</t>
        </is>
      </c>
      <c r="C106" s="54" t="inlineStr">
        <is>
          <t>Infantry / Other</t>
        </is>
      </c>
      <c r="D106" s="54" t="inlineStr">
        <is>
          <t>Infantry</t>
        </is>
      </c>
      <c r="E106" s="54" t="inlineStr">
        <is>
          <t>Ezekiel</t>
        </is>
      </c>
      <c r="F106" s="54" t="inlineStr">
        <is>
          <t>1 model</t>
        </is>
      </c>
      <c r="G106" s="54" t="inlineStr">
        <is>
          <t>Infantry</t>
        </is>
      </c>
      <c r="H106" s="54" t="str"/>
      <c r="I106" s="54" t="str"/>
      <c r="J106" s="54" t="str"/>
      <c r="K106" s="54" t="str"/>
      <c r="L106" s="55" t="n">
        <v>75</v>
      </c>
      <c r="M106" s="54" t="str"/>
      <c r="N106" s="54" t="inlineStr">
        <is>
          <t>Matched to Munitorum Field Manual v2.3</t>
        </is>
      </c>
      <c r="O106" s="54" t="inlineStr">
        <is>
          <t>Uploaded PDF: Munitorum Field Manual v2.3 / March 2025, p.17</t>
        </is>
      </c>
    </row>
    <row r="107">
      <c r="A107" s="54" t="inlineStr">
        <is>
          <t>Dark Angels</t>
        </is>
      </c>
      <c r="B107" s="54" t="inlineStr">
        <is>
          <t>Dark Angels</t>
        </is>
      </c>
      <c r="C107" s="54" t="inlineStr">
        <is>
          <t>Infantry / Other</t>
        </is>
      </c>
      <c r="D107" s="54" t="inlineStr">
        <is>
          <t>Infantry</t>
        </is>
      </c>
      <c r="E107" s="54" t="inlineStr">
        <is>
          <t>Inner Circle Companions</t>
        </is>
      </c>
      <c r="F107" s="54" t="inlineStr">
        <is>
          <t>3 models</t>
        </is>
      </c>
      <c r="G107" s="54" t="inlineStr">
        <is>
          <t>Infantry</t>
        </is>
      </c>
      <c r="H107" s="54" t="str"/>
      <c r="I107" s="54" t="str"/>
      <c r="J107" s="54" t="str"/>
      <c r="K107" s="54" t="str"/>
      <c r="L107" s="55" t="n">
        <v>90</v>
      </c>
      <c r="M107" s="54" t="inlineStr">
        <is>
          <t>Points options: 3 models = 90 pts; 6 models = 180 pts</t>
        </is>
      </c>
      <c r="N107" s="54" t="inlineStr">
        <is>
          <t>Matched to Munitorum Field Manual v2.3</t>
        </is>
      </c>
      <c r="O107" s="54" t="inlineStr">
        <is>
          <t>Uploaded PDF: Munitorum Field Manual v2.3 / March 2025, p.17</t>
        </is>
      </c>
    </row>
    <row r="108">
      <c r="A108" s="54" t="inlineStr">
        <is>
          <t>Dark Angels</t>
        </is>
      </c>
      <c r="B108" s="54" t="inlineStr">
        <is>
          <t>Dark Angels</t>
        </is>
      </c>
      <c r="C108" s="54" t="inlineStr">
        <is>
          <t>Infantry / Other</t>
        </is>
      </c>
      <c r="D108" s="54" t="inlineStr">
        <is>
          <t>Infantry</t>
        </is>
      </c>
      <c r="E108" s="54" t="inlineStr">
        <is>
          <t>Land Speeder Vengeance</t>
        </is>
      </c>
      <c r="F108" s="54" t="inlineStr">
        <is>
          <t>1 model</t>
        </is>
      </c>
      <c r="G108" s="54" t="inlineStr">
        <is>
          <t>Infantry</t>
        </is>
      </c>
      <c r="H108" s="54" t="str"/>
      <c r="I108" s="54" t="str"/>
      <c r="J108" s="54" t="str"/>
      <c r="K108" s="54" t="str"/>
      <c r="L108" s="55" t="n">
        <v>120</v>
      </c>
      <c r="M108" s="54" t="str"/>
      <c r="N108" s="54" t="inlineStr">
        <is>
          <t>Matched to Munitorum Field Manual v2.3</t>
        </is>
      </c>
      <c r="O108" s="54" t="inlineStr">
        <is>
          <t>Uploaded PDF: Munitorum Field Manual v2.3 / March 2025, p.17</t>
        </is>
      </c>
    </row>
    <row r="109">
      <c r="A109" s="54" t="inlineStr">
        <is>
          <t>Dark Angels</t>
        </is>
      </c>
      <c r="B109" s="54" t="inlineStr">
        <is>
          <t>Dark Angels</t>
        </is>
      </c>
      <c r="C109" s="54" t="inlineStr">
        <is>
          <t>Infantry / Other</t>
        </is>
      </c>
      <c r="D109" s="54" t="inlineStr">
        <is>
          <t>Infantry</t>
        </is>
      </c>
      <c r="E109" s="54" t="inlineStr">
        <is>
          <t>Lion El'Jonson</t>
        </is>
      </c>
      <c r="F109" s="54" t="inlineStr">
        <is>
          <t>1 model</t>
        </is>
      </c>
      <c r="G109" s="54" t="inlineStr">
        <is>
          <t>Infantry, Epic Hero</t>
        </is>
      </c>
      <c r="H109" s="54" t="str"/>
      <c r="I109" s="54" t="str"/>
      <c r="J109" s="54" t="str"/>
      <c r="K109" s="54" t="str"/>
      <c r="L109" s="55" t="n">
        <v>315</v>
      </c>
      <c r="M109" s="54" t="str"/>
      <c r="N109" s="54" t="inlineStr">
        <is>
          <t>Matched to Munitorum Field Manual v2.3</t>
        </is>
      </c>
      <c r="O109" s="54" t="inlineStr">
        <is>
          <t>Uploaded PDF: Munitorum Field Manual v2.3 / March 2025, p.17</t>
        </is>
      </c>
    </row>
    <row r="110">
      <c r="A110" s="54" t="inlineStr">
        <is>
          <t>Dark Angels</t>
        </is>
      </c>
      <c r="B110" s="54" t="inlineStr">
        <is>
          <t>Dark Angels</t>
        </is>
      </c>
      <c r="C110" s="54" t="inlineStr">
        <is>
          <t>Infantry / Other</t>
        </is>
      </c>
      <c r="D110" s="54" t="inlineStr">
        <is>
          <t>Infantry</t>
        </is>
      </c>
      <c r="E110" s="54" t="inlineStr">
        <is>
          <t>Ravenwing Command Squad</t>
        </is>
      </c>
      <c r="F110" s="54" t="inlineStr">
        <is>
          <t>3 models</t>
        </is>
      </c>
      <c r="G110" s="54" t="inlineStr">
        <is>
          <t>Infantry</t>
        </is>
      </c>
      <c r="H110" s="54" t="str"/>
      <c r="I110" s="54" t="str"/>
      <c r="J110" s="54" t="str"/>
      <c r="K110" s="54" t="str"/>
      <c r="L110" s="55" t="n">
        <v>120</v>
      </c>
      <c r="M110" s="54" t="str"/>
      <c r="N110" s="54" t="inlineStr">
        <is>
          <t>Matched to Munitorum Field Manual v2.3</t>
        </is>
      </c>
      <c r="O110" s="54" t="inlineStr">
        <is>
          <t>Uploaded PDF: Munitorum Field Manual v2.3 / March 2025, p.17</t>
        </is>
      </c>
    </row>
    <row r="111">
      <c r="A111" s="54" t="inlineStr">
        <is>
          <t>Dark Angels</t>
        </is>
      </c>
      <c r="B111" s="54" t="inlineStr">
        <is>
          <t>Dark Angels</t>
        </is>
      </c>
      <c r="C111" s="54" t="inlineStr">
        <is>
          <t>Infantry / Other</t>
        </is>
      </c>
      <c r="D111" s="54" t="inlineStr">
        <is>
          <t>Infantry</t>
        </is>
      </c>
      <c r="E111" s="54" t="inlineStr">
        <is>
          <t>Ravenwing Darkshroud</t>
        </is>
      </c>
      <c r="F111" s="54" t="inlineStr">
        <is>
          <t>1 model</t>
        </is>
      </c>
      <c r="G111" s="54" t="inlineStr">
        <is>
          <t>Infantry</t>
        </is>
      </c>
      <c r="H111" s="54" t="str"/>
      <c r="I111" s="54" t="str"/>
      <c r="J111" s="54" t="str"/>
      <c r="K111" s="54" t="str"/>
      <c r="L111" s="55" t="n">
        <v>115</v>
      </c>
      <c r="M111" s="54" t="str"/>
      <c r="N111" s="54" t="inlineStr">
        <is>
          <t>Matched to Munitorum Field Manual v2.3</t>
        </is>
      </c>
      <c r="O111" s="54" t="inlineStr">
        <is>
          <t>Uploaded PDF: Munitorum Field Manual v2.3 / March 2025, p.17</t>
        </is>
      </c>
    </row>
    <row r="112">
      <c r="A112" s="54" t="inlineStr">
        <is>
          <t>Dark Angels</t>
        </is>
      </c>
      <c r="B112" s="54" t="inlineStr">
        <is>
          <t>Dark Angels</t>
        </is>
      </c>
      <c r="C112" s="54" t="inlineStr">
        <is>
          <t>Character</t>
        </is>
      </c>
      <c r="D112" s="54" t="inlineStr">
        <is>
          <t>Character</t>
        </is>
      </c>
      <c r="E112" s="54" t="inlineStr">
        <is>
          <t>Ravenwing Talonmaster</t>
        </is>
      </c>
      <c r="F112" s="54" t="n"/>
      <c r="G112" s="54" t="inlineStr">
        <is>
          <t>Character</t>
        </is>
      </c>
      <c r="H112" s="54" t="str"/>
      <c r="I112" s="54" t="str"/>
      <c r="J112" s="54" t="str"/>
      <c r="K112" s="54" t="str"/>
      <c r="L112" s="55" t="n"/>
      <c r="M112" s="54" t="inlineStr">
        <is>
          <t>No matching points entry found in uploaded PDF; verify unit name/current support.</t>
        </is>
      </c>
      <c r="N112" s="54" t="inlineStr">
        <is>
          <t>Not found in uploaded PDF</t>
        </is>
      </c>
      <c r="O112" s="54" t="inlineStr">
        <is>
          <t>Uploaded PDF: Munitorum Field Manual v2.3 / March 2025</t>
        </is>
      </c>
    </row>
    <row r="113">
      <c r="A113" s="54" t="inlineStr">
        <is>
          <t>Dark Angels</t>
        </is>
      </c>
      <c r="B113" s="54" t="inlineStr">
        <is>
          <t>Dark Angels</t>
        </is>
      </c>
      <c r="C113" s="54" t="inlineStr">
        <is>
          <t>Infantry / Other</t>
        </is>
      </c>
      <c r="D113" s="54" t="inlineStr">
        <is>
          <t>Infantry</t>
        </is>
      </c>
      <c r="E113" s="54" t="inlineStr">
        <is>
          <t>Sammael</t>
        </is>
      </c>
      <c r="F113" s="54" t="inlineStr">
        <is>
          <t>1 model</t>
        </is>
      </c>
      <c r="G113" s="54" t="inlineStr">
        <is>
          <t>Infantry</t>
        </is>
      </c>
      <c r="H113" s="54" t="str"/>
      <c r="I113" s="54" t="str"/>
      <c r="J113" s="54" t="str"/>
      <c r="K113" s="54" t="str"/>
      <c r="L113" s="55" t="n">
        <v>115</v>
      </c>
      <c r="M113" s="54" t="str"/>
      <c r="N113" s="54" t="inlineStr">
        <is>
          <t>Matched to Munitorum Field Manual v2.3</t>
        </is>
      </c>
      <c r="O113" s="54" t="inlineStr">
        <is>
          <t>Uploaded PDF: Munitorum Field Manual v2.3 / March 2025, p.17</t>
        </is>
      </c>
    </row>
    <row r="114">
      <c r="A114" s="54" t="inlineStr">
        <is>
          <t>Dark Angels</t>
        </is>
      </c>
      <c r="B114" s="54" t="inlineStr">
        <is>
          <t>Dark Angels</t>
        </is>
      </c>
      <c r="C114" s="54" t="inlineStr">
        <is>
          <t>Vehicle / Support</t>
        </is>
      </c>
      <c r="D114" s="54" t="inlineStr">
        <is>
          <t>Vehicle</t>
        </is>
      </c>
      <c r="E114" s="54" t="inlineStr">
        <is>
          <t>Storm Speeder Darkshroud</t>
        </is>
      </c>
      <c r="F114" s="54" t="n"/>
      <c r="G114" s="54" t="inlineStr">
        <is>
          <t>Vehicle</t>
        </is>
      </c>
      <c r="H114" s="54" t="str"/>
      <c r="I114" s="54" t="str"/>
      <c r="J114" s="54" t="str"/>
      <c r="K114" s="54" t="str"/>
      <c r="L114" s="55" t="n"/>
      <c r="M114" s="54" t="inlineStr">
        <is>
          <t>No matching points entry found in uploaded PDF; verify unit name/current support.</t>
        </is>
      </c>
      <c r="N114" s="54" t="inlineStr">
        <is>
          <t>Not found in uploaded PDF</t>
        </is>
      </c>
      <c r="O114" s="54" t="inlineStr">
        <is>
          <t>Uploaded PDF: Munitorum Field Manual v2.3 / March 2025</t>
        </is>
      </c>
    </row>
    <row r="115">
      <c r="A115" s="54" t="inlineStr">
        <is>
          <t>Dark Angels</t>
        </is>
      </c>
      <c r="B115" s="54" t="inlineStr">
        <is>
          <t>Dark Angels</t>
        </is>
      </c>
      <c r="C115" s="54" t="inlineStr">
        <is>
          <t>Vehicle / Support</t>
        </is>
      </c>
      <c r="D115" s="54" t="inlineStr">
        <is>
          <t>Vehicle</t>
        </is>
      </c>
      <c r="E115" s="54" t="inlineStr">
        <is>
          <t>Storm Speeder Vengeance</t>
        </is>
      </c>
      <c r="F115" s="54" t="n"/>
      <c r="G115" s="54" t="inlineStr">
        <is>
          <t>Vehicle</t>
        </is>
      </c>
      <c r="H115" s="54" t="str"/>
      <c r="I115" s="54" t="str"/>
      <c r="J115" s="54" t="str"/>
      <c r="K115" s="54" t="str"/>
      <c r="L115" s="55" t="n"/>
      <c r="M115" s="54" t="inlineStr">
        <is>
          <t>No matching points entry found in uploaded PDF; verify unit name/current support.</t>
        </is>
      </c>
      <c r="N115" s="54" t="inlineStr">
        <is>
          <t>Not found in uploaded PDF</t>
        </is>
      </c>
      <c r="O115" s="54" t="inlineStr">
        <is>
          <t>Uploaded PDF: Munitorum Field Manual v2.3 / March 2025</t>
        </is>
      </c>
    </row>
    <row r="116">
      <c r="A116" s="54" t="inlineStr">
        <is>
          <t>Space Wolves</t>
        </is>
      </c>
      <c r="B116" s="54" t="inlineStr">
        <is>
          <t>Space Wolves</t>
        </is>
      </c>
      <c r="C116" s="54" t="inlineStr">
        <is>
          <t>Infantry / Other</t>
        </is>
      </c>
      <c r="D116" s="54" t="inlineStr">
        <is>
          <t>Infantry</t>
        </is>
      </c>
      <c r="E116" s="54" t="inlineStr">
        <is>
          <t>Arjac Rockfist</t>
        </is>
      </c>
      <c r="F116" s="54" t="inlineStr">
        <is>
          <t>1 model</t>
        </is>
      </c>
      <c r="G116" s="54" t="inlineStr">
        <is>
          <t>Infantry</t>
        </is>
      </c>
      <c r="H116" s="54" t="str"/>
      <c r="I116" s="54" t="str"/>
      <c r="J116" s="54" t="str"/>
      <c r="K116" s="54" t="str"/>
      <c r="L116" s="55" t="n">
        <v>95</v>
      </c>
      <c r="M116" s="54" t="str"/>
      <c r="N116" s="54" t="inlineStr">
        <is>
          <t>Matched to Munitorum Field Manual v2.3</t>
        </is>
      </c>
      <c r="O116" s="54" t="inlineStr">
        <is>
          <t>Uploaded PDF: Munitorum Field Manual v2.3 / March 2025, p.33</t>
        </is>
      </c>
    </row>
    <row r="117">
      <c r="A117" s="54" t="inlineStr">
        <is>
          <t>Space Wolves</t>
        </is>
      </c>
      <c r="B117" s="54" t="inlineStr">
        <is>
          <t>Space Wolves</t>
        </is>
      </c>
      <c r="C117" s="54" t="inlineStr">
        <is>
          <t>Infantry / Other</t>
        </is>
      </c>
      <c r="D117" s="54" t="inlineStr">
        <is>
          <t>Infantry</t>
        </is>
      </c>
      <c r="E117" s="54" t="inlineStr">
        <is>
          <t>Bjorn the Fell-Handed</t>
        </is>
      </c>
      <c r="F117" s="54" t="inlineStr">
        <is>
          <t>1 model</t>
        </is>
      </c>
      <c r="G117" s="54" t="inlineStr">
        <is>
          <t>Infantry</t>
        </is>
      </c>
      <c r="H117" s="54" t="str"/>
      <c r="I117" s="54" t="str"/>
      <c r="J117" s="54" t="str"/>
      <c r="K117" s="54" t="str"/>
      <c r="L117" s="55" t="n">
        <v>190</v>
      </c>
      <c r="M117" s="54" t="str"/>
      <c r="N117" s="54" t="inlineStr">
        <is>
          <t>Matched to Munitorum Field Manual v2.3</t>
        </is>
      </c>
      <c r="O117" s="54" t="inlineStr">
        <is>
          <t>Uploaded PDF: Munitorum Field Manual v2.3 / March 2025, p.33</t>
        </is>
      </c>
    </row>
    <row r="118">
      <c r="A118" s="54" t="inlineStr">
        <is>
          <t>Space Wolves</t>
        </is>
      </c>
      <c r="B118" s="54" t="inlineStr">
        <is>
          <t>Space Wolves</t>
        </is>
      </c>
      <c r="C118" s="54" t="inlineStr">
        <is>
          <t>Infantry / Other</t>
        </is>
      </c>
      <c r="D118" s="54" t="inlineStr">
        <is>
          <t>Infantry</t>
        </is>
      </c>
      <c r="E118" s="54" t="inlineStr">
        <is>
          <t>Blood Claws</t>
        </is>
      </c>
      <c r="F118" s="54" t="inlineStr">
        <is>
          <t>10 models</t>
        </is>
      </c>
      <c r="G118" s="54" t="inlineStr">
        <is>
          <t>Infantry</t>
        </is>
      </c>
      <c r="H118" s="54" t="str"/>
      <c r="I118" s="54" t="str"/>
      <c r="J118" s="54" t="str"/>
      <c r="K118" s="54" t="str"/>
      <c r="L118" s="55" t="n">
        <v>140</v>
      </c>
      <c r="M118" s="54" t="inlineStr">
        <is>
          <t>Points options: 10 models = 140 pts; 15 models = 210 pts</t>
        </is>
      </c>
      <c r="N118" s="54" t="inlineStr">
        <is>
          <t>Matched to Munitorum Field Manual v2.3</t>
        </is>
      </c>
      <c r="O118" s="54" t="inlineStr">
        <is>
          <t>Uploaded PDF: Munitorum Field Manual v2.3 / March 2025, p.33</t>
        </is>
      </c>
    </row>
    <row r="119">
      <c r="A119" s="54" t="inlineStr">
        <is>
          <t>Space Wolves</t>
        </is>
      </c>
      <c r="B119" s="54" t="inlineStr">
        <is>
          <t>Space Wolves</t>
        </is>
      </c>
      <c r="C119" s="54" t="inlineStr">
        <is>
          <t>Infantry / Other</t>
        </is>
      </c>
      <c r="D119" s="54" t="inlineStr">
        <is>
          <t>Infantry</t>
        </is>
      </c>
      <c r="E119" s="54" t="inlineStr">
        <is>
          <t>Canis Wolfborn</t>
        </is>
      </c>
      <c r="F119" s="54" t="inlineStr">
        <is>
          <t>1 model</t>
        </is>
      </c>
      <c r="G119" s="54" t="inlineStr">
        <is>
          <t>Infantry</t>
        </is>
      </c>
      <c r="H119" s="54" t="str"/>
      <c r="I119" s="54" t="str"/>
      <c r="J119" s="54" t="str"/>
      <c r="K119" s="54" t="str"/>
      <c r="L119" s="55" t="n">
        <v>75</v>
      </c>
      <c r="M119" s="54" t="str"/>
      <c r="N119" s="54" t="inlineStr">
        <is>
          <t>Matched to Munitorum Field Manual v2.3</t>
        </is>
      </c>
      <c r="O119" s="54" t="inlineStr">
        <is>
          <t>Uploaded PDF: Munitorum Field Manual v2.3 / March 2025, p.33</t>
        </is>
      </c>
    </row>
    <row r="120">
      <c r="A120" s="54" t="inlineStr">
        <is>
          <t>Space Wolves</t>
        </is>
      </c>
      <c r="B120" s="54" t="inlineStr">
        <is>
          <t>Space Wolves</t>
        </is>
      </c>
      <c r="C120" s="54" t="inlineStr">
        <is>
          <t>Infantry / Other</t>
        </is>
      </c>
      <c r="D120" s="54" t="inlineStr">
        <is>
          <t>Infantry</t>
        </is>
      </c>
      <c r="E120" s="54" t="inlineStr">
        <is>
          <t>Cyberwolf</t>
        </is>
      </c>
      <c r="F120" s="54" t="inlineStr">
        <is>
          <t>1 model</t>
        </is>
      </c>
      <c r="G120" s="54" t="inlineStr">
        <is>
          <t>Infantry</t>
        </is>
      </c>
      <c r="H120" s="54" t="str"/>
      <c r="I120" s="54" t="str"/>
      <c r="J120" s="54" t="str"/>
      <c r="K120" s="54" t="str"/>
      <c r="L120" s="55" t="n">
        <v>20</v>
      </c>
      <c r="M120" s="54" t="str"/>
      <c r="N120" s="54" t="inlineStr">
        <is>
          <t>Matched to Munitorum Field Manual v2.3</t>
        </is>
      </c>
      <c r="O120" s="54" t="inlineStr">
        <is>
          <t>Uploaded PDF: Munitorum Field Manual v2.3 / March 2025, p.33</t>
        </is>
      </c>
    </row>
    <row r="121">
      <c r="A121" s="54" t="inlineStr">
        <is>
          <t>Space Wolves</t>
        </is>
      </c>
      <c r="B121" s="54" t="inlineStr">
        <is>
          <t>Space Wolves</t>
        </is>
      </c>
      <c r="C121" s="54" t="inlineStr">
        <is>
          <t>Infantry / Other</t>
        </is>
      </c>
      <c r="D121" s="54" t="inlineStr">
        <is>
          <t>Beast / Swarm</t>
        </is>
      </c>
      <c r="E121" s="54" t="inlineStr">
        <is>
          <t>Fenrisian Wolves</t>
        </is>
      </c>
      <c r="F121" s="54" t="inlineStr">
        <is>
          <t>5 models</t>
        </is>
      </c>
      <c r="G121" s="54" t="inlineStr">
        <is>
          <t>Beast / Swarm</t>
        </is>
      </c>
      <c r="H121" s="54" t="str"/>
      <c r="I121" s="54" t="str"/>
      <c r="J121" s="54" t="str"/>
      <c r="K121" s="54" t="str"/>
      <c r="L121" s="55" t="n">
        <v>30</v>
      </c>
      <c r="M121" s="54" t="inlineStr">
        <is>
          <t>Points options: 5 models = 30 pts; 10 models = 60 pts</t>
        </is>
      </c>
      <c r="N121" s="54" t="inlineStr">
        <is>
          <t>Matched to Munitorum Field Manual v2.3</t>
        </is>
      </c>
      <c r="O121" s="54" t="inlineStr">
        <is>
          <t>Uploaded PDF: Munitorum Field Manual v2.3 / March 2025, p.33</t>
        </is>
      </c>
    </row>
    <row r="122">
      <c r="A122" s="54" t="inlineStr">
        <is>
          <t>Space Wolves</t>
        </is>
      </c>
      <c r="B122" s="54" t="inlineStr">
        <is>
          <t>Space Wolves</t>
        </is>
      </c>
      <c r="C122" s="54" t="inlineStr">
        <is>
          <t>Infantry / Other</t>
        </is>
      </c>
      <c r="D122" s="54" t="inlineStr">
        <is>
          <t>Infantry</t>
        </is>
      </c>
      <c r="E122" s="54" t="inlineStr">
        <is>
          <t>Grey Hunters</t>
        </is>
      </c>
      <c r="F122" s="54" t="inlineStr">
        <is>
          <t>5 models</t>
        </is>
      </c>
      <c r="G122" s="54" t="inlineStr">
        <is>
          <t>Infantry</t>
        </is>
      </c>
      <c r="H122" s="54" t="str"/>
      <c r="I122" s="54" t="str"/>
      <c r="J122" s="54" t="str"/>
      <c r="K122" s="54" t="str"/>
      <c r="L122" s="55" t="n">
        <v>85</v>
      </c>
      <c r="M122" s="54" t="inlineStr">
        <is>
          <t>Points options: 5 models = 85 pts; 10 models = 170 pts</t>
        </is>
      </c>
      <c r="N122" s="54" t="inlineStr">
        <is>
          <t>Matched to Munitorum Field Manual v2.3</t>
        </is>
      </c>
      <c r="O122" s="54" t="inlineStr">
        <is>
          <t>Uploaded PDF: Munitorum Field Manual v2.3 / March 2025, p.33</t>
        </is>
      </c>
    </row>
    <row r="123">
      <c r="A123" s="54" t="inlineStr">
        <is>
          <t>Space Wolves</t>
        </is>
      </c>
      <c r="B123" s="54" t="inlineStr">
        <is>
          <t>Space Wolves</t>
        </is>
      </c>
      <c r="C123" s="54" t="inlineStr">
        <is>
          <t>Infantry / Other</t>
        </is>
      </c>
      <c r="D123" s="54" t="inlineStr">
        <is>
          <t>Infantry</t>
        </is>
      </c>
      <c r="E123" s="54" t="inlineStr">
        <is>
          <t>Harald Deathwolf</t>
        </is>
      </c>
      <c r="F123" s="54" t="inlineStr">
        <is>
          <t>1 model</t>
        </is>
      </c>
      <c r="G123" s="54" t="inlineStr">
        <is>
          <t>Infantry</t>
        </is>
      </c>
      <c r="H123" s="54" t="str"/>
      <c r="I123" s="54" t="str"/>
      <c r="J123" s="54" t="str"/>
      <c r="K123" s="54" t="str"/>
      <c r="L123" s="55" t="n">
        <v>85</v>
      </c>
      <c r="M123" s="54" t="str"/>
      <c r="N123" s="54" t="inlineStr">
        <is>
          <t>Matched to Munitorum Field Manual v2.3</t>
        </is>
      </c>
      <c r="O123" s="54" t="inlineStr">
        <is>
          <t>Uploaded PDF: Munitorum Field Manual v2.3 / March 2025, p.33</t>
        </is>
      </c>
    </row>
    <row r="124">
      <c r="A124" s="54" t="inlineStr">
        <is>
          <t>Space Wolves</t>
        </is>
      </c>
      <c r="B124" s="54" t="inlineStr">
        <is>
          <t>Space Wolves</t>
        </is>
      </c>
      <c r="C124" s="54" t="inlineStr">
        <is>
          <t>Infantry / Other</t>
        </is>
      </c>
      <c r="D124" s="54" t="inlineStr">
        <is>
          <t>Beast / Swarm</t>
        </is>
      </c>
      <c r="E124" s="54" t="inlineStr">
        <is>
          <t>Hounds of Morkai</t>
        </is>
      </c>
      <c r="F124" s="54" t="inlineStr">
        <is>
          <t>5 models</t>
        </is>
      </c>
      <c r="G124" s="54" t="inlineStr">
        <is>
          <t>Beast / Swarm</t>
        </is>
      </c>
      <c r="H124" s="54" t="str"/>
      <c r="I124" s="54" t="str"/>
      <c r="J124" s="54" t="str"/>
      <c r="K124" s="54" t="str"/>
      <c r="L124" s="55" t="n">
        <v>80</v>
      </c>
      <c r="M124" s="54" t="inlineStr">
        <is>
          <t>Points options: 5 models = 80 pts; 10 models = 160 pts</t>
        </is>
      </c>
      <c r="N124" s="54" t="inlineStr">
        <is>
          <t>Matched to Munitorum Field Manual v2.3</t>
        </is>
      </c>
      <c r="O124" s="54" t="inlineStr">
        <is>
          <t>Uploaded PDF: Munitorum Field Manual v2.3 / March 2025, p.33</t>
        </is>
      </c>
    </row>
    <row r="125">
      <c r="A125" s="54" t="inlineStr">
        <is>
          <t>Space Wolves</t>
        </is>
      </c>
      <c r="B125" s="54" t="inlineStr">
        <is>
          <t>Space Wolves</t>
        </is>
      </c>
      <c r="C125" s="54" t="inlineStr">
        <is>
          <t>Infantry / Other</t>
        </is>
      </c>
      <c r="D125" s="54" t="inlineStr">
        <is>
          <t>Infantry</t>
        </is>
      </c>
      <c r="E125" s="54" t="inlineStr">
        <is>
          <t>Krom Dragongaze</t>
        </is>
      </c>
      <c r="F125" s="54" t="inlineStr">
        <is>
          <t>1 model</t>
        </is>
      </c>
      <c r="G125" s="54" t="inlineStr">
        <is>
          <t>Infantry</t>
        </is>
      </c>
      <c r="H125" s="54" t="str"/>
      <c r="I125" s="54" t="str"/>
      <c r="J125" s="54" t="str"/>
      <c r="K125" s="54" t="str"/>
      <c r="L125" s="55" t="n">
        <v>65</v>
      </c>
      <c r="M125" s="54" t="str"/>
      <c r="N125" s="54" t="inlineStr">
        <is>
          <t>Matched to Munitorum Field Manual v2.3</t>
        </is>
      </c>
      <c r="O125" s="54" t="inlineStr">
        <is>
          <t>Uploaded PDF: Munitorum Field Manual v2.3 / March 2025, p.33</t>
        </is>
      </c>
    </row>
    <row r="126">
      <c r="A126" s="54" t="inlineStr">
        <is>
          <t>Space Wolves</t>
        </is>
      </c>
      <c r="B126" s="54" t="inlineStr">
        <is>
          <t>Space Wolves</t>
        </is>
      </c>
      <c r="C126" s="54" t="inlineStr">
        <is>
          <t>Infantry / Other</t>
        </is>
      </c>
      <c r="D126" s="54" t="inlineStr">
        <is>
          <t>Infantry</t>
        </is>
      </c>
      <c r="E126" s="54" t="inlineStr">
        <is>
          <t>Logan Grimnar</t>
        </is>
      </c>
      <c r="F126" s="54" t="inlineStr">
        <is>
          <t>1 model</t>
        </is>
      </c>
      <c r="G126" s="54" t="inlineStr">
        <is>
          <t>Infantry</t>
        </is>
      </c>
      <c r="H126" s="54" t="str"/>
      <c r="I126" s="54" t="str"/>
      <c r="J126" s="54" t="str"/>
      <c r="K126" s="54" t="str"/>
      <c r="L126" s="55" t="n">
        <v>115</v>
      </c>
      <c r="M126" s="54" t="str"/>
      <c r="N126" s="54" t="inlineStr">
        <is>
          <t>Matched to Munitorum Field Manual v2.3</t>
        </is>
      </c>
      <c r="O126" s="54" t="inlineStr">
        <is>
          <t>Uploaded PDF: Munitorum Field Manual v2.3 / March 2025, p.33</t>
        </is>
      </c>
    </row>
    <row r="127">
      <c r="A127" s="54" t="inlineStr">
        <is>
          <t>Space Wolves</t>
        </is>
      </c>
      <c r="B127" s="54" t="inlineStr">
        <is>
          <t>Space Wolves</t>
        </is>
      </c>
      <c r="C127" s="54" t="inlineStr">
        <is>
          <t>Infantry / Other</t>
        </is>
      </c>
      <c r="D127" s="54" t="inlineStr">
        <is>
          <t>Infantry</t>
        </is>
      </c>
      <c r="E127" s="54" t="inlineStr">
        <is>
          <t>Logan Grimnar on Stormrider</t>
        </is>
      </c>
      <c r="F127" s="54" t="inlineStr">
        <is>
          <t>1 model</t>
        </is>
      </c>
      <c r="G127" s="54" t="inlineStr">
        <is>
          <t>Infantry</t>
        </is>
      </c>
      <c r="H127" s="54" t="str"/>
      <c r="I127" s="54" t="str"/>
      <c r="J127" s="54" t="str"/>
      <c r="K127" s="54" t="str"/>
      <c r="L127" s="55" t="n">
        <v>180</v>
      </c>
      <c r="M127" s="54" t="str"/>
      <c r="N127" s="54" t="inlineStr">
        <is>
          <t>Matched to Munitorum Field Manual v2.3</t>
        </is>
      </c>
      <c r="O127" s="54" t="inlineStr">
        <is>
          <t>Uploaded PDF: Munitorum Field Manual v2.3 / March 2025, p.33</t>
        </is>
      </c>
    </row>
    <row r="128">
      <c r="A128" s="54" t="inlineStr">
        <is>
          <t>Space Wolves</t>
        </is>
      </c>
      <c r="B128" s="54" t="inlineStr">
        <is>
          <t>Space Wolves</t>
        </is>
      </c>
      <c r="C128" s="54" t="inlineStr">
        <is>
          <t>Infantry / Other</t>
        </is>
      </c>
      <c r="D128" s="54" t="inlineStr">
        <is>
          <t>Infantry</t>
        </is>
      </c>
      <c r="E128" s="54" t="inlineStr">
        <is>
          <t>Long Fangs</t>
        </is>
      </c>
      <c r="F128" s="54" t="inlineStr">
        <is>
          <t>5 models</t>
        </is>
      </c>
      <c r="G128" s="54" t="inlineStr">
        <is>
          <t>Infantry</t>
        </is>
      </c>
      <c r="H128" s="54" t="str"/>
      <c r="I128" s="54" t="str"/>
      <c r="J128" s="54" t="str"/>
      <c r="K128" s="54" t="str"/>
      <c r="L128" s="55" t="n">
        <v>120</v>
      </c>
      <c r="M128" s="54" t="inlineStr">
        <is>
          <t>Points options: 5 models = 120 pts; 6 models = 145 pts</t>
        </is>
      </c>
      <c r="N128" s="54" t="inlineStr">
        <is>
          <t>Matched to Munitorum Field Manual v2.3</t>
        </is>
      </c>
      <c r="O128" s="54" t="inlineStr">
        <is>
          <t>Uploaded PDF: Munitorum Field Manual v2.3 / March 2025, p.33</t>
        </is>
      </c>
    </row>
    <row r="129">
      <c r="A129" s="54" t="inlineStr">
        <is>
          <t>Space Wolves</t>
        </is>
      </c>
      <c r="B129" s="54" t="inlineStr">
        <is>
          <t>Space Wolves</t>
        </is>
      </c>
      <c r="C129" s="54" t="inlineStr">
        <is>
          <t>Infantry / Other</t>
        </is>
      </c>
      <c r="D129" s="54" t="inlineStr">
        <is>
          <t>Infantry</t>
        </is>
      </c>
      <c r="E129" s="54" t="inlineStr">
        <is>
          <t>Lukas the Trickster</t>
        </is>
      </c>
      <c r="F129" s="54" t="inlineStr">
        <is>
          <t>1 model</t>
        </is>
      </c>
      <c r="G129" s="54" t="inlineStr">
        <is>
          <t>Infantry</t>
        </is>
      </c>
      <c r="H129" s="54" t="str"/>
      <c r="I129" s="54" t="str"/>
      <c r="J129" s="54" t="str"/>
      <c r="K129" s="54" t="str"/>
      <c r="L129" s="55" t="n">
        <v>50</v>
      </c>
      <c r="M129" s="54" t="str"/>
      <c r="N129" s="54" t="inlineStr">
        <is>
          <t>Matched to Munitorum Field Manual v2.3</t>
        </is>
      </c>
      <c r="O129" s="54" t="inlineStr">
        <is>
          <t>Uploaded PDF: Munitorum Field Manual v2.3 / March 2025, p.33</t>
        </is>
      </c>
    </row>
    <row r="130">
      <c r="A130" s="54" t="inlineStr">
        <is>
          <t>Space Wolves</t>
        </is>
      </c>
      <c r="B130" s="54" t="inlineStr">
        <is>
          <t>Space Wolves</t>
        </is>
      </c>
      <c r="C130" s="54" t="inlineStr">
        <is>
          <t>Infantry / Other</t>
        </is>
      </c>
      <c r="D130" s="54" t="inlineStr">
        <is>
          <t>Infantry</t>
        </is>
      </c>
      <c r="E130" s="54" t="inlineStr">
        <is>
          <t>Murderfang</t>
        </is>
      </c>
      <c r="F130" s="54" t="inlineStr">
        <is>
          <t>1 model</t>
        </is>
      </c>
      <c r="G130" s="54" t="inlineStr">
        <is>
          <t>Infantry</t>
        </is>
      </c>
      <c r="H130" s="54" t="str"/>
      <c r="I130" s="54" t="str"/>
      <c r="J130" s="54" t="str"/>
      <c r="K130" s="54" t="str"/>
      <c r="L130" s="55" t="n">
        <v>170</v>
      </c>
      <c r="M130" s="54" t="str"/>
      <c r="N130" s="54" t="inlineStr">
        <is>
          <t>Matched to Munitorum Field Manual v2.3</t>
        </is>
      </c>
      <c r="O130" s="54" t="inlineStr">
        <is>
          <t>Uploaded PDF: Munitorum Field Manual v2.3 / March 2025, p.33</t>
        </is>
      </c>
    </row>
    <row r="131">
      <c r="A131" s="54" t="inlineStr">
        <is>
          <t>Space Wolves</t>
        </is>
      </c>
      <c r="B131" s="54" t="inlineStr">
        <is>
          <t>Space Wolves</t>
        </is>
      </c>
      <c r="C131" s="54" t="inlineStr">
        <is>
          <t>Infantry / Other</t>
        </is>
      </c>
      <c r="D131" s="54" t="inlineStr">
        <is>
          <t>Infantry</t>
        </is>
      </c>
      <c r="E131" s="54" t="inlineStr">
        <is>
          <t>Njal Stormcaller</t>
        </is>
      </c>
      <c r="F131" s="54" t="inlineStr">
        <is>
          <t>1 model</t>
        </is>
      </c>
      <c r="G131" s="54" t="inlineStr">
        <is>
          <t>Infantry</t>
        </is>
      </c>
      <c r="H131" s="54" t="str"/>
      <c r="I131" s="54" t="str"/>
      <c r="J131" s="54" t="str"/>
      <c r="K131" s="54" t="str"/>
      <c r="L131" s="55" t="n">
        <v>85</v>
      </c>
      <c r="M131" s="54" t="str"/>
      <c r="N131" s="54" t="inlineStr">
        <is>
          <t>Matched to Munitorum Field Manual v2.3</t>
        </is>
      </c>
      <c r="O131" s="54" t="inlineStr">
        <is>
          <t>Uploaded PDF: Munitorum Field Manual v2.3 / March 2025, p.33</t>
        </is>
      </c>
    </row>
    <row r="132">
      <c r="A132" s="54" t="inlineStr">
        <is>
          <t>Space Wolves</t>
        </is>
      </c>
      <c r="B132" s="54" t="inlineStr">
        <is>
          <t>Space Wolves</t>
        </is>
      </c>
      <c r="C132" s="54" t="inlineStr">
        <is>
          <t>Infantry / Other</t>
        </is>
      </c>
      <c r="D132" s="54" t="inlineStr">
        <is>
          <t>Infantry</t>
        </is>
      </c>
      <c r="E132" s="54" t="inlineStr">
        <is>
          <t>Ragnar Blackmane</t>
        </is>
      </c>
      <c r="F132" s="54" t="inlineStr">
        <is>
          <t>1 model</t>
        </is>
      </c>
      <c r="G132" s="54" t="inlineStr">
        <is>
          <t>Infantry</t>
        </is>
      </c>
      <c r="H132" s="54" t="str"/>
      <c r="I132" s="54" t="str"/>
      <c r="J132" s="54" t="str"/>
      <c r="K132" s="54" t="str"/>
      <c r="L132" s="55" t="n">
        <v>90</v>
      </c>
      <c r="M132" s="54" t="str"/>
      <c r="N132" s="54" t="inlineStr">
        <is>
          <t>Matched to Munitorum Field Manual v2.3</t>
        </is>
      </c>
      <c r="O132" s="54" t="inlineStr">
        <is>
          <t>Uploaded PDF: Munitorum Field Manual v2.3 / March 2025, p.33</t>
        </is>
      </c>
    </row>
    <row r="133">
      <c r="A133" s="54" t="inlineStr">
        <is>
          <t>Space Wolves</t>
        </is>
      </c>
      <c r="B133" s="54" t="inlineStr">
        <is>
          <t>Space Wolves</t>
        </is>
      </c>
      <c r="C133" s="54" t="inlineStr">
        <is>
          <t>Infantry / Other</t>
        </is>
      </c>
      <c r="D133" s="54" t="inlineStr">
        <is>
          <t>Infantry</t>
        </is>
      </c>
      <c r="E133" s="54" t="inlineStr">
        <is>
          <t>Skyclaws</t>
        </is>
      </c>
      <c r="F133" s="54" t="inlineStr">
        <is>
          <t>5 models</t>
        </is>
      </c>
      <c r="G133" s="54" t="inlineStr">
        <is>
          <t>Infantry</t>
        </is>
      </c>
      <c r="H133" s="54" t="str"/>
      <c r="I133" s="54" t="str"/>
      <c r="J133" s="54" t="str"/>
      <c r="K133" s="54" t="str"/>
      <c r="L133" s="55" t="n">
        <v>90</v>
      </c>
      <c r="M133" s="54" t="inlineStr">
        <is>
          <t>Points options: 5 models = 90 pts; 10 models = 165 pts; 15 models = 240 pts</t>
        </is>
      </c>
      <c r="N133" s="54" t="inlineStr">
        <is>
          <t>Matched to Munitorum Field Manual v2.3</t>
        </is>
      </c>
      <c r="O133" s="54" t="inlineStr">
        <is>
          <t>Uploaded PDF: Munitorum Field Manual v2.3 / March 2025, p.33</t>
        </is>
      </c>
    </row>
    <row r="134">
      <c r="A134" s="54" t="inlineStr">
        <is>
          <t>Space Wolves</t>
        </is>
      </c>
      <c r="B134" s="54" t="inlineStr">
        <is>
          <t>Space Wolves</t>
        </is>
      </c>
      <c r="C134" s="54" t="inlineStr">
        <is>
          <t>Vehicle / Support</t>
        </is>
      </c>
      <c r="D134" s="54" t="inlineStr">
        <is>
          <t>Walker / Battlesuit</t>
        </is>
      </c>
      <c r="E134" s="54" t="inlineStr">
        <is>
          <t>Space Wolves Venerable Dreadnought</t>
        </is>
      </c>
      <c r="F134" s="54" t="inlineStr">
        <is>
          <t>1 model</t>
        </is>
      </c>
      <c r="G134" s="54" t="inlineStr">
        <is>
          <t>Walker / Battlesuit</t>
        </is>
      </c>
      <c r="H134" s="54" t="str"/>
      <c r="I134" s="54" t="str"/>
      <c r="J134" s="54" t="str"/>
      <c r="K134" s="54" t="str"/>
      <c r="L134" s="55" t="n">
        <v>155</v>
      </c>
      <c r="M134" s="54" t="str"/>
      <c r="N134" s="54" t="inlineStr">
        <is>
          <t>Matched to Munitorum Field Manual v2.3</t>
        </is>
      </c>
      <c r="O134" s="54" t="inlineStr">
        <is>
          <t>Uploaded PDF: Munitorum Field Manual v2.3 / March 2025, p.33</t>
        </is>
      </c>
    </row>
    <row r="135">
      <c r="A135" s="54" t="inlineStr">
        <is>
          <t>Space Wolves</t>
        </is>
      </c>
      <c r="B135" s="54" t="inlineStr">
        <is>
          <t>Space Wolves</t>
        </is>
      </c>
      <c r="C135" s="54" t="inlineStr">
        <is>
          <t>Vehicle / Support</t>
        </is>
      </c>
      <c r="D135" s="54" t="inlineStr">
        <is>
          <t>Vehicle</t>
        </is>
      </c>
      <c r="E135" s="54" t="inlineStr">
        <is>
          <t>Stormfang Gunship</t>
        </is>
      </c>
      <c r="F135" s="54" t="inlineStr">
        <is>
          <t>1 model</t>
        </is>
      </c>
      <c r="G135" s="54" t="inlineStr">
        <is>
          <t>Vehicle</t>
        </is>
      </c>
      <c r="H135" s="54" t="str"/>
      <c r="I135" s="54" t="str"/>
      <c r="J135" s="54" t="str"/>
      <c r="K135" s="54" t="str"/>
      <c r="L135" s="55" t="n">
        <v>300</v>
      </c>
      <c r="M135" s="54" t="str"/>
      <c r="N135" s="54" t="inlineStr">
        <is>
          <t>Matched to Munitorum Field Manual v2.3</t>
        </is>
      </c>
      <c r="O135" s="54" t="inlineStr">
        <is>
          <t>Uploaded PDF: Munitorum Field Manual v2.3 / March 2025, p.33</t>
        </is>
      </c>
    </row>
    <row r="136">
      <c r="A136" s="54" t="inlineStr">
        <is>
          <t>Space Wolves</t>
        </is>
      </c>
      <c r="B136" s="54" t="inlineStr">
        <is>
          <t>Space Wolves</t>
        </is>
      </c>
      <c r="C136" s="54" t="inlineStr">
        <is>
          <t>Infantry / Other</t>
        </is>
      </c>
      <c r="D136" s="54" t="inlineStr">
        <is>
          <t>Infantry</t>
        </is>
      </c>
      <c r="E136" s="54" t="inlineStr">
        <is>
          <t>Stormwolf</t>
        </is>
      </c>
      <c r="F136" s="54" t="inlineStr">
        <is>
          <t>1 model</t>
        </is>
      </c>
      <c r="G136" s="54" t="inlineStr">
        <is>
          <t>Infantry</t>
        </is>
      </c>
      <c r="H136" s="54" t="str"/>
      <c r="I136" s="54" t="str"/>
      <c r="J136" s="54" t="str"/>
      <c r="K136" s="54" t="str"/>
      <c r="L136" s="55" t="n">
        <v>250</v>
      </c>
      <c r="M136" s="54" t="str"/>
      <c r="N136" s="54" t="inlineStr">
        <is>
          <t>Matched to Munitorum Field Manual v2.3</t>
        </is>
      </c>
      <c r="O136" s="54" t="inlineStr">
        <is>
          <t>Uploaded PDF: Munitorum Field Manual v2.3 / March 2025, p.33</t>
        </is>
      </c>
    </row>
    <row r="137">
      <c r="A137" s="54" t="inlineStr">
        <is>
          <t>Space Wolves</t>
        </is>
      </c>
      <c r="B137" s="54" t="inlineStr">
        <is>
          <t>Space Wolves</t>
        </is>
      </c>
      <c r="C137" s="54" t="inlineStr">
        <is>
          <t>Infantry / Other</t>
        </is>
      </c>
      <c r="D137" s="54" t="inlineStr">
        <is>
          <t>Mounted / Bike</t>
        </is>
      </c>
      <c r="E137" s="54" t="inlineStr">
        <is>
          <t>Thunderwolf Cavalry</t>
        </is>
      </c>
      <c r="F137" s="54" t="inlineStr">
        <is>
          <t>3 models</t>
        </is>
      </c>
      <c r="G137" s="54" t="inlineStr">
        <is>
          <t>Mounted / Bike</t>
        </is>
      </c>
      <c r="H137" s="54" t="str"/>
      <c r="I137" s="54" t="str"/>
      <c r="J137" s="54" t="str"/>
      <c r="K137" s="54" t="str"/>
      <c r="L137" s="55" t="n">
        <v>120</v>
      </c>
      <c r="M137" s="54" t="inlineStr">
        <is>
          <t>Points options: 3 models = 120 pts; 6 models = 240 pts</t>
        </is>
      </c>
      <c r="N137" s="54" t="inlineStr">
        <is>
          <t>Matched to Munitorum Field Manual v2.3</t>
        </is>
      </c>
      <c r="O137" s="54" t="inlineStr">
        <is>
          <t>Uploaded PDF: Munitorum Field Manual v2.3 / March 2025, p.33</t>
        </is>
      </c>
    </row>
    <row r="138">
      <c r="A138" s="54" t="inlineStr">
        <is>
          <t>Space Wolves</t>
        </is>
      </c>
      <c r="B138" s="54" t="inlineStr">
        <is>
          <t>Space Wolves</t>
        </is>
      </c>
      <c r="C138" s="54" t="inlineStr">
        <is>
          <t>Infantry / Other</t>
        </is>
      </c>
      <c r="D138" s="54" t="inlineStr">
        <is>
          <t>Infantry</t>
        </is>
      </c>
      <c r="E138" s="54" t="inlineStr">
        <is>
          <t>Ulrik the Slayer</t>
        </is>
      </c>
      <c r="F138" s="54" t="inlineStr">
        <is>
          <t>1 model</t>
        </is>
      </c>
      <c r="G138" s="54" t="inlineStr">
        <is>
          <t>Infantry</t>
        </is>
      </c>
      <c r="H138" s="54" t="str"/>
      <c r="I138" s="54" t="str"/>
      <c r="J138" s="54" t="str"/>
      <c r="K138" s="54" t="str"/>
      <c r="L138" s="55" t="n">
        <v>70</v>
      </c>
      <c r="M138" s="54" t="str"/>
      <c r="N138" s="54" t="inlineStr">
        <is>
          <t>Matched to Munitorum Field Manual v2.3</t>
        </is>
      </c>
      <c r="O138" s="54" t="inlineStr">
        <is>
          <t>Uploaded PDF: Munitorum Field Manual v2.3 / March 2025, p.33</t>
        </is>
      </c>
    </row>
    <row r="139">
      <c r="A139" s="54" t="inlineStr">
        <is>
          <t>Space Wolves</t>
        </is>
      </c>
      <c r="B139" s="54" t="inlineStr">
        <is>
          <t>Space Wolves</t>
        </is>
      </c>
      <c r="C139" s="54" t="inlineStr">
        <is>
          <t>Infantry / Other</t>
        </is>
      </c>
      <c r="D139" s="54" t="inlineStr">
        <is>
          <t>Infantry</t>
        </is>
      </c>
      <c r="E139" s="54" t="inlineStr">
        <is>
          <t>Wulfen</t>
        </is>
      </c>
      <c r="F139" s="54" t="inlineStr">
        <is>
          <t>5 models</t>
        </is>
      </c>
      <c r="G139" s="54" t="inlineStr">
        <is>
          <t>Infantry</t>
        </is>
      </c>
      <c r="H139" s="54" t="str"/>
      <c r="I139" s="54" t="str"/>
      <c r="J139" s="54" t="str"/>
      <c r="K139" s="54" t="str"/>
      <c r="L139" s="55" t="n">
        <v>95</v>
      </c>
      <c r="M139" s="54" t="inlineStr">
        <is>
          <t>Points options: 5 models = 95 pts; 10 models = 190 pts</t>
        </is>
      </c>
      <c r="N139" s="54" t="inlineStr">
        <is>
          <t>Matched to Munitorum Field Manual v2.3</t>
        </is>
      </c>
      <c r="O139" s="54" t="inlineStr">
        <is>
          <t>Uploaded PDF: Munitorum Field Manual v2.3 / March 2025, p.33</t>
        </is>
      </c>
    </row>
    <row r="140">
      <c r="A140" s="54" t="inlineStr">
        <is>
          <t>Space Wolves</t>
        </is>
      </c>
      <c r="B140" s="54" t="inlineStr">
        <is>
          <t>Space Wolves</t>
        </is>
      </c>
      <c r="C140" s="54" t="inlineStr">
        <is>
          <t>Vehicle / Support</t>
        </is>
      </c>
      <c r="D140" s="54" t="inlineStr">
        <is>
          <t>Walker / Battlesuit</t>
        </is>
      </c>
      <c r="E140" s="54" t="inlineStr">
        <is>
          <t>Wulfen Dreadnought</t>
        </is>
      </c>
      <c r="F140" s="54" t="inlineStr">
        <is>
          <t>1 model</t>
        </is>
      </c>
      <c r="G140" s="54" t="inlineStr">
        <is>
          <t>Walker / Battlesuit</t>
        </is>
      </c>
      <c r="H140" s="54" t="str"/>
      <c r="I140" s="54" t="str"/>
      <c r="J140" s="54" t="str"/>
      <c r="K140" s="54" t="str"/>
      <c r="L140" s="55" t="n">
        <v>130</v>
      </c>
      <c r="M140" s="54" t="str"/>
      <c r="N140" s="54" t="inlineStr">
        <is>
          <t>Matched to Munitorum Field Manual v2.3</t>
        </is>
      </c>
      <c r="O140" s="54" t="inlineStr">
        <is>
          <t>Uploaded PDF: Munitorum Field Manual v2.3 / March 2025, p.33</t>
        </is>
      </c>
    </row>
    <row r="141">
      <c r="A141" s="54" t="inlineStr">
        <is>
          <t>Black Templars</t>
        </is>
      </c>
      <c r="B141" s="54" t="inlineStr">
        <is>
          <t>Black Templars</t>
        </is>
      </c>
      <c r="C141" s="54" t="inlineStr">
        <is>
          <t>Infantry / Other</t>
        </is>
      </c>
      <c r="D141" s="54" t="inlineStr">
        <is>
          <t>Infantry</t>
        </is>
      </c>
      <c r="E141" s="54" t="inlineStr">
        <is>
          <t>Castellan</t>
        </is>
      </c>
      <c r="F141" s="54" t="inlineStr">
        <is>
          <t>1 model</t>
        </is>
      </c>
      <c r="G141" s="54" t="inlineStr">
        <is>
          <t>Infantry</t>
        </is>
      </c>
      <c r="H141" s="54" t="str"/>
      <c r="I141" s="54" t="str"/>
      <c r="J141" s="54" t="str"/>
      <c r="K141" s="54" t="str"/>
      <c r="L141" s="55" t="n">
        <v>60</v>
      </c>
      <c r="M141" s="54" t="str"/>
      <c r="N141" s="54" t="inlineStr">
        <is>
          <t>Matched to Munitorum Field Manual v2.3</t>
        </is>
      </c>
      <c r="O141" s="54" t="inlineStr">
        <is>
          <t>Uploaded PDF: Munitorum Field Manual v2.3 / March 2025, p.10</t>
        </is>
      </c>
    </row>
    <row r="142">
      <c r="A142" s="54" t="inlineStr">
        <is>
          <t>Black Templars</t>
        </is>
      </c>
      <c r="B142" s="54" t="inlineStr">
        <is>
          <t>Black Templars</t>
        </is>
      </c>
      <c r="C142" s="54" t="inlineStr">
        <is>
          <t>Character</t>
        </is>
      </c>
      <c r="D142" s="54" t="inlineStr">
        <is>
          <t>Character</t>
        </is>
      </c>
      <c r="E142" s="54" t="inlineStr">
        <is>
          <t>Chaplain Grimaldus</t>
        </is>
      </c>
      <c r="F142" s="54" t="inlineStr">
        <is>
          <t>4 models</t>
        </is>
      </c>
      <c r="G142" s="54" t="inlineStr">
        <is>
          <t>Character</t>
        </is>
      </c>
      <c r="H142" s="54" t="str"/>
      <c r="I142" s="54" t="str"/>
      <c r="J142" s="54" t="str"/>
      <c r="K142" s="54" t="str"/>
      <c r="L142" s="55" t="n">
        <v>130</v>
      </c>
      <c r="M142" s="54" t="str"/>
      <c r="N142" s="54" t="inlineStr">
        <is>
          <t>Matched to Munitorum Field Manual v2.3</t>
        </is>
      </c>
      <c r="O142" s="54" t="inlineStr">
        <is>
          <t>Uploaded PDF: Munitorum Field Manual v2.3 / March 2025, p.10</t>
        </is>
      </c>
    </row>
    <row r="143">
      <c r="A143" s="54" t="inlineStr">
        <is>
          <t>Black Templars</t>
        </is>
      </c>
      <c r="B143" s="54" t="inlineStr">
        <is>
          <t>Black Templars</t>
        </is>
      </c>
      <c r="C143" s="54" t="inlineStr">
        <is>
          <t>Infantry / Other</t>
        </is>
      </c>
      <c r="D143" s="54" t="inlineStr">
        <is>
          <t>Infantry</t>
        </is>
      </c>
      <c r="E143" s="54" t="inlineStr">
        <is>
          <t>Crusader Squad</t>
        </is>
      </c>
      <c r="F143" s="54" t="inlineStr">
        <is>
          <t>1 Sword Brother and 4 Initiates</t>
        </is>
      </c>
      <c r="G143" s="54" t="inlineStr">
        <is>
          <t>Infantry</t>
        </is>
      </c>
      <c r="H143" s="54" t="str"/>
      <c r="I143" s="54" t="str"/>
      <c r="J143" s="54" t="str"/>
      <c r="K143" s="54" t="str"/>
      <c r="L143" s="55" t="n">
        <v>85</v>
      </c>
      <c r="M143" s="54" t="inlineStr">
        <is>
          <t>Points options: 1 Sword Brother and 4 Initiates = 85 pts; 1 Sword Brother and 9 Initiates = 150 pts; 1 Sword Brother, 4 Initiates and 5 Neophytes = 135 pts; 1 Sword Brother, 9 Initiates and 10 Neophytes = 290 pts</t>
        </is>
      </c>
      <c r="N143" s="54" t="inlineStr">
        <is>
          <t>Matched to Munitorum Field Manual v2.3</t>
        </is>
      </c>
      <c r="O143" s="54" t="inlineStr">
        <is>
          <t>Uploaded PDF: Munitorum Field Manual v2.3 / March 2025, p.10</t>
        </is>
      </c>
    </row>
    <row r="144">
      <c r="A144" s="54" t="inlineStr">
        <is>
          <t>Black Templars</t>
        </is>
      </c>
      <c r="B144" s="54" t="inlineStr">
        <is>
          <t>Black Templars</t>
        </is>
      </c>
      <c r="C144" s="54" t="inlineStr">
        <is>
          <t>Character</t>
        </is>
      </c>
      <c r="D144" s="54" t="inlineStr">
        <is>
          <t>Character</t>
        </is>
      </c>
      <c r="E144" s="54" t="inlineStr">
        <is>
          <t>Emperor's Champion</t>
        </is>
      </c>
      <c r="F144" s="54" t="inlineStr">
        <is>
          <t>1 model</t>
        </is>
      </c>
      <c r="G144" s="54" t="inlineStr">
        <is>
          <t>Character</t>
        </is>
      </c>
      <c r="H144" s="54" t="str"/>
      <c r="I144" s="54" t="str"/>
      <c r="J144" s="54" t="str"/>
      <c r="K144" s="54" t="str"/>
      <c r="L144" s="55" t="n">
        <v>75</v>
      </c>
      <c r="M144" s="54" t="str"/>
      <c r="N144" s="54" t="inlineStr">
        <is>
          <t>Matched to Munitorum Field Manual v2.3</t>
        </is>
      </c>
      <c r="O144" s="54" t="inlineStr">
        <is>
          <t>Uploaded PDF: Munitorum Field Manual v2.3 / March 2025, p.10</t>
        </is>
      </c>
    </row>
    <row r="145">
      <c r="A145" s="54" t="inlineStr">
        <is>
          <t>Black Templars</t>
        </is>
      </c>
      <c r="B145" s="54" t="inlineStr">
        <is>
          <t>Black Templars</t>
        </is>
      </c>
      <c r="C145" s="54" t="inlineStr">
        <is>
          <t>Infantry / Other</t>
        </is>
      </c>
      <c r="D145" s="54" t="inlineStr">
        <is>
          <t>Infantry</t>
        </is>
      </c>
      <c r="E145" s="54" t="inlineStr">
        <is>
          <t>Helbrecht</t>
        </is>
      </c>
      <c r="F145" s="54" t="inlineStr">
        <is>
          <t>1 model</t>
        </is>
      </c>
      <c r="G145" s="54" t="inlineStr">
        <is>
          <t>Infantry</t>
        </is>
      </c>
      <c r="H145" s="54" t="str"/>
      <c r="I145" s="54" t="str"/>
      <c r="J145" s="54" t="str"/>
      <c r="K145" s="54" t="str"/>
      <c r="L145" s="55" t="n">
        <v>130</v>
      </c>
      <c r="M145" s="54" t="str"/>
      <c r="N145" s="54" t="inlineStr">
        <is>
          <t>Matched to Munitorum Field Manual v2.3</t>
        </is>
      </c>
      <c r="O145" s="54" t="inlineStr">
        <is>
          <t>Uploaded PDF: Munitorum Field Manual v2.3 / March 2025, p.10</t>
        </is>
      </c>
    </row>
    <row r="146">
      <c r="A146" s="54" t="inlineStr">
        <is>
          <t>Black Templars</t>
        </is>
      </c>
      <c r="B146" s="54" t="inlineStr">
        <is>
          <t>Black Templars</t>
        </is>
      </c>
      <c r="C146" s="54" t="inlineStr">
        <is>
          <t>Infantry / Other</t>
        </is>
      </c>
      <c r="D146" s="54" t="inlineStr">
        <is>
          <t>Infantry</t>
        </is>
      </c>
      <c r="E146" s="54" t="inlineStr">
        <is>
          <t>Primaris Crusader Squad</t>
        </is>
      </c>
      <c r="F146" s="54" t="inlineStr">
        <is>
          <t>1 Sword Brother, 5 Initiates and 4 Neophytes</t>
        </is>
      </c>
      <c r="G146" s="54" t="inlineStr">
        <is>
          <t>Infantry</t>
        </is>
      </c>
      <c r="H146" s="54" t="str"/>
      <c r="I146" s="54" t="str"/>
      <c r="J146" s="54" t="str"/>
      <c r="K146" s="54" t="str"/>
      <c r="L146" s="55" t="n">
        <v>150</v>
      </c>
      <c r="M146" s="54" t="inlineStr">
        <is>
          <t>Points options: 1 Sword Brother, 5 Initiates and 4 Neophytes = 150 pts; 1 Sword Brother, 11 Initiates and 8 Neophytes = 320 pts</t>
        </is>
      </c>
      <c r="N146" s="54" t="inlineStr">
        <is>
          <t>Matched to Munitorum Field Manual v2.3</t>
        </is>
      </c>
      <c r="O146" s="54" t="inlineStr">
        <is>
          <t>Uploaded PDF: Munitorum Field Manual v2.3 / March 2025, p.10</t>
        </is>
      </c>
    </row>
    <row r="147">
      <c r="A147" s="54" t="inlineStr">
        <is>
          <t>Black Templars</t>
        </is>
      </c>
      <c r="B147" s="54" t="inlineStr">
        <is>
          <t>Black Templars</t>
        </is>
      </c>
      <c r="C147" s="54" t="inlineStr">
        <is>
          <t>Infantry / Other</t>
        </is>
      </c>
      <c r="D147" s="54" t="inlineStr">
        <is>
          <t>Infantry</t>
        </is>
      </c>
      <c r="E147" s="54" t="inlineStr">
        <is>
          <t>Primaris Sword Brethren</t>
        </is>
      </c>
      <c r="F147" s="54" t="inlineStr">
        <is>
          <t>5 models</t>
        </is>
      </c>
      <c r="G147" s="54" t="inlineStr">
        <is>
          <t>Infantry</t>
        </is>
      </c>
      <c r="H147" s="54" t="str"/>
      <c r="I147" s="54" t="str"/>
      <c r="J147" s="54" t="str"/>
      <c r="K147" s="54" t="str"/>
      <c r="L147" s="55" t="n">
        <v>150</v>
      </c>
      <c r="M147" s="54" t="inlineStr">
        <is>
          <t>Points options: 5 models = 150 pts; 10 models = 300 pts</t>
        </is>
      </c>
      <c r="N147" s="54" t="inlineStr">
        <is>
          <t>Matched to Munitorum Field Manual v2.3</t>
        </is>
      </c>
      <c r="O147" s="54" t="inlineStr">
        <is>
          <t>Uploaded PDF: Munitorum Field Manual v2.3 / March 2025, p.10</t>
        </is>
      </c>
    </row>
    <row r="148">
      <c r="A148" s="54" t="inlineStr">
        <is>
          <t>Black Templars</t>
        </is>
      </c>
      <c r="B148" s="54" t="inlineStr">
        <is>
          <t>Black Templars</t>
        </is>
      </c>
      <c r="C148" s="54" t="inlineStr">
        <is>
          <t>Vehicle / Support</t>
        </is>
      </c>
      <c r="D148" s="54" t="inlineStr">
        <is>
          <t>Vehicle</t>
        </is>
      </c>
      <c r="E148" s="54" t="inlineStr">
        <is>
          <t>Black Templars Gladiator Lancer</t>
        </is>
      </c>
      <c r="F148" s="54" t="inlineStr">
        <is>
          <t>1 model</t>
        </is>
      </c>
      <c r="G148" s="54" t="inlineStr">
        <is>
          <t>Vehicle</t>
        </is>
      </c>
      <c r="H148" s="54" t="str"/>
      <c r="I148" s="54" t="str"/>
      <c r="J148" s="54" t="str"/>
      <c r="K148" s="54" t="str"/>
      <c r="L148" s="55" t="n">
        <v>170</v>
      </c>
      <c r="M148" s="54" t="str"/>
      <c r="N148" s="54" t="inlineStr">
        <is>
          <t>Matched to Munitorum Field Manual v2.3</t>
        </is>
      </c>
      <c r="O148" s="54" t="inlineStr">
        <is>
          <t>Uploaded PDF: Munitorum Field Manual v2.3 / March 2025, p.10</t>
        </is>
      </c>
    </row>
    <row r="149">
      <c r="A149" s="54" t="inlineStr">
        <is>
          <t>Black Templars</t>
        </is>
      </c>
      <c r="B149" s="54" t="inlineStr">
        <is>
          <t>Black Templars</t>
        </is>
      </c>
      <c r="C149" s="54" t="inlineStr">
        <is>
          <t>Vehicle / Support</t>
        </is>
      </c>
      <c r="D149" s="54" t="inlineStr">
        <is>
          <t>Vehicle</t>
        </is>
      </c>
      <c r="E149" s="54" t="inlineStr">
        <is>
          <t>Black Templars Impulsor</t>
        </is>
      </c>
      <c r="F149" s="54" t="inlineStr">
        <is>
          <t>1 model</t>
        </is>
      </c>
      <c r="G149" s="54" t="inlineStr">
        <is>
          <t>Vehicle</t>
        </is>
      </c>
      <c r="H149" s="54" t="str"/>
      <c r="I149" s="54" t="str"/>
      <c r="J149" s="54" t="str"/>
      <c r="K149" s="54" t="str"/>
      <c r="L149" s="55" t="n">
        <v>90</v>
      </c>
      <c r="M149" s="54" t="str"/>
      <c r="N149" s="54" t="inlineStr">
        <is>
          <t>Matched to Munitorum Field Manual v2.3</t>
        </is>
      </c>
      <c r="O149" s="54" t="inlineStr">
        <is>
          <t>Uploaded PDF: Munitorum Field Manual v2.3 / March 2025, p.10</t>
        </is>
      </c>
    </row>
    <row r="150">
      <c r="A150" s="54" t="inlineStr">
        <is>
          <t>Black Templars</t>
        </is>
      </c>
      <c r="B150" s="54" t="inlineStr">
        <is>
          <t>Black Templars</t>
        </is>
      </c>
      <c r="C150" s="54" t="inlineStr">
        <is>
          <t>Vehicle / Support</t>
        </is>
      </c>
      <c r="D150" s="54" t="inlineStr">
        <is>
          <t>Vehicle</t>
        </is>
      </c>
      <c r="E150" s="54" t="inlineStr">
        <is>
          <t>Black Templars Repulsor</t>
        </is>
      </c>
      <c r="F150" s="54" t="inlineStr">
        <is>
          <t>1 model</t>
        </is>
      </c>
      <c r="G150" s="54" t="inlineStr">
        <is>
          <t>Vehicle</t>
        </is>
      </c>
      <c r="H150" s="54" t="str"/>
      <c r="I150" s="54" t="str"/>
      <c r="J150" s="54" t="str"/>
      <c r="K150" s="54" t="str"/>
      <c r="L150" s="55" t="n">
        <v>190</v>
      </c>
      <c r="M150" s="54" t="str"/>
      <c r="N150" s="54" t="inlineStr">
        <is>
          <t>Matched to Munitorum Field Manual v2.3</t>
        </is>
      </c>
      <c r="O150" s="54" t="inlineStr">
        <is>
          <t>Uploaded PDF: Munitorum Field Manual v2.3 / March 2025, p.10</t>
        </is>
      </c>
    </row>
    <row r="151">
      <c r="A151" s="54" t="inlineStr">
        <is>
          <t>Black Templars</t>
        </is>
      </c>
      <c r="B151" s="54" t="inlineStr">
        <is>
          <t>Black Templars</t>
        </is>
      </c>
      <c r="C151" s="54" t="inlineStr">
        <is>
          <t>Vehicle / Support</t>
        </is>
      </c>
      <c r="D151" s="54" t="inlineStr">
        <is>
          <t>Vehicle</t>
        </is>
      </c>
      <c r="E151" s="54" t="inlineStr">
        <is>
          <t>Black Templars Repulsor Executioner</t>
        </is>
      </c>
      <c r="F151" s="54" t="inlineStr">
        <is>
          <t>1 model</t>
        </is>
      </c>
      <c r="G151" s="54" t="inlineStr">
        <is>
          <t>Vehicle</t>
        </is>
      </c>
      <c r="H151" s="54" t="str"/>
      <c r="I151" s="54" t="str"/>
      <c r="J151" s="54" t="str"/>
      <c r="K151" s="54" t="str"/>
      <c r="L151" s="55" t="n">
        <v>230</v>
      </c>
      <c r="M151" s="54" t="str"/>
      <c r="N151" s="54" t="inlineStr">
        <is>
          <t>Matched to Munitorum Field Manual v2.3</t>
        </is>
      </c>
      <c r="O151" s="54" t="inlineStr">
        <is>
          <t>Uploaded PDF: Munitorum Field Manual v2.3 / March 2025, p.10</t>
        </is>
      </c>
    </row>
    <row r="152">
      <c r="A152" s="54" t="inlineStr">
        <is>
          <t>Deathwatch</t>
        </is>
      </c>
      <c r="B152" s="54" t="inlineStr">
        <is>
          <t>Deathwatch</t>
        </is>
      </c>
      <c r="C152" s="54" t="inlineStr">
        <is>
          <t>Infantry / Other</t>
        </is>
      </c>
      <c r="D152" s="54" t="inlineStr">
        <is>
          <t>Infantry</t>
        </is>
      </c>
      <c r="E152" s="54" t="inlineStr">
        <is>
          <t>Corvus Blackstar</t>
        </is>
      </c>
      <c r="F152" s="54" t="inlineStr">
        <is>
          <t>1 model</t>
        </is>
      </c>
      <c r="G152" s="54" t="inlineStr">
        <is>
          <t>Infantry</t>
        </is>
      </c>
      <c r="H152" s="54" t="str"/>
      <c r="I152" s="54" t="str"/>
      <c r="J152" s="54" t="str"/>
      <c r="K152" s="54" t="str"/>
      <c r="L152" s="55" t="n">
        <v>180</v>
      </c>
      <c r="M152" s="54" t="str"/>
      <c r="N152" s="54" t="inlineStr">
        <is>
          <t>Matched to Munitorum Field Manual v2.3</t>
        </is>
      </c>
      <c r="O152" s="54" t="inlineStr">
        <is>
          <t>Uploaded PDF: Munitorum Field Manual v2.3 / March 2025, p.19</t>
        </is>
      </c>
    </row>
    <row r="153">
      <c r="A153" s="54" t="inlineStr">
        <is>
          <t>Deathwatch</t>
        </is>
      </c>
      <c r="B153" s="54" t="inlineStr">
        <is>
          <t>Deathwatch</t>
        </is>
      </c>
      <c r="C153" s="54" t="inlineStr">
        <is>
          <t>Infantry / Other</t>
        </is>
      </c>
      <c r="D153" s="54" t="inlineStr">
        <is>
          <t>Infantry</t>
        </is>
      </c>
      <c r="E153" s="54" t="inlineStr">
        <is>
          <t>Deathwatch Terminator Squad</t>
        </is>
      </c>
      <c r="F153" s="54" t="inlineStr">
        <is>
          <t>5 models</t>
        </is>
      </c>
      <c r="G153" s="54" t="inlineStr">
        <is>
          <t>Infantry</t>
        </is>
      </c>
      <c r="H153" s="54" t="str"/>
      <c r="I153" s="54" t="str"/>
      <c r="J153" s="54" t="str"/>
      <c r="K153" s="54" t="str"/>
      <c r="L153" s="55" t="n">
        <v>190</v>
      </c>
      <c r="M153" s="54" t="inlineStr">
        <is>
          <t>Points options: 5 models = 190 pts; 10 models = 350 pts</t>
        </is>
      </c>
      <c r="N153" s="54" t="inlineStr">
        <is>
          <t>Matched to Munitorum Field Manual v2.3</t>
        </is>
      </c>
      <c r="O153" s="54" t="inlineStr">
        <is>
          <t>Uploaded PDF: Munitorum Field Manual v2.3 / March 2025, p.19</t>
        </is>
      </c>
    </row>
    <row r="154">
      <c r="A154" s="54" t="inlineStr">
        <is>
          <t>Deathwatch</t>
        </is>
      </c>
      <c r="B154" s="54" t="inlineStr">
        <is>
          <t>Deathwatch</t>
        </is>
      </c>
      <c r="C154" s="54" t="inlineStr">
        <is>
          <t>Infantry / Other</t>
        </is>
      </c>
      <c r="D154" s="54" t="inlineStr">
        <is>
          <t>Infantry</t>
        </is>
      </c>
      <c r="E154" s="54" t="inlineStr">
        <is>
          <t>Fortis Kill Team</t>
        </is>
      </c>
      <c r="F154" s="54" t="inlineStr">
        <is>
          <t>10 models</t>
        </is>
      </c>
      <c r="G154" s="54" t="inlineStr">
        <is>
          <t>Infantry</t>
        </is>
      </c>
      <c r="H154" s="54" t="str"/>
      <c r="I154" s="54" t="str"/>
      <c r="J154" s="54" t="str"/>
      <c r="K154" s="54" t="str"/>
      <c r="L154" s="55" t="n">
        <v>200</v>
      </c>
      <c r="M154" s="54" t="str"/>
      <c r="N154" s="54" t="inlineStr">
        <is>
          <t>Matched to Munitorum Field Manual v2.3</t>
        </is>
      </c>
      <c r="O154" s="54" t="inlineStr">
        <is>
          <t>Uploaded PDF: Munitorum Field Manual v2.3 / March 2025, p.19</t>
        </is>
      </c>
    </row>
    <row r="155">
      <c r="A155" s="54" t="inlineStr">
        <is>
          <t>Deathwatch</t>
        </is>
      </c>
      <c r="B155" s="54" t="inlineStr">
        <is>
          <t>Deathwatch</t>
        </is>
      </c>
      <c r="C155" s="54" t="inlineStr">
        <is>
          <t>Infantry / Other</t>
        </is>
      </c>
      <c r="D155" s="54" t="inlineStr">
        <is>
          <t>Infantry</t>
        </is>
      </c>
      <c r="E155" s="54" t="inlineStr">
        <is>
          <t>Indomitor Kill Team</t>
        </is>
      </c>
      <c r="F155" s="54" t="inlineStr">
        <is>
          <t>10 models</t>
        </is>
      </c>
      <c r="G155" s="54" t="inlineStr">
        <is>
          <t>Infantry</t>
        </is>
      </c>
      <c r="H155" s="54" t="str"/>
      <c r="I155" s="54" t="str"/>
      <c r="J155" s="54" t="str"/>
      <c r="K155" s="54" t="str"/>
      <c r="L155" s="55" t="n">
        <v>270</v>
      </c>
      <c r="M155" s="54" t="str"/>
      <c r="N155" s="54" t="inlineStr">
        <is>
          <t>Matched to Munitorum Field Manual v2.3</t>
        </is>
      </c>
      <c r="O155" s="54" t="inlineStr">
        <is>
          <t>Uploaded PDF: Munitorum Field Manual v2.3 / March 2025, p.19</t>
        </is>
      </c>
    </row>
    <row r="156">
      <c r="A156" s="54" t="inlineStr">
        <is>
          <t>Deathwatch</t>
        </is>
      </c>
      <c r="B156" s="54" t="inlineStr">
        <is>
          <t>Deathwatch</t>
        </is>
      </c>
      <c r="C156" s="54" t="inlineStr">
        <is>
          <t>Infantry / Other</t>
        </is>
      </c>
      <c r="D156" s="54" t="inlineStr">
        <is>
          <t>Infantry</t>
        </is>
      </c>
      <c r="E156" s="54" t="inlineStr">
        <is>
          <t>Kill Team Cassius</t>
        </is>
      </c>
      <c r="F156" s="54" t="n"/>
      <c r="G156" s="54" t="inlineStr">
        <is>
          <t>Infantry</t>
        </is>
      </c>
      <c r="H156" s="54" t="str"/>
      <c r="I156" s="54" t="str"/>
      <c r="J156" s="54" t="str"/>
      <c r="K156" s="54" t="str"/>
      <c r="L156" s="55" t="n"/>
      <c r="M156" s="54" t="inlineStr">
        <is>
          <t>No matching points entry found in uploaded PDF; verify unit name/current support.</t>
        </is>
      </c>
      <c r="N156" s="54" t="inlineStr">
        <is>
          <t>Not found in uploaded PDF</t>
        </is>
      </c>
      <c r="O156" s="54" t="inlineStr">
        <is>
          <t>Uploaded PDF: Munitorum Field Manual v2.3 / March 2025</t>
        </is>
      </c>
    </row>
    <row r="157">
      <c r="A157" s="54" t="inlineStr">
        <is>
          <t>Deathwatch</t>
        </is>
      </c>
      <c r="B157" s="54" t="inlineStr">
        <is>
          <t>Deathwatch</t>
        </is>
      </c>
      <c r="C157" s="54" t="inlineStr">
        <is>
          <t>Infantry / Other</t>
        </is>
      </c>
      <c r="D157" s="54" t="inlineStr">
        <is>
          <t>Infantry</t>
        </is>
      </c>
      <c r="E157" s="54" t="inlineStr">
        <is>
          <t>Proteus Kill Team</t>
        </is>
      </c>
      <c r="F157" s="54" t="n"/>
      <c r="G157" s="54" t="inlineStr">
        <is>
          <t>Infantry</t>
        </is>
      </c>
      <c r="H157" s="54" t="str"/>
      <c r="I157" s="54" t="str"/>
      <c r="J157" s="54" t="str"/>
      <c r="K157" s="54" t="str"/>
      <c r="L157" s="55" t="n"/>
      <c r="M157" s="54" t="inlineStr">
        <is>
          <t>No matching points entry found in uploaded PDF; verify unit name/current support.</t>
        </is>
      </c>
      <c r="N157" s="54" t="inlineStr">
        <is>
          <t>Not found in uploaded PDF</t>
        </is>
      </c>
      <c r="O157" s="54" t="inlineStr">
        <is>
          <t>Uploaded PDF: Munitorum Field Manual v2.3 / March 2025</t>
        </is>
      </c>
    </row>
    <row r="158">
      <c r="A158" s="54" t="inlineStr">
        <is>
          <t>Deathwatch</t>
        </is>
      </c>
      <c r="B158" s="54" t="inlineStr">
        <is>
          <t>Deathwatch</t>
        </is>
      </c>
      <c r="C158" s="54" t="inlineStr">
        <is>
          <t>Infantry / Other</t>
        </is>
      </c>
      <c r="D158" s="54" t="inlineStr">
        <is>
          <t>Infantry</t>
        </is>
      </c>
      <c r="E158" s="54" t="inlineStr">
        <is>
          <t>Spectrus Kill Team</t>
        </is>
      </c>
      <c r="F158" s="54" t="inlineStr">
        <is>
          <t>10 models</t>
        </is>
      </c>
      <c r="G158" s="54" t="inlineStr">
        <is>
          <t>Infantry</t>
        </is>
      </c>
      <c r="H158" s="54" t="str"/>
      <c r="I158" s="54" t="str"/>
      <c r="J158" s="54" t="str"/>
      <c r="K158" s="54" t="str"/>
      <c r="L158" s="55" t="n">
        <v>200</v>
      </c>
      <c r="M158" s="54" t="str"/>
      <c r="N158" s="54" t="inlineStr">
        <is>
          <t>Matched to Munitorum Field Manual v2.3</t>
        </is>
      </c>
      <c r="O158" s="54" t="inlineStr">
        <is>
          <t>Uploaded PDF: Munitorum Field Manual v2.3 / March 2025, p.19</t>
        </is>
      </c>
    </row>
    <row r="159">
      <c r="A159" s="54" t="inlineStr">
        <is>
          <t>Deathwatch</t>
        </is>
      </c>
      <c r="B159" s="54" t="inlineStr">
        <is>
          <t>Deathwatch</t>
        </is>
      </c>
      <c r="C159" s="54" t="inlineStr">
        <is>
          <t>Infantry / Other</t>
        </is>
      </c>
      <c r="D159" s="54" t="inlineStr">
        <is>
          <t>Infantry</t>
        </is>
      </c>
      <c r="E159" s="54" t="inlineStr">
        <is>
          <t>Veteran Squad</t>
        </is>
      </c>
      <c r="F159" s="54" t="n"/>
      <c r="G159" s="54" t="inlineStr">
        <is>
          <t>Infantry</t>
        </is>
      </c>
      <c r="H159" s="54" t="str"/>
      <c r="I159" s="54" t="str"/>
      <c r="J159" s="54" t="str"/>
      <c r="K159" s="54" t="str"/>
      <c r="L159" s="55" t="n"/>
      <c r="M159" s="54" t="inlineStr">
        <is>
          <t>No matching points entry found in uploaded PDF; verify unit name/current support.</t>
        </is>
      </c>
      <c r="N159" s="54" t="inlineStr">
        <is>
          <t>Not found in uploaded PDF</t>
        </is>
      </c>
      <c r="O159" s="54" t="inlineStr">
        <is>
          <t>Uploaded PDF: Munitorum Field Manual v2.3 / March 2025</t>
        </is>
      </c>
    </row>
    <row r="160">
      <c r="A160" s="54" t="inlineStr">
        <is>
          <t>Deathwatch</t>
        </is>
      </c>
      <c r="B160" s="54" t="inlineStr">
        <is>
          <t>Deathwatch</t>
        </is>
      </c>
      <c r="C160" s="54" t="inlineStr">
        <is>
          <t>Character</t>
        </is>
      </c>
      <c r="D160" s="54" t="inlineStr">
        <is>
          <t>Character</t>
        </is>
      </c>
      <c r="E160" s="54" t="inlineStr">
        <is>
          <t>Watch Captain Artemis</t>
        </is>
      </c>
      <c r="F160" s="54" t="inlineStr">
        <is>
          <t>1 model</t>
        </is>
      </c>
      <c r="G160" s="54" t="inlineStr">
        <is>
          <t>Character</t>
        </is>
      </c>
      <c r="H160" s="54" t="str"/>
      <c r="I160" s="54" t="str"/>
      <c r="J160" s="54" t="str"/>
      <c r="K160" s="54" t="str"/>
      <c r="L160" s="55" t="n">
        <v>65</v>
      </c>
      <c r="M160" s="54" t="str"/>
      <c r="N160" s="54" t="inlineStr">
        <is>
          <t>Matched to Munitorum Field Manual v2.3</t>
        </is>
      </c>
      <c r="O160" s="54" t="inlineStr">
        <is>
          <t>Uploaded PDF: Munitorum Field Manual v2.3 / March 2025, p.19</t>
        </is>
      </c>
    </row>
    <row r="161">
      <c r="A161" s="54" t="inlineStr">
        <is>
          <t>Deathwatch</t>
        </is>
      </c>
      <c r="B161" s="54" t="inlineStr">
        <is>
          <t>Deathwatch</t>
        </is>
      </c>
      <c r="C161" s="54" t="inlineStr">
        <is>
          <t>Character</t>
        </is>
      </c>
      <c r="D161" s="54" t="inlineStr">
        <is>
          <t>Character</t>
        </is>
      </c>
      <c r="E161" s="54" t="inlineStr">
        <is>
          <t>Watch Master</t>
        </is>
      </c>
      <c r="F161" s="54" t="inlineStr">
        <is>
          <t>1 model</t>
        </is>
      </c>
      <c r="G161" s="54" t="inlineStr">
        <is>
          <t>Character</t>
        </is>
      </c>
      <c r="H161" s="54" t="str"/>
      <c r="I161" s="54" t="str"/>
      <c r="J161" s="54" t="str"/>
      <c r="K161" s="54" t="str"/>
      <c r="L161" s="55" t="n">
        <v>105</v>
      </c>
      <c r="M161" s="54" t="str"/>
      <c r="N161" s="54" t="inlineStr">
        <is>
          <t>Matched to Munitorum Field Manual v2.3</t>
        </is>
      </c>
      <c r="O161" s="54" t="inlineStr">
        <is>
          <t>Uploaded PDF: Munitorum Field Manual v2.3 / March 2025, p.19</t>
        </is>
      </c>
    </row>
    <row r="162">
      <c r="A162" s="54" t="inlineStr">
        <is>
          <t>Grey Knights</t>
        </is>
      </c>
      <c r="B162" s="54" t="inlineStr">
        <is>
          <t>Grey Knights</t>
        </is>
      </c>
      <c r="C162" s="54" t="inlineStr">
        <is>
          <t>Character</t>
        </is>
      </c>
      <c r="D162" s="54" t="inlineStr">
        <is>
          <t>Character</t>
        </is>
      </c>
      <c r="E162" s="54" t="inlineStr">
        <is>
          <t>Brother-Captain</t>
        </is>
      </c>
      <c r="F162" s="54" t="inlineStr">
        <is>
          <t>1 model</t>
        </is>
      </c>
      <c r="G162" s="54" t="inlineStr">
        <is>
          <t>Character</t>
        </is>
      </c>
      <c r="H162" s="54" t="str"/>
      <c r="I162" s="54" t="str"/>
      <c r="J162" s="54" t="str"/>
      <c r="K162" s="54" t="str"/>
      <c r="L162" s="55" t="n">
        <v>90</v>
      </c>
      <c r="M162" s="54" t="str"/>
      <c r="N162" s="54" t="inlineStr">
        <is>
          <t>Matched to Munitorum Field Manual v2.3</t>
        </is>
      </c>
      <c r="O162" s="54" t="inlineStr">
        <is>
          <t>Uploaded PDF: Munitorum Field Manual v2.3 / March 2025, p.23</t>
        </is>
      </c>
    </row>
    <row r="163">
      <c r="A163" s="54" t="inlineStr">
        <is>
          <t>Grey Knights</t>
        </is>
      </c>
      <c r="B163" s="54" t="inlineStr">
        <is>
          <t>Grey Knights</t>
        </is>
      </c>
      <c r="C163" s="54" t="inlineStr">
        <is>
          <t>Character</t>
        </is>
      </c>
      <c r="D163" s="54" t="inlineStr">
        <is>
          <t>Character</t>
        </is>
      </c>
      <c r="E163" s="54" t="inlineStr">
        <is>
          <t>Brotherhood Champion</t>
        </is>
      </c>
      <c r="F163" s="54" t="inlineStr">
        <is>
          <t>1 model</t>
        </is>
      </c>
      <c r="G163" s="54" t="inlineStr">
        <is>
          <t>Character</t>
        </is>
      </c>
      <c r="H163" s="54" t="str"/>
      <c r="I163" s="54" t="str"/>
      <c r="J163" s="54" t="str"/>
      <c r="K163" s="54" t="str"/>
      <c r="L163" s="55" t="n">
        <v>80</v>
      </c>
      <c r="M163" s="54" t="str"/>
      <c r="N163" s="54" t="inlineStr">
        <is>
          <t>Matched to Munitorum Field Manual v2.3</t>
        </is>
      </c>
      <c r="O163" s="54" t="inlineStr">
        <is>
          <t>Uploaded PDF: Munitorum Field Manual v2.3 / March 2025, p.23</t>
        </is>
      </c>
    </row>
    <row r="164">
      <c r="A164" s="54" t="inlineStr">
        <is>
          <t>Grey Knights</t>
        </is>
      </c>
      <c r="B164" s="54" t="inlineStr">
        <is>
          <t>Grey Knights</t>
        </is>
      </c>
      <c r="C164" s="54" t="inlineStr">
        <is>
          <t>Character</t>
        </is>
      </c>
      <c r="D164" s="54" t="inlineStr">
        <is>
          <t>Character</t>
        </is>
      </c>
      <c r="E164" s="54" t="inlineStr">
        <is>
          <t>Brotherhood Chaplain</t>
        </is>
      </c>
      <c r="F164" s="54" t="inlineStr">
        <is>
          <t>1 model</t>
        </is>
      </c>
      <c r="G164" s="54" t="inlineStr">
        <is>
          <t>Character</t>
        </is>
      </c>
      <c r="H164" s="54" t="str"/>
      <c r="I164" s="54" t="str"/>
      <c r="J164" s="54" t="str"/>
      <c r="K164" s="54" t="str"/>
      <c r="L164" s="55" t="n">
        <v>75</v>
      </c>
      <c r="M164" s="54" t="str"/>
      <c r="N164" s="54" t="inlineStr">
        <is>
          <t>Matched to Munitorum Field Manual v2.3</t>
        </is>
      </c>
      <c r="O164" s="54" t="inlineStr">
        <is>
          <t>Uploaded PDF: Munitorum Field Manual v2.3 / March 2025, p.23</t>
        </is>
      </c>
    </row>
    <row r="165">
      <c r="A165" s="54" t="inlineStr">
        <is>
          <t>Grey Knights</t>
        </is>
      </c>
      <c r="B165" s="54" t="inlineStr">
        <is>
          <t>Grey Knights</t>
        </is>
      </c>
      <c r="C165" s="54" t="inlineStr">
        <is>
          <t>Character</t>
        </is>
      </c>
      <c r="D165" s="54" t="inlineStr">
        <is>
          <t>Character</t>
        </is>
      </c>
      <c r="E165" s="54" t="inlineStr">
        <is>
          <t>Brotherhood Librarian</t>
        </is>
      </c>
      <c r="F165" s="54" t="inlineStr">
        <is>
          <t>1 model</t>
        </is>
      </c>
      <c r="G165" s="54" t="inlineStr">
        <is>
          <t>Character, Psyker</t>
        </is>
      </c>
      <c r="H165" s="54" t="str"/>
      <c r="I165" s="54" t="str"/>
      <c r="J165" s="54" t="str"/>
      <c r="K165" s="54" t="str"/>
      <c r="L165" s="55" t="n">
        <v>120</v>
      </c>
      <c r="M165" s="54" t="str"/>
      <c r="N165" s="54" t="inlineStr">
        <is>
          <t>Matched to Munitorum Field Manual v2.3</t>
        </is>
      </c>
      <c r="O165" s="54" t="inlineStr">
        <is>
          <t>Uploaded PDF: Munitorum Field Manual v2.3 / March 2025, p.23</t>
        </is>
      </c>
    </row>
    <row r="166">
      <c r="A166" s="54" t="inlineStr">
        <is>
          <t>Grey Knights</t>
        </is>
      </c>
      <c r="B166" s="54" t="inlineStr">
        <is>
          <t>Grey Knights</t>
        </is>
      </c>
      <c r="C166" s="54" t="inlineStr">
        <is>
          <t>Character</t>
        </is>
      </c>
      <c r="D166" s="54" t="inlineStr">
        <is>
          <t>Character</t>
        </is>
      </c>
      <c r="E166" s="54" t="inlineStr">
        <is>
          <t>Brotherhood Techmarine</t>
        </is>
      </c>
      <c r="F166" s="54" t="inlineStr">
        <is>
          <t>1 model</t>
        </is>
      </c>
      <c r="G166" s="54" t="inlineStr">
        <is>
          <t>Character</t>
        </is>
      </c>
      <c r="H166" s="54" t="str"/>
      <c r="I166" s="54" t="str"/>
      <c r="J166" s="54" t="str"/>
      <c r="K166" s="54" t="str"/>
      <c r="L166" s="55" t="n">
        <v>70</v>
      </c>
      <c r="M166" s="54" t="str"/>
      <c r="N166" s="54" t="inlineStr">
        <is>
          <t>Matched to Munitorum Field Manual v2.3</t>
        </is>
      </c>
      <c r="O166" s="54" t="inlineStr">
        <is>
          <t>Uploaded PDF: Munitorum Field Manual v2.3 / March 2025, p.23</t>
        </is>
      </c>
    </row>
    <row r="167">
      <c r="A167" s="54" t="inlineStr">
        <is>
          <t>Grey Knights</t>
        </is>
      </c>
      <c r="B167" s="54" t="inlineStr">
        <is>
          <t>Grey Knights</t>
        </is>
      </c>
      <c r="C167" s="54" t="inlineStr">
        <is>
          <t>Infantry / Other</t>
        </is>
      </c>
      <c r="D167" s="54" t="inlineStr">
        <is>
          <t>Infantry</t>
        </is>
      </c>
      <c r="E167" s="54" t="inlineStr">
        <is>
          <t>Castellan Crowe</t>
        </is>
      </c>
      <c r="F167" s="54" t="inlineStr">
        <is>
          <t>1 model</t>
        </is>
      </c>
      <c r="G167" s="54" t="inlineStr">
        <is>
          <t>Infantry</t>
        </is>
      </c>
      <c r="H167" s="54" t="str"/>
      <c r="I167" s="54" t="str"/>
      <c r="J167" s="54" t="str"/>
      <c r="K167" s="54" t="str"/>
      <c r="L167" s="55" t="n">
        <v>90</v>
      </c>
      <c r="M167" s="54" t="str"/>
      <c r="N167" s="54" t="inlineStr">
        <is>
          <t>Matched to Munitorum Field Manual v2.3</t>
        </is>
      </c>
      <c r="O167" s="54" t="inlineStr">
        <is>
          <t>Uploaded PDF: Munitorum Field Manual v2.3 / March 2025, p.23</t>
        </is>
      </c>
    </row>
    <row r="168">
      <c r="A168" s="54" t="inlineStr">
        <is>
          <t>Grey Knights</t>
        </is>
      </c>
      <c r="B168" s="54" t="inlineStr">
        <is>
          <t>Grey Knights</t>
        </is>
      </c>
      <c r="C168" s="54" t="inlineStr">
        <is>
          <t>Character</t>
        </is>
      </c>
      <c r="D168" s="54" t="inlineStr">
        <is>
          <t>Character</t>
        </is>
      </c>
      <c r="E168" s="54" t="inlineStr">
        <is>
          <t>Grand Master</t>
        </is>
      </c>
      <c r="F168" s="54" t="inlineStr">
        <is>
          <t>1 model</t>
        </is>
      </c>
      <c r="G168" s="54" t="inlineStr">
        <is>
          <t>Character</t>
        </is>
      </c>
      <c r="H168" s="54" t="str"/>
      <c r="I168" s="54" t="str"/>
      <c r="J168" s="54" t="str"/>
      <c r="K168" s="54" t="str"/>
      <c r="L168" s="55" t="n">
        <v>95</v>
      </c>
      <c r="M168" s="54" t="str"/>
      <c r="N168" s="54" t="inlineStr">
        <is>
          <t>Matched to Munitorum Field Manual v2.3</t>
        </is>
      </c>
      <c r="O168" s="54" t="inlineStr">
        <is>
          <t>Uploaded PDF: Munitorum Field Manual v2.3 / March 2025, p.23</t>
        </is>
      </c>
    </row>
    <row r="169">
      <c r="A169" s="54" t="inlineStr">
        <is>
          <t>Grey Knights</t>
        </is>
      </c>
      <c r="B169" s="54" t="inlineStr">
        <is>
          <t>Grey Knights</t>
        </is>
      </c>
      <c r="C169" s="54" t="inlineStr">
        <is>
          <t>Vehicle / Support</t>
        </is>
      </c>
      <c r="D169" s="54" t="inlineStr">
        <is>
          <t>Super-heavy Vehicle/Monster</t>
        </is>
      </c>
      <c r="E169" s="54" t="inlineStr">
        <is>
          <t>Grand Master in Nemesis Dreadknight</t>
        </is>
      </c>
      <c r="F169" s="54" t="inlineStr">
        <is>
          <t>1 model</t>
        </is>
      </c>
      <c r="G169" s="54" t="inlineStr">
        <is>
          <t>Super-heavy Vehicle/Monster</t>
        </is>
      </c>
      <c r="H169" s="54" t="str"/>
      <c r="I169" s="54" t="str"/>
      <c r="J169" s="54" t="str"/>
      <c r="K169" s="54" t="str"/>
      <c r="L169" s="55" t="n">
        <v>210</v>
      </c>
      <c r="M169" s="54" t="str"/>
      <c r="N169" s="54" t="inlineStr">
        <is>
          <t>Matched to Munitorum Field Manual v2.3</t>
        </is>
      </c>
      <c r="O169" s="54" t="inlineStr">
        <is>
          <t>Uploaded PDF: Munitorum Field Manual v2.3 / March 2025, p.23</t>
        </is>
      </c>
    </row>
    <row r="170">
      <c r="A170" s="54" t="inlineStr">
        <is>
          <t>Grey Knights</t>
        </is>
      </c>
      <c r="B170" s="54" t="inlineStr">
        <is>
          <t>Grey Knights</t>
        </is>
      </c>
      <c r="C170" s="54" t="inlineStr">
        <is>
          <t>Vehicle / Support</t>
        </is>
      </c>
      <c r="D170" s="54" t="inlineStr">
        <is>
          <t>Aircraft</t>
        </is>
      </c>
      <c r="E170" s="54" t="inlineStr">
        <is>
          <t>Interceptors</t>
        </is>
      </c>
      <c r="F170" s="54" t="inlineStr">
        <is>
          <t>5 models</t>
        </is>
      </c>
      <c r="G170" s="54" t="inlineStr">
        <is>
          <t>Aircraft</t>
        </is>
      </c>
      <c r="H170" s="54" t="str"/>
      <c r="I170" s="54" t="str"/>
      <c r="J170" s="54" t="str"/>
      <c r="K170" s="54" t="str"/>
      <c r="L170" s="55" t="n">
        <v>125</v>
      </c>
      <c r="M170" s="54" t="inlineStr">
        <is>
          <t>Points options: 5 models = 125 pts; 10 models = 250 pts</t>
        </is>
      </c>
      <c r="N170" s="54" t="inlineStr">
        <is>
          <t>Matched to Munitorum Field Manual v2.3</t>
        </is>
      </c>
      <c r="O170" s="54" t="inlineStr">
        <is>
          <t>Uploaded PDF: Munitorum Field Manual v2.3 / March 2025, p.23</t>
        </is>
      </c>
    </row>
    <row r="171">
      <c r="A171" s="54" t="inlineStr">
        <is>
          <t>Grey Knights</t>
        </is>
      </c>
      <c r="B171" s="54" t="inlineStr">
        <is>
          <t>Grey Knights</t>
        </is>
      </c>
      <c r="C171" s="54" t="inlineStr">
        <is>
          <t>Infantry / Other</t>
        </is>
      </c>
      <c r="D171" s="54" t="inlineStr">
        <is>
          <t>Infantry</t>
        </is>
      </c>
      <c r="E171" s="54" t="inlineStr">
        <is>
          <t>Kaldor Draigo</t>
        </is>
      </c>
      <c r="F171" s="54" t="inlineStr">
        <is>
          <t>1 model</t>
        </is>
      </c>
      <c r="G171" s="54" t="inlineStr">
        <is>
          <t>Infantry, Epic Hero</t>
        </is>
      </c>
      <c r="H171" s="54" t="str"/>
      <c r="I171" s="54" t="str"/>
      <c r="J171" s="54" t="str"/>
      <c r="K171" s="54" t="str"/>
      <c r="L171" s="55" t="n">
        <v>125</v>
      </c>
      <c r="M171" s="54" t="str"/>
      <c r="N171" s="54" t="inlineStr">
        <is>
          <t>Matched to Munitorum Field Manual v2.3</t>
        </is>
      </c>
      <c r="O171" s="54" t="inlineStr">
        <is>
          <t>Uploaded PDF: Munitorum Field Manual v2.3 / March 2025, p.23</t>
        </is>
      </c>
    </row>
    <row r="172">
      <c r="A172" s="54" t="inlineStr">
        <is>
          <t>Grey Knights</t>
        </is>
      </c>
      <c r="B172" s="54" t="inlineStr">
        <is>
          <t>Grey Knights</t>
        </is>
      </c>
      <c r="C172" s="54" t="inlineStr">
        <is>
          <t>Vehicle / Support</t>
        </is>
      </c>
      <c r="D172" s="54" t="inlineStr">
        <is>
          <t>Super-heavy Vehicle/Monster</t>
        </is>
      </c>
      <c r="E172" s="54" t="inlineStr">
        <is>
          <t>Nemesis Dreadknight</t>
        </is>
      </c>
      <c r="F172" s="54" t="inlineStr">
        <is>
          <t>1 model</t>
        </is>
      </c>
      <c r="G172" s="54" t="inlineStr">
        <is>
          <t>Super-heavy Vehicle/Monster</t>
        </is>
      </c>
      <c r="H172" s="54" t="str"/>
      <c r="I172" s="54" t="str"/>
      <c r="J172" s="54" t="str"/>
      <c r="K172" s="54" t="str"/>
      <c r="L172" s="55" t="n">
        <v>210</v>
      </c>
      <c r="M172" s="54" t="str"/>
      <c r="N172" s="54" t="inlineStr">
        <is>
          <t>Matched to Munitorum Field Manual v2.3</t>
        </is>
      </c>
      <c r="O172" s="54" t="inlineStr">
        <is>
          <t>Uploaded PDF: Munitorum Field Manual v2.3 / March 2025, p.23</t>
        </is>
      </c>
    </row>
    <row r="173">
      <c r="A173" s="54" t="inlineStr">
        <is>
          <t>Grey Knights</t>
        </is>
      </c>
      <c r="B173" s="54" t="inlineStr">
        <is>
          <t>Grey Knights</t>
        </is>
      </c>
      <c r="C173" s="54" t="inlineStr">
        <is>
          <t>Character</t>
        </is>
      </c>
      <c r="D173" s="54" t="inlineStr">
        <is>
          <t>Character</t>
        </is>
      </c>
      <c r="E173" s="54" t="inlineStr">
        <is>
          <t>Paladin Ancient</t>
        </is>
      </c>
      <c r="F173" s="54" t="n"/>
      <c r="G173" s="54" t="inlineStr">
        <is>
          <t>Character</t>
        </is>
      </c>
      <c r="H173" s="54" t="str"/>
      <c r="I173" s="54" t="str"/>
      <c r="J173" s="54" t="str"/>
      <c r="K173" s="54" t="str"/>
      <c r="L173" s="55" t="n"/>
      <c r="M173" s="54" t="inlineStr">
        <is>
          <t>No matching points entry found in uploaded PDF; verify unit name/current support.</t>
        </is>
      </c>
      <c r="N173" s="54" t="inlineStr">
        <is>
          <t>Not found in uploaded PDF</t>
        </is>
      </c>
      <c r="O173" s="54" t="inlineStr">
        <is>
          <t>Uploaded PDF: Munitorum Field Manual v2.3 / March 2025</t>
        </is>
      </c>
    </row>
    <row r="174">
      <c r="A174" s="54" t="inlineStr">
        <is>
          <t>Grey Knights</t>
        </is>
      </c>
      <c r="B174" s="54" t="inlineStr">
        <is>
          <t>Grey Knights</t>
        </is>
      </c>
      <c r="C174" s="54" t="inlineStr">
        <is>
          <t>Infantry / Other</t>
        </is>
      </c>
      <c r="D174" s="54" t="inlineStr">
        <is>
          <t>Infantry</t>
        </is>
      </c>
      <c r="E174" s="54" t="inlineStr">
        <is>
          <t>Paladin Squad</t>
        </is>
      </c>
      <c r="F174" s="54" t="inlineStr">
        <is>
          <t>5 models</t>
        </is>
      </c>
      <c r="G174" s="54" t="inlineStr">
        <is>
          <t>Infantry</t>
        </is>
      </c>
      <c r="H174" s="54" t="str"/>
      <c r="I174" s="54" t="str"/>
      <c r="J174" s="54" t="str"/>
      <c r="K174" s="54" t="str"/>
      <c r="L174" s="55" t="n">
        <v>215</v>
      </c>
      <c r="M174" s="54" t="inlineStr">
        <is>
          <t>Points options: 5 models = 215 pts; 10 models = 450 pts</t>
        </is>
      </c>
      <c r="N174" s="54" t="inlineStr">
        <is>
          <t>Matched to Munitorum Field Manual v2.3</t>
        </is>
      </c>
      <c r="O174" s="54" t="inlineStr">
        <is>
          <t>Uploaded PDF: Munitorum Field Manual v2.3 / March 2025, p.23</t>
        </is>
      </c>
    </row>
    <row r="175">
      <c r="A175" s="54" t="inlineStr">
        <is>
          <t>Grey Knights</t>
        </is>
      </c>
      <c r="B175" s="54" t="inlineStr">
        <is>
          <t>Grey Knights</t>
        </is>
      </c>
      <c r="C175" s="54" t="inlineStr">
        <is>
          <t>Infantry / Other</t>
        </is>
      </c>
      <c r="D175" s="54" t="inlineStr">
        <is>
          <t>Infantry</t>
        </is>
      </c>
      <c r="E175" s="54" t="inlineStr">
        <is>
          <t>Purgation Squad</t>
        </is>
      </c>
      <c r="F175" s="54" t="inlineStr">
        <is>
          <t>5 models</t>
        </is>
      </c>
      <c r="G175" s="54" t="inlineStr">
        <is>
          <t>Infantry</t>
        </is>
      </c>
      <c r="H175" s="54" t="str"/>
      <c r="I175" s="54" t="str"/>
      <c r="J175" s="54" t="str"/>
      <c r="K175" s="54" t="str"/>
      <c r="L175" s="55" t="n">
        <v>120</v>
      </c>
      <c r="M175" s="54" t="inlineStr">
        <is>
          <t>Points options: 5 models = 120 pts; 10 models = 240 pts</t>
        </is>
      </c>
      <c r="N175" s="54" t="inlineStr">
        <is>
          <t>Matched to Munitorum Field Manual v2.3</t>
        </is>
      </c>
      <c r="O175" s="54" t="inlineStr">
        <is>
          <t>Uploaded PDF: Munitorum Field Manual v2.3 / March 2025, p.23</t>
        </is>
      </c>
    </row>
    <row r="176">
      <c r="A176" s="54" t="inlineStr">
        <is>
          <t>Grey Knights</t>
        </is>
      </c>
      <c r="B176" s="54" t="inlineStr">
        <is>
          <t>Grey Knights</t>
        </is>
      </c>
      <c r="C176" s="54" t="inlineStr">
        <is>
          <t>Infantry / Other</t>
        </is>
      </c>
      <c r="D176" s="54" t="inlineStr">
        <is>
          <t>Infantry</t>
        </is>
      </c>
      <c r="E176" s="54" t="inlineStr">
        <is>
          <t>Purifier Squad</t>
        </is>
      </c>
      <c r="F176" s="54" t="inlineStr">
        <is>
          <t>5 models</t>
        </is>
      </c>
      <c r="G176" s="54" t="inlineStr">
        <is>
          <t>Infantry</t>
        </is>
      </c>
      <c r="H176" s="54" t="str"/>
      <c r="I176" s="54" t="str"/>
      <c r="J176" s="54" t="str"/>
      <c r="K176" s="54" t="str"/>
      <c r="L176" s="55" t="n">
        <v>125</v>
      </c>
      <c r="M176" s="54" t="inlineStr">
        <is>
          <t>Points options: 5 models = 125 pts; 10 models = 250 pts</t>
        </is>
      </c>
      <c r="N176" s="54" t="inlineStr">
        <is>
          <t>Matched to Munitorum Field Manual v2.3</t>
        </is>
      </c>
      <c r="O176" s="54" t="inlineStr">
        <is>
          <t>Uploaded PDF: Munitorum Field Manual v2.3 / March 2025, p.23</t>
        </is>
      </c>
    </row>
    <row r="177">
      <c r="A177" s="54" t="inlineStr">
        <is>
          <t>Grey Knights</t>
        </is>
      </c>
      <c r="B177" s="54" t="inlineStr">
        <is>
          <t>Grey Knights</t>
        </is>
      </c>
      <c r="C177" s="54" t="inlineStr">
        <is>
          <t>Infantry / Other</t>
        </is>
      </c>
      <c r="D177" s="54" t="inlineStr">
        <is>
          <t>Infantry</t>
        </is>
      </c>
      <c r="E177" s="54" t="inlineStr">
        <is>
          <t>Servitors</t>
        </is>
      </c>
      <c r="F177" s="54" t="inlineStr">
        <is>
          <t>4 models</t>
        </is>
      </c>
      <c r="G177" s="54" t="inlineStr">
        <is>
          <t>Infantry</t>
        </is>
      </c>
      <c r="H177" s="54" t="str"/>
      <c r="I177" s="54" t="str"/>
      <c r="J177" s="54" t="str"/>
      <c r="K177" s="54" t="str"/>
      <c r="L177" s="55" t="n">
        <v>50</v>
      </c>
      <c r="M177" s="54" t="str"/>
      <c r="N177" s="54" t="inlineStr">
        <is>
          <t>Matched to Munitorum Field Manual v2.3</t>
        </is>
      </c>
      <c r="O177" s="54" t="inlineStr">
        <is>
          <t>Uploaded PDF: Munitorum Field Manual v2.3 / March 2025, p.23</t>
        </is>
      </c>
    </row>
    <row r="178">
      <c r="A178" s="54" t="inlineStr">
        <is>
          <t>Grey Knights</t>
        </is>
      </c>
      <c r="B178" s="54" t="inlineStr">
        <is>
          <t>Grey Knights</t>
        </is>
      </c>
      <c r="C178" s="54" t="inlineStr">
        <is>
          <t>Battleline / Core</t>
        </is>
      </c>
      <c r="D178" s="54" t="inlineStr">
        <is>
          <t>Infantry</t>
        </is>
      </c>
      <c r="E178" s="54" t="inlineStr">
        <is>
          <t>Strike Squad</t>
        </is>
      </c>
      <c r="F178" s="54" t="inlineStr">
        <is>
          <t>5 models</t>
        </is>
      </c>
      <c r="G178" s="54" t="inlineStr">
        <is>
          <t>Infantry</t>
        </is>
      </c>
      <c r="H178" s="54" t="str"/>
      <c r="I178" s="54" t="str"/>
      <c r="J178" s="54" t="str"/>
      <c r="K178" s="54" t="str"/>
      <c r="L178" s="55" t="n">
        <v>120</v>
      </c>
      <c r="M178" s="54" t="inlineStr">
        <is>
          <t>Points options: 5 models = 120 pts; 10 models = 240 pts</t>
        </is>
      </c>
      <c r="N178" s="54" t="inlineStr">
        <is>
          <t>Matched to Munitorum Field Manual v2.3</t>
        </is>
      </c>
      <c r="O178" s="54" t="inlineStr">
        <is>
          <t>Uploaded PDF: Munitorum Field Manual v2.3 / March 2025, p.23</t>
        </is>
      </c>
    </row>
    <row r="179">
      <c r="A179" s="54" t="inlineStr">
        <is>
          <t>Grey Knights</t>
        </is>
      </c>
      <c r="B179" s="54" t="inlineStr">
        <is>
          <t>Grey Knights</t>
        </is>
      </c>
      <c r="C179" s="54" t="inlineStr">
        <is>
          <t>Infantry / Other</t>
        </is>
      </c>
      <c r="D179" s="54" t="inlineStr">
        <is>
          <t>Infantry</t>
        </is>
      </c>
      <c r="E179" s="54" t="inlineStr">
        <is>
          <t>Terminators</t>
        </is>
      </c>
      <c r="F179" s="54" t="inlineStr">
        <is>
          <t>5 models</t>
        </is>
      </c>
      <c r="G179" s="54" t="inlineStr">
        <is>
          <t>Infantry</t>
        </is>
      </c>
      <c r="H179" s="54" t="str"/>
      <c r="I179" s="54" t="str"/>
      <c r="J179" s="54" t="str"/>
      <c r="K179" s="54" t="str"/>
      <c r="L179" s="55" t="n">
        <v>200</v>
      </c>
      <c r="M179" s="54" t="inlineStr">
        <is>
          <t>Points options: 5 models = 200 pts; 10 models = 420 pts</t>
        </is>
      </c>
      <c r="N179" s="54" t="inlineStr">
        <is>
          <t>Matched to Munitorum Field Manual v2.3</t>
        </is>
      </c>
      <c r="O179" s="54" t="inlineStr">
        <is>
          <t>Uploaded PDF: Munitorum Field Manual v2.3 / March 2025, p.23</t>
        </is>
      </c>
    </row>
    <row r="180">
      <c r="A180" s="54" t="inlineStr">
        <is>
          <t>Grey Knights</t>
        </is>
      </c>
      <c r="B180" s="54" t="inlineStr">
        <is>
          <t>Grey Knights</t>
        </is>
      </c>
      <c r="C180" s="54" t="inlineStr">
        <is>
          <t>Vehicle / Support</t>
        </is>
      </c>
      <c r="D180" s="54" t="inlineStr">
        <is>
          <t>Walker / Battlesuit</t>
        </is>
      </c>
      <c r="E180" s="54" t="inlineStr">
        <is>
          <t>Venerable Dreadnought</t>
        </is>
      </c>
      <c r="F180" s="54" t="n"/>
      <c r="G180" s="54" t="inlineStr">
        <is>
          <t>Walker / Battlesuit</t>
        </is>
      </c>
      <c r="H180" s="54" t="str"/>
      <c r="I180" s="54" t="str"/>
      <c r="J180" s="54" t="str"/>
      <c r="K180" s="54" t="str"/>
      <c r="L180" s="55" t="n"/>
      <c r="M180" s="54" t="inlineStr">
        <is>
          <t>No matching points entry found in uploaded PDF; verify unit name/current support.</t>
        </is>
      </c>
      <c r="N180" s="54" t="inlineStr">
        <is>
          <t>Not found in uploaded PDF</t>
        </is>
      </c>
      <c r="O180" s="54" t="inlineStr">
        <is>
          <t>Uploaded PDF: Munitorum Field Manual v2.3 / March 2025</t>
        </is>
      </c>
    </row>
    <row r="181">
      <c r="A181" s="54" t="inlineStr">
        <is>
          <t>Adeptus Custodes</t>
        </is>
      </c>
      <c r="B181" s="54" t="str"/>
      <c r="C181" s="54" t="inlineStr">
        <is>
          <t>Infantry / Other</t>
        </is>
      </c>
      <c r="D181" s="54" t="inlineStr">
        <is>
          <t>Infantry</t>
        </is>
      </c>
      <c r="E181" s="54" t="inlineStr">
        <is>
          <t>Aleya</t>
        </is>
      </c>
      <c r="F181" s="54" t="inlineStr">
        <is>
          <t>1 model</t>
        </is>
      </c>
      <c r="G181" s="54" t="inlineStr">
        <is>
          <t>Infantry</t>
        </is>
      </c>
      <c r="H181" s="54" t="str"/>
      <c r="I181" s="54" t="str"/>
      <c r="J181" s="54" t="str"/>
      <c r="K181" s="54" t="str"/>
      <c r="L181" s="55" t="n">
        <v>65</v>
      </c>
      <c r="M181" s="54" t="str"/>
      <c r="N181" s="54" t="inlineStr">
        <is>
          <t>Matched to Munitorum Field Manual v2.3</t>
        </is>
      </c>
      <c r="O181" s="54" t="inlineStr">
        <is>
          <t>Uploaded PDF: Munitorum Field Manual v2.3 / March 2025, p.3</t>
        </is>
      </c>
    </row>
    <row r="182">
      <c r="A182" s="54" t="inlineStr">
        <is>
          <t>Adeptus Custodes</t>
        </is>
      </c>
      <c r="B182" s="54" t="str"/>
      <c r="C182" s="54" t="inlineStr">
        <is>
          <t>Infantry / Other</t>
        </is>
      </c>
      <c r="D182" s="54" t="inlineStr">
        <is>
          <t>Infantry</t>
        </is>
      </c>
      <c r="E182" s="54" t="inlineStr">
        <is>
          <t>Allarus Custodians</t>
        </is>
      </c>
      <c r="F182" s="54" t="inlineStr">
        <is>
          <t>2 models</t>
        </is>
      </c>
      <c r="G182" s="54" t="inlineStr">
        <is>
          <t>Infantry</t>
        </is>
      </c>
      <c r="H182" s="54" t="str"/>
      <c r="I182" s="54" t="str"/>
      <c r="J182" s="54" t="str"/>
      <c r="K182" s="54" t="str"/>
      <c r="L182" s="55" t="n">
        <v>130</v>
      </c>
      <c r="M182" s="54" t="inlineStr">
        <is>
          <t>Points options: 2 models = 130 pts; 3 models = 195 pts; 5 models = 325 pts; 6 models = 390 pts</t>
        </is>
      </c>
      <c r="N182" s="54" t="inlineStr">
        <is>
          <t>Matched to Munitorum Field Manual v2.3</t>
        </is>
      </c>
      <c r="O182" s="54" t="inlineStr">
        <is>
          <t>Uploaded PDF: Munitorum Field Manual v2.3 / March 2025, p.3</t>
        </is>
      </c>
    </row>
    <row r="183">
      <c r="A183" s="54" t="inlineStr">
        <is>
          <t>Adeptus Custodes</t>
        </is>
      </c>
      <c r="B183" s="54" t="str"/>
      <c r="C183" s="54" t="inlineStr">
        <is>
          <t>Character</t>
        </is>
      </c>
      <c r="D183" s="54" t="inlineStr">
        <is>
          <t>Character</t>
        </is>
      </c>
      <c r="E183" s="54" t="inlineStr">
        <is>
          <t>Blade Champion</t>
        </is>
      </c>
      <c r="F183" s="54" t="inlineStr">
        <is>
          <t>1 model</t>
        </is>
      </c>
      <c r="G183" s="54" t="inlineStr">
        <is>
          <t>Character</t>
        </is>
      </c>
      <c r="H183" s="54" t="str"/>
      <c r="I183" s="54" t="str"/>
      <c r="J183" s="54" t="str"/>
      <c r="K183" s="54" t="str"/>
      <c r="L183" s="55" t="n">
        <v>120</v>
      </c>
      <c r="M183" s="54" t="str"/>
      <c r="N183" s="54" t="inlineStr">
        <is>
          <t>Matched to Munitorum Field Manual v2.3</t>
        </is>
      </c>
      <c r="O183" s="54" t="inlineStr">
        <is>
          <t>Uploaded PDF: Munitorum Field Manual v2.3 / March 2025, p.3</t>
        </is>
      </c>
    </row>
    <row r="184">
      <c r="A184" s="54" t="inlineStr">
        <is>
          <t>Adeptus Custodes</t>
        </is>
      </c>
      <c r="B184" s="54" t="str"/>
      <c r="C184" s="54" t="inlineStr">
        <is>
          <t>Infantry / Other</t>
        </is>
      </c>
      <c r="D184" s="54" t="inlineStr">
        <is>
          <t>Infantry</t>
        </is>
      </c>
      <c r="E184" s="54" t="inlineStr">
        <is>
          <t>Custodian Guard</t>
        </is>
      </c>
      <c r="F184" s="54" t="inlineStr">
        <is>
          <t>4 models</t>
        </is>
      </c>
      <c r="G184" s="54" t="inlineStr">
        <is>
          <t>Infantry</t>
        </is>
      </c>
      <c r="H184" s="54" t="str"/>
      <c r="I184" s="54" t="str"/>
      <c r="J184" s="54" t="str"/>
      <c r="K184" s="54" t="str"/>
      <c r="L184" s="55" t="n">
        <v>170</v>
      </c>
      <c r="M184" s="54" t="inlineStr">
        <is>
          <t>Points options: 4 models = 170 pts; 5 models = 215 pts</t>
        </is>
      </c>
      <c r="N184" s="54" t="inlineStr">
        <is>
          <t>Matched to Munitorum Field Manual v2.3</t>
        </is>
      </c>
      <c r="O184" s="54" t="inlineStr">
        <is>
          <t>Uploaded PDF: Munitorum Field Manual v2.3 / March 2025, p.3</t>
        </is>
      </c>
    </row>
    <row r="185">
      <c r="A185" s="54" t="inlineStr">
        <is>
          <t>Adeptus Custodes</t>
        </is>
      </c>
      <c r="B185" s="54" t="str"/>
      <c r="C185" s="54" t="inlineStr">
        <is>
          <t>Infantry / Other</t>
        </is>
      </c>
      <c r="D185" s="54" t="inlineStr">
        <is>
          <t>Infantry</t>
        </is>
      </c>
      <c r="E185" s="54" t="inlineStr">
        <is>
          <t>Custodian Wardens</t>
        </is>
      </c>
      <c r="F185" s="54" t="inlineStr">
        <is>
          <t>4 models</t>
        </is>
      </c>
      <c r="G185" s="54" t="inlineStr">
        <is>
          <t>Infantry</t>
        </is>
      </c>
      <c r="H185" s="54" t="str"/>
      <c r="I185" s="54" t="str"/>
      <c r="J185" s="54" t="str"/>
      <c r="K185" s="54" t="str"/>
      <c r="L185" s="55" t="n">
        <v>210</v>
      </c>
      <c r="M185" s="54" t="inlineStr">
        <is>
          <t>Points options: 4 models = 210 pts; 5 models = 260 pts</t>
        </is>
      </c>
      <c r="N185" s="54" t="inlineStr">
        <is>
          <t>Matched to Munitorum Field Manual v2.3</t>
        </is>
      </c>
      <c r="O185" s="54" t="inlineStr">
        <is>
          <t>Uploaded PDF: Munitorum Field Manual v2.3 / March 2025, p.3</t>
        </is>
      </c>
    </row>
    <row r="186">
      <c r="A186" s="54" t="inlineStr">
        <is>
          <t>Adeptus Custodes</t>
        </is>
      </c>
      <c r="B186" s="54" t="str"/>
      <c r="C186" s="54" t="inlineStr">
        <is>
          <t>Vehicle / Support</t>
        </is>
      </c>
      <c r="D186" s="54" t="inlineStr">
        <is>
          <t>Super-heavy Vehicle/Monster</t>
        </is>
      </c>
      <c r="E186" s="54" t="inlineStr">
        <is>
          <t>Knight-Centura</t>
        </is>
      </c>
      <c r="F186" s="54" t="inlineStr">
        <is>
          <t>1 model</t>
        </is>
      </c>
      <c r="G186" s="54" t="inlineStr">
        <is>
          <t>Super-heavy Vehicle/Monster</t>
        </is>
      </c>
      <c r="H186" s="54" t="str"/>
      <c r="I186" s="54" t="str"/>
      <c r="J186" s="54" t="str"/>
      <c r="K186" s="54" t="str"/>
      <c r="L186" s="55" t="n">
        <v>55</v>
      </c>
      <c r="M186" s="54" t="str"/>
      <c r="N186" s="54" t="inlineStr">
        <is>
          <t>Matched to Munitorum Field Manual v2.3</t>
        </is>
      </c>
      <c r="O186" s="54" t="inlineStr">
        <is>
          <t>Uploaded PDF: Munitorum Field Manual v2.3 / March 2025, p.3</t>
        </is>
      </c>
    </row>
    <row r="187">
      <c r="A187" s="54" t="inlineStr">
        <is>
          <t>Adeptus Custodes</t>
        </is>
      </c>
      <c r="B187" s="54" t="str"/>
      <c r="C187" s="54" t="inlineStr">
        <is>
          <t>Infantry / Other</t>
        </is>
      </c>
      <c r="D187" s="54" t="inlineStr">
        <is>
          <t>Infantry</t>
        </is>
      </c>
      <c r="E187" s="54" t="inlineStr">
        <is>
          <t>Prosecutors</t>
        </is>
      </c>
      <c r="F187" s="54" t="inlineStr">
        <is>
          <t>4 models</t>
        </is>
      </c>
      <c r="G187" s="54" t="inlineStr">
        <is>
          <t>Infantry</t>
        </is>
      </c>
      <c r="H187" s="54" t="str"/>
      <c r="I187" s="54" t="str"/>
      <c r="J187" s="54" t="str"/>
      <c r="K187" s="54" t="str"/>
      <c r="L187" s="55" t="n">
        <v>40</v>
      </c>
      <c r="M187" s="54" t="inlineStr">
        <is>
          <t>Points options: 4 models = 40 pts; 5 models = 50 pts; 9 models = 90 pts; 10 models = 100 pts</t>
        </is>
      </c>
      <c r="N187" s="54" t="inlineStr">
        <is>
          <t>Matched to Munitorum Field Manual v2.3</t>
        </is>
      </c>
      <c r="O187" s="54" t="inlineStr">
        <is>
          <t>Uploaded PDF: Munitorum Field Manual v2.3 / March 2025, p.3</t>
        </is>
      </c>
    </row>
    <row r="188">
      <c r="A188" s="54" t="inlineStr">
        <is>
          <t>Adeptus Custodes</t>
        </is>
      </c>
      <c r="B188" s="54" t="str"/>
      <c r="C188" s="54" t="inlineStr">
        <is>
          <t>Character</t>
        </is>
      </c>
      <c r="D188" s="54" t="inlineStr">
        <is>
          <t>Character</t>
        </is>
      </c>
      <c r="E188" s="54" t="inlineStr">
        <is>
          <t>Shield-Captain</t>
        </is>
      </c>
      <c r="F188" s="54" t="inlineStr">
        <is>
          <t>1 model</t>
        </is>
      </c>
      <c r="G188" s="54" t="inlineStr">
        <is>
          <t>Character</t>
        </is>
      </c>
      <c r="H188" s="54" t="str"/>
      <c r="I188" s="54" t="str"/>
      <c r="J188" s="54" t="str"/>
      <c r="K188" s="54" t="str"/>
      <c r="L188" s="55" t="n">
        <v>130</v>
      </c>
      <c r="M188" s="54" t="str"/>
      <c r="N188" s="54" t="inlineStr">
        <is>
          <t>Matched to Munitorum Field Manual v2.3</t>
        </is>
      </c>
      <c r="O188" s="54" t="inlineStr">
        <is>
          <t>Uploaded PDF: Munitorum Field Manual v2.3 / March 2025, p.3</t>
        </is>
      </c>
    </row>
    <row r="189">
      <c r="A189" s="54" t="inlineStr">
        <is>
          <t>Adeptus Custodes</t>
        </is>
      </c>
      <c r="B189" s="54" t="str"/>
      <c r="C189" s="54" t="inlineStr">
        <is>
          <t>Character</t>
        </is>
      </c>
      <c r="D189" s="54" t="inlineStr">
        <is>
          <t>Character</t>
        </is>
      </c>
      <c r="E189" s="54" t="inlineStr">
        <is>
          <t>Shield-Captain in Allarus Terminator Armour</t>
        </is>
      </c>
      <c r="F189" s="54" t="inlineStr">
        <is>
          <t>1 model</t>
        </is>
      </c>
      <c r="G189" s="54" t="inlineStr">
        <is>
          <t>Character</t>
        </is>
      </c>
      <c r="H189" s="54" t="str"/>
      <c r="I189" s="54" t="str"/>
      <c r="J189" s="54" t="str"/>
      <c r="K189" s="54" t="str"/>
      <c r="L189" s="55" t="n">
        <v>130</v>
      </c>
      <c r="M189" s="54" t="str"/>
      <c r="N189" s="54" t="inlineStr">
        <is>
          <t>Matched to Munitorum Field Manual v2.3</t>
        </is>
      </c>
      <c r="O189" s="54" t="inlineStr">
        <is>
          <t>Uploaded PDF: Munitorum Field Manual v2.3 / March 2025, p.3</t>
        </is>
      </c>
    </row>
    <row r="190">
      <c r="A190" s="54" t="inlineStr">
        <is>
          <t>Adeptus Custodes</t>
        </is>
      </c>
      <c r="B190" s="54" t="str"/>
      <c r="C190" s="54" t="inlineStr">
        <is>
          <t>Character</t>
        </is>
      </c>
      <c r="D190" s="54" t="inlineStr">
        <is>
          <t>Character</t>
        </is>
      </c>
      <c r="E190" s="54" t="inlineStr">
        <is>
          <t>Shield-Captain on Dawneagle Jetbike</t>
        </is>
      </c>
      <c r="F190" s="54" t="inlineStr">
        <is>
          <t>1 model</t>
        </is>
      </c>
      <c r="G190" s="54" t="inlineStr">
        <is>
          <t>Character</t>
        </is>
      </c>
      <c r="H190" s="54" t="str"/>
      <c r="I190" s="54" t="str"/>
      <c r="J190" s="54" t="str"/>
      <c r="K190" s="54" t="str"/>
      <c r="L190" s="55" t="n">
        <v>150</v>
      </c>
      <c r="M190" s="54" t="str"/>
      <c r="N190" s="54" t="inlineStr">
        <is>
          <t>Matched to Munitorum Field Manual v2.3</t>
        </is>
      </c>
      <c r="O190" s="54" t="inlineStr">
        <is>
          <t>Uploaded PDF: Munitorum Field Manual v2.3 / March 2025, p.3</t>
        </is>
      </c>
    </row>
    <row r="191">
      <c r="A191" s="54" t="inlineStr">
        <is>
          <t>Adeptus Custodes</t>
        </is>
      </c>
      <c r="B191" s="54" t="str"/>
      <c r="C191" s="54" t="inlineStr">
        <is>
          <t>Infantry / Other</t>
        </is>
      </c>
      <c r="D191" s="54" t="inlineStr">
        <is>
          <t>Infantry</t>
        </is>
      </c>
      <c r="E191" s="54" t="inlineStr">
        <is>
          <t>Trajann Valoris</t>
        </is>
      </c>
      <c r="F191" s="54" t="inlineStr">
        <is>
          <t>1 model</t>
        </is>
      </c>
      <c r="G191" s="54" t="inlineStr">
        <is>
          <t>Infantry, Epic Hero</t>
        </is>
      </c>
      <c r="H191" s="54" t="str"/>
      <c r="I191" s="54" t="str"/>
      <c r="J191" s="54" t="str"/>
      <c r="K191" s="54" t="str"/>
      <c r="L191" s="55" t="n">
        <v>140</v>
      </c>
      <c r="M191" s="54" t="str"/>
      <c r="N191" s="54" t="inlineStr">
        <is>
          <t>Matched to Munitorum Field Manual v2.3</t>
        </is>
      </c>
      <c r="O191" s="54" t="inlineStr">
        <is>
          <t>Uploaded PDF: Munitorum Field Manual v2.3 / March 2025, p.3</t>
        </is>
      </c>
    </row>
    <row r="192">
      <c r="A192" s="54" t="inlineStr">
        <is>
          <t>Adeptus Custodes</t>
        </is>
      </c>
      <c r="B192" s="54" t="str"/>
      <c r="C192" s="54" t="inlineStr">
        <is>
          <t>Infantry / Other</t>
        </is>
      </c>
      <c r="D192" s="54" t="inlineStr">
        <is>
          <t>Infantry</t>
        </is>
      </c>
      <c r="E192" s="54" t="inlineStr">
        <is>
          <t>Valerian</t>
        </is>
      </c>
      <c r="F192" s="54" t="inlineStr">
        <is>
          <t>1 model</t>
        </is>
      </c>
      <c r="G192" s="54" t="inlineStr">
        <is>
          <t>Infantry</t>
        </is>
      </c>
      <c r="H192" s="54" t="str"/>
      <c r="I192" s="54" t="str"/>
      <c r="J192" s="54" t="str"/>
      <c r="K192" s="54" t="str"/>
      <c r="L192" s="55" t="n">
        <v>110</v>
      </c>
      <c r="M192" s="54" t="str"/>
      <c r="N192" s="54" t="inlineStr">
        <is>
          <t>Matched to Munitorum Field Manual v2.3</t>
        </is>
      </c>
      <c r="O192" s="54" t="inlineStr">
        <is>
          <t>Uploaded PDF: Munitorum Field Manual v2.3 / March 2025, p.3</t>
        </is>
      </c>
    </row>
    <row r="193">
      <c r="A193" s="54" t="inlineStr">
        <is>
          <t>Adeptus Custodes</t>
        </is>
      </c>
      <c r="B193" s="54" t="str"/>
      <c r="C193" s="54" t="inlineStr">
        <is>
          <t>Infantry / Other</t>
        </is>
      </c>
      <c r="D193" s="54" t="inlineStr">
        <is>
          <t>Mounted / Bike</t>
        </is>
      </c>
      <c r="E193" s="54" t="inlineStr">
        <is>
          <t>Vertus Praetors</t>
        </is>
      </c>
      <c r="F193" s="54" t="inlineStr">
        <is>
          <t>2 models</t>
        </is>
      </c>
      <c r="G193" s="54" t="inlineStr">
        <is>
          <t>Mounted / Bike</t>
        </is>
      </c>
      <c r="H193" s="54" t="str"/>
      <c r="I193" s="54" t="str"/>
      <c r="J193" s="54" t="str"/>
      <c r="K193" s="54" t="str"/>
      <c r="L193" s="55" t="n">
        <v>150</v>
      </c>
      <c r="M193" s="54" t="inlineStr">
        <is>
          <t>Points options: 2 models = 150 pts; 3 models = 225 pts</t>
        </is>
      </c>
      <c r="N193" s="54" t="inlineStr">
        <is>
          <t>Matched to Munitorum Field Manual v2.3</t>
        </is>
      </c>
      <c r="O193" s="54" t="inlineStr">
        <is>
          <t>Uploaded PDF: Munitorum Field Manual v2.3 / March 2025, p.3</t>
        </is>
      </c>
    </row>
    <row r="194">
      <c r="A194" s="54" t="inlineStr">
        <is>
          <t>Adeptus Custodes</t>
        </is>
      </c>
      <c r="B194" s="54" t="str"/>
      <c r="C194" s="54" t="inlineStr">
        <is>
          <t>Infantry / Other</t>
        </is>
      </c>
      <c r="D194" s="54" t="inlineStr">
        <is>
          <t>Infantry</t>
        </is>
      </c>
      <c r="E194" s="54" t="inlineStr">
        <is>
          <t>Vigilators</t>
        </is>
      </c>
      <c r="F194" s="54" t="inlineStr">
        <is>
          <t>4 models</t>
        </is>
      </c>
      <c r="G194" s="54" t="inlineStr">
        <is>
          <t>Infantry</t>
        </is>
      </c>
      <c r="H194" s="54" t="str"/>
      <c r="I194" s="54" t="str"/>
      <c r="J194" s="54" t="str"/>
      <c r="K194" s="54" t="str"/>
      <c r="L194" s="55" t="n">
        <v>50</v>
      </c>
      <c r="M194" s="54" t="inlineStr">
        <is>
          <t>Points options: 4 models = 50 pts; 5 models = 65 pts; 9 models = 115 pts; 10 models = 125 pts</t>
        </is>
      </c>
      <c r="N194" s="54" t="inlineStr">
        <is>
          <t>Matched to Munitorum Field Manual v2.3</t>
        </is>
      </c>
      <c r="O194" s="54" t="inlineStr">
        <is>
          <t>Uploaded PDF: Munitorum Field Manual v2.3 / March 2025, p.3</t>
        </is>
      </c>
    </row>
    <row r="195">
      <c r="A195" s="54" t="inlineStr">
        <is>
          <t>Adeptus Custodes</t>
        </is>
      </c>
      <c r="B195" s="54" t="str"/>
      <c r="C195" s="54" t="inlineStr">
        <is>
          <t>Infantry / Other</t>
        </is>
      </c>
      <c r="D195" s="54" t="inlineStr">
        <is>
          <t>Infantry</t>
        </is>
      </c>
      <c r="E195" s="54" t="inlineStr">
        <is>
          <t>Witchseekers</t>
        </is>
      </c>
      <c r="F195" s="54" t="inlineStr">
        <is>
          <t>4 models</t>
        </is>
      </c>
      <c r="G195" s="54" t="inlineStr">
        <is>
          <t>Infantry</t>
        </is>
      </c>
      <c r="H195" s="54" t="str"/>
      <c r="I195" s="54" t="str"/>
      <c r="J195" s="54" t="str"/>
      <c r="K195" s="54" t="str"/>
      <c r="L195" s="55" t="n">
        <v>50</v>
      </c>
      <c r="M195" s="54" t="inlineStr">
        <is>
          <t>Points options: 4 models = 50 pts; 5 models = 65 pts; 9 models = 115 pts; 10 models = 125 pts</t>
        </is>
      </c>
      <c r="N195" s="54" t="inlineStr">
        <is>
          <t>Matched to Munitorum Field Manual v2.3</t>
        </is>
      </c>
      <c r="O195" s="54" t="inlineStr">
        <is>
          <t>Uploaded PDF: Munitorum Field Manual v2.3 / March 2025, p.3</t>
        </is>
      </c>
    </row>
    <row r="196">
      <c r="A196" s="54" t="inlineStr">
        <is>
          <t>Adeptus Custodes</t>
        </is>
      </c>
      <c r="B196" s="54" t="str"/>
      <c r="C196" s="54" t="inlineStr">
        <is>
          <t>Vehicle / Support</t>
        </is>
      </c>
      <c r="D196" s="54" t="inlineStr">
        <is>
          <t>Walker / Battlesuit</t>
        </is>
      </c>
      <c r="E196" s="54" t="inlineStr">
        <is>
          <t>Venerable Contemptor Dreadnought</t>
        </is>
      </c>
      <c r="F196" s="54" t="inlineStr">
        <is>
          <t>1 model</t>
        </is>
      </c>
      <c r="G196" s="54" t="inlineStr">
        <is>
          <t>Walker / Battlesuit</t>
        </is>
      </c>
      <c r="H196" s="54" t="str"/>
      <c r="I196" s="54" t="str"/>
      <c r="J196" s="54" t="str"/>
      <c r="K196" s="54" t="str"/>
      <c r="L196" s="55" t="n">
        <v>170</v>
      </c>
      <c r="M196" s="54" t="str"/>
      <c r="N196" s="54" t="inlineStr">
        <is>
          <t>Matched to Munitorum Field Manual v2.3</t>
        </is>
      </c>
      <c r="O196" s="54" t="inlineStr">
        <is>
          <t>Uploaded PDF: Munitorum Field Manual v2.3 / March 2025, p.3</t>
        </is>
      </c>
    </row>
    <row r="197">
      <c r="A197" s="54" t="inlineStr">
        <is>
          <t>Adeptus Custodes</t>
        </is>
      </c>
      <c r="B197" s="54" t="str"/>
      <c r="C197" s="54" t="inlineStr">
        <is>
          <t>Vehicle / Support</t>
        </is>
      </c>
      <c r="D197" s="54" t="inlineStr">
        <is>
          <t>Vehicle</t>
        </is>
      </c>
      <c r="E197" s="54" t="inlineStr">
        <is>
          <t>Venerable Land Raider</t>
        </is>
      </c>
      <c r="F197" s="54" t="inlineStr">
        <is>
          <t>1 model</t>
        </is>
      </c>
      <c r="G197" s="54" t="inlineStr">
        <is>
          <t>Vehicle</t>
        </is>
      </c>
      <c r="H197" s="54" t="str"/>
      <c r="I197" s="54" t="str"/>
      <c r="J197" s="54" t="str"/>
      <c r="K197" s="54" t="str"/>
      <c r="L197" s="55" t="n">
        <v>240</v>
      </c>
      <c r="M197" s="54" t="str"/>
      <c r="N197" s="54" t="inlineStr">
        <is>
          <t>Matched to Munitorum Field Manual v2.3</t>
        </is>
      </c>
      <c r="O197" s="54" t="inlineStr">
        <is>
          <t>Uploaded PDF: Munitorum Field Manual v2.3 / March 2025, p.3</t>
        </is>
      </c>
    </row>
    <row r="198">
      <c r="A198" s="54" t="inlineStr">
        <is>
          <t>Adepta Sororitas</t>
        </is>
      </c>
      <c r="B198" s="54" t="str"/>
      <c r="C198" s="54" t="inlineStr">
        <is>
          <t>Infantry / Other</t>
        </is>
      </c>
      <c r="D198" s="54" t="inlineStr">
        <is>
          <t>Infantry</t>
        </is>
      </c>
      <c r="E198" s="54" t="inlineStr">
        <is>
          <t>Aestred Thurga and Agathae Dolan</t>
        </is>
      </c>
      <c r="F198" s="54" t="inlineStr">
        <is>
          <t>2 models</t>
        </is>
      </c>
      <c r="G198" s="54" t="inlineStr">
        <is>
          <t>Infantry</t>
        </is>
      </c>
      <c r="H198" s="54" t="str"/>
      <c r="I198" s="54" t="str"/>
      <c r="J198" s="54" t="str"/>
      <c r="K198" s="54" t="str"/>
      <c r="L198" s="55" t="n">
        <v>85</v>
      </c>
      <c r="M198" s="54" t="str"/>
      <c r="N198" s="54" t="inlineStr">
        <is>
          <t>Matched to Munitorum Field Manual v2.3</t>
        </is>
      </c>
      <c r="O198" s="54" t="inlineStr">
        <is>
          <t>Uploaded PDF: Munitorum Field Manual v2.3 / March 2025, p.2</t>
        </is>
      </c>
    </row>
    <row r="199">
      <c r="A199" s="54" t="inlineStr">
        <is>
          <t>Adepta Sororitas</t>
        </is>
      </c>
      <c r="B199" s="54" t="str"/>
      <c r="C199" s="54" t="inlineStr">
        <is>
          <t>Infantry / Other</t>
        </is>
      </c>
      <c r="D199" s="54" t="inlineStr">
        <is>
          <t>Infantry</t>
        </is>
      </c>
      <c r="E199" s="54" t="inlineStr">
        <is>
          <t>Arco-flagellants</t>
        </is>
      </c>
      <c r="F199" s="54" t="inlineStr">
        <is>
          <t>3 models</t>
        </is>
      </c>
      <c r="G199" s="54" t="inlineStr">
        <is>
          <t>Infantry</t>
        </is>
      </c>
      <c r="H199" s="54" t="str"/>
      <c r="I199" s="54" t="str"/>
      <c r="J199" s="54" t="str"/>
      <c r="K199" s="54" t="str"/>
      <c r="L199" s="55" t="n">
        <v>45</v>
      </c>
      <c r="M199" s="54" t="inlineStr">
        <is>
          <t>Points options: 3 models = 45 pts; 10 models = 140 pts</t>
        </is>
      </c>
      <c r="N199" s="54" t="inlineStr">
        <is>
          <t>Matched to Munitorum Field Manual v2.3</t>
        </is>
      </c>
      <c r="O199" s="54" t="inlineStr">
        <is>
          <t>Uploaded PDF: Munitorum Field Manual v2.3 / March 2025, p.2</t>
        </is>
      </c>
    </row>
    <row r="200">
      <c r="A200" s="54" t="inlineStr">
        <is>
          <t>Adepta Sororitas</t>
        </is>
      </c>
      <c r="B200" s="54" t="str"/>
      <c r="C200" s="54" t="inlineStr">
        <is>
          <t>Battleline / Core</t>
        </is>
      </c>
      <c r="D200" s="54" t="inlineStr">
        <is>
          <t>Infantry</t>
        </is>
      </c>
      <c r="E200" s="54" t="inlineStr">
        <is>
          <t>Battle Sisters Squad</t>
        </is>
      </c>
      <c r="F200" s="54" t="inlineStr">
        <is>
          <t>10 models</t>
        </is>
      </c>
      <c r="G200" s="54" t="inlineStr">
        <is>
          <t>Infantry</t>
        </is>
      </c>
      <c r="H200" s="54" t="str"/>
      <c r="I200" s="54" t="str"/>
      <c r="J200" s="54" t="str"/>
      <c r="K200" s="54" t="str"/>
      <c r="L200" s="55" t="n">
        <v>105</v>
      </c>
      <c r="M200" s="54" t="str"/>
      <c r="N200" s="54" t="inlineStr">
        <is>
          <t>Matched to Munitorum Field Manual v2.3</t>
        </is>
      </c>
      <c r="O200" s="54" t="inlineStr">
        <is>
          <t>Uploaded PDF: Munitorum Field Manual v2.3 / March 2025, p.2</t>
        </is>
      </c>
    </row>
    <row r="201">
      <c r="A201" s="54" t="inlineStr">
        <is>
          <t>Adepta Sororitas</t>
        </is>
      </c>
      <c r="B201" s="54" t="str"/>
      <c r="C201" s="54" t="inlineStr">
        <is>
          <t>Character</t>
        </is>
      </c>
      <c r="D201" s="54" t="inlineStr">
        <is>
          <t>Character</t>
        </is>
      </c>
      <c r="E201" s="54" t="inlineStr">
        <is>
          <t>Canoness</t>
        </is>
      </c>
      <c r="F201" s="54" t="inlineStr">
        <is>
          <t>1 model</t>
        </is>
      </c>
      <c r="G201" s="54" t="inlineStr">
        <is>
          <t>Character</t>
        </is>
      </c>
      <c r="H201" s="54" t="str"/>
      <c r="I201" s="54" t="str"/>
      <c r="J201" s="54" t="str"/>
      <c r="K201" s="54" t="str"/>
      <c r="L201" s="55" t="n">
        <v>50</v>
      </c>
      <c r="M201" s="54" t="str"/>
      <c r="N201" s="54" t="inlineStr">
        <is>
          <t>Matched to Munitorum Field Manual v2.3</t>
        </is>
      </c>
      <c r="O201" s="54" t="inlineStr">
        <is>
          <t>Uploaded PDF: Munitorum Field Manual v2.3 / March 2025, p.2</t>
        </is>
      </c>
    </row>
    <row r="202">
      <c r="A202" s="54" t="inlineStr">
        <is>
          <t>Adepta Sororitas</t>
        </is>
      </c>
      <c r="B202" s="54" t="str"/>
      <c r="C202" s="54" t="inlineStr">
        <is>
          <t>Vehicle / Support</t>
        </is>
      </c>
      <c r="D202" s="54" t="inlineStr">
        <is>
          <t>Vehicle</t>
        </is>
      </c>
      <c r="E202" s="54" t="inlineStr">
        <is>
          <t>Castigator</t>
        </is>
      </c>
      <c r="F202" s="54" t="inlineStr">
        <is>
          <t>1 model</t>
        </is>
      </c>
      <c r="G202" s="54" t="inlineStr">
        <is>
          <t>Vehicle</t>
        </is>
      </c>
      <c r="H202" s="54" t="str"/>
      <c r="I202" s="54" t="str"/>
      <c r="J202" s="54" t="str"/>
      <c r="K202" s="54" t="str"/>
      <c r="L202" s="55" t="n">
        <v>170</v>
      </c>
      <c r="M202" s="54" t="str"/>
      <c r="N202" s="54" t="inlineStr">
        <is>
          <t>Matched to Munitorum Field Manual v2.3</t>
        </is>
      </c>
      <c r="O202" s="54" t="inlineStr">
        <is>
          <t>Uploaded PDF: Munitorum Field Manual v2.3 / March 2025, p.2</t>
        </is>
      </c>
    </row>
    <row r="203">
      <c r="A203" s="54" t="inlineStr">
        <is>
          <t>Adepta Sororitas</t>
        </is>
      </c>
      <c r="B203" s="54" t="str"/>
      <c r="C203" s="54" t="inlineStr">
        <is>
          <t>Infantry / Other</t>
        </is>
      </c>
      <c r="D203" s="54" t="inlineStr">
        <is>
          <t>Infantry</t>
        </is>
      </c>
      <c r="E203" s="54" t="inlineStr">
        <is>
          <t>Celestian Sacresants</t>
        </is>
      </c>
      <c r="F203" s="54" t="inlineStr">
        <is>
          <t>5 models</t>
        </is>
      </c>
      <c r="G203" s="54" t="inlineStr">
        <is>
          <t>Infantry</t>
        </is>
      </c>
      <c r="H203" s="54" t="str"/>
      <c r="I203" s="54" t="str"/>
      <c r="J203" s="54" t="str"/>
      <c r="K203" s="54" t="str"/>
      <c r="L203" s="55" t="n">
        <v>70</v>
      </c>
      <c r="M203" s="54" t="inlineStr">
        <is>
          <t>Points options: 5 models = 70 pts; 10 models = 130 pts</t>
        </is>
      </c>
      <c r="N203" s="54" t="inlineStr">
        <is>
          <t>Matched to Munitorum Field Manual v2.3</t>
        </is>
      </c>
      <c r="O203" s="54" t="inlineStr">
        <is>
          <t>Uploaded PDF: Munitorum Field Manual v2.3 / March 2025, p.2</t>
        </is>
      </c>
    </row>
    <row r="204">
      <c r="A204" s="54" t="inlineStr">
        <is>
          <t>Adepta Sororitas</t>
        </is>
      </c>
      <c r="B204" s="54" t="str"/>
      <c r="C204" s="54" t="inlineStr">
        <is>
          <t>Infantry / Other</t>
        </is>
      </c>
      <c r="D204" s="54" t="inlineStr">
        <is>
          <t>Infantry</t>
        </is>
      </c>
      <c r="E204" s="54" t="inlineStr">
        <is>
          <t>Daemonifuge</t>
        </is>
      </c>
      <c r="F204" s="54" t="inlineStr">
        <is>
          <t>2 models</t>
        </is>
      </c>
      <c r="G204" s="54" t="inlineStr">
        <is>
          <t>Infantry</t>
        </is>
      </c>
      <c r="H204" s="54" t="str"/>
      <c r="I204" s="54" t="str"/>
      <c r="J204" s="54" t="str"/>
      <c r="K204" s="54" t="str"/>
      <c r="L204" s="55" t="n">
        <v>85</v>
      </c>
      <c r="M204" s="54" t="str"/>
      <c r="N204" s="54" t="inlineStr">
        <is>
          <t>Matched to Munitorum Field Manual v2.3</t>
        </is>
      </c>
      <c r="O204" s="54" t="inlineStr">
        <is>
          <t>Uploaded PDF: Munitorum Field Manual v2.3 / March 2025, p.2</t>
        </is>
      </c>
    </row>
    <row r="205">
      <c r="A205" s="54" t="inlineStr">
        <is>
          <t>Adepta Sororitas</t>
        </is>
      </c>
      <c r="B205" s="54" t="str"/>
      <c r="C205" s="54" t="inlineStr">
        <is>
          <t>Character</t>
        </is>
      </c>
      <c r="D205" s="54" t="inlineStr">
        <is>
          <t>Character</t>
        </is>
      </c>
      <c r="E205" s="54" t="inlineStr">
        <is>
          <t>Death Cult Assassins</t>
        </is>
      </c>
      <c r="F205" s="54" t="n"/>
      <c r="G205" s="54" t="inlineStr">
        <is>
          <t>Character</t>
        </is>
      </c>
      <c r="H205" s="54" t="str"/>
      <c r="I205" s="54" t="str"/>
      <c r="J205" s="54" t="str"/>
      <c r="K205" s="54" t="str"/>
      <c r="L205" s="55" t="n"/>
      <c r="M205" s="54" t="inlineStr">
        <is>
          <t>No matching points entry found in uploaded PDF; verify unit name/current support.</t>
        </is>
      </c>
      <c r="N205" s="54" t="inlineStr">
        <is>
          <t>Not found in uploaded PDF</t>
        </is>
      </c>
      <c r="O205" s="54" t="inlineStr">
        <is>
          <t>Uploaded PDF: Munitorum Field Manual v2.3 / March 2025</t>
        </is>
      </c>
    </row>
    <row r="206">
      <c r="A206" s="54" t="inlineStr">
        <is>
          <t>Adepta Sororitas</t>
        </is>
      </c>
      <c r="B206" s="54" t="str"/>
      <c r="C206" s="54" t="inlineStr">
        <is>
          <t>Infantry / Other</t>
        </is>
      </c>
      <c r="D206" s="54" t="inlineStr">
        <is>
          <t>Infantry</t>
        </is>
      </c>
      <c r="E206" s="54" t="inlineStr">
        <is>
          <t>Dialogus</t>
        </is>
      </c>
      <c r="F206" s="54" t="inlineStr">
        <is>
          <t>1 model</t>
        </is>
      </c>
      <c r="G206" s="54" t="inlineStr">
        <is>
          <t>Infantry</t>
        </is>
      </c>
      <c r="H206" s="54" t="str"/>
      <c r="I206" s="54" t="str"/>
      <c r="J206" s="54" t="str"/>
      <c r="K206" s="54" t="str"/>
      <c r="L206" s="55" t="n">
        <v>40</v>
      </c>
      <c r="M206" s="54" t="str"/>
      <c r="N206" s="54" t="inlineStr">
        <is>
          <t>Matched to Munitorum Field Manual v2.3</t>
        </is>
      </c>
      <c r="O206" s="54" t="inlineStr">
        <is>
          <t>Uploaded PDF: Munitorum Field Manual v2.3 / March 2025, p.2</t>
        </is>
      </c>
    </row>
    <row r="207">
      <c r="A207" s="54" t="inlineStr">
        <is>
          <t>Adepta Sororitas</t>
        </is>
      </c>
      <c r="B207" s="54" t="str"/>
      <c r="C207" s="54" t="inlineStr">
        <is>
          <t>Infantry / Other</t>
        </is>
      </c>
      <c r="D207" s="54" t="inlineStr">
        <is>
          <t>Infantry</t>
        </is>
      </c>
      <c r="E207" s="54" t="inlineStr">
        <is>
          <t>Dogmata</t>
        </is>
      </c>
      <c r="F207" s="54" t="inlineStr">
        <is>
          <t>1 model</t>
        </is>
      </c>
      <c r="G207" s="54" t="inlineStr">
        <is>
          <t>Infantry</t>
        </is>
      </c>
      <c r="H207" s="54" t="str"/>
      <c r="I207" s="54" t="str"/>
      <c r="J207" s="54" t="str"/>
      <c r="K207" s="54" t="str"/>
      <c r="L207" s="55" t="n">
        <v>45</v>
      </c>
      <c r="M207" s="54" t="str"/>
      <c r="N207" s="54" t="inlineStr">
        <is>
          <t>Matched to Munitorum Field Manual v2.3</t>
        </is>
      </c>
      <c r="O207" s="54" t="inlineStr">
        <is>
          <t>Uploaded PDF: Munitorum Field Manual v2.3 / March 2025, p.2</t>
        </is>
      </c>
    </row>
    <row r="208">
      <c r="A208" s="54" t="inlineStr">
        <is>
          <t>Adepta Sororitas</t>
        </is>
      </c>
      <c r="B208" s="54" t="str"/>
      <c r="C208" s="54" t="inlineStr">
        <is>
          <t>Infantry / Other</t>
        </is>
      </c>
      <c r="D208" s="54" t="inlineStr">
        <is>
          <t>Infantry</t>
        </is>
      </c>
      <c r="E208" s="54" t="inlineStr">
        <is>
          <t>Dominion Squad</t>
        </is>
      </c>
      <c r="F208" s="54" t="inlineStr">
        <is>
          <t>10 models</t>
        </is>
      </c>
      <c r="G208" s="54" t="inlineStr">
        <is>
          <t>Infantry</t>
        </is>
      </c>
      <c r="H208" s="54" t="str"/>
      <c r="I208" s="54" t="str"/>
      <c r="J208" s="54" t="str"/>
      <c r="K208" s="54" t="str"/>
      <c r="L208" s="55" t="n">
        <v>115</v>
      </c>
      <c r="M208" s="54" t="str"/>
      <c r="N208" s="54" t="inlineStr">
        <is>
          <t>Matched to Munitorum Field Manual v2.3</t>
        </is>
      </c>
      <c r="O208" s="54" t="inlineStr">
        <is>
          <t>Uploaded PDF: Munitorum Field Manual v2.3 / March 2025, p.2</t>
        </is>
      </c>
    </row>
    <row r="209">
      <c r="A209" s="54" t="inlineStr">
        <is>
          <t>Adepta Sororitas</t>
        </is>
      </c>
      <c r="B209" s="54" t="str"/>
      <c r="C209" s="54" t="inlineStr">
        <is>
          <t>Vehicle / Support</t>
        </is>
      </c>
      <c r="D209" s="54" t="inlineStr">
        <is>
          <t>Vehicle</t>
        </is>
      </c>
      <c r="E209" s="54" t="inlineStr">
        <is>
          <t>Exorcist</t>
        </is>
      </c>
      <c r="F209" s="54" t="inlineStr">
        <is>
          <t>1 model</t>
        </is>
      </c>
      <c r="G209" s="54" t="inlineStr">
        <is>
          <t>Vehicle</t>
        </is>
      </c>
      <c r="H209" s="54" t="str"/>
      <c r="I209" s="54" t="str"/>
      <c r="J209" s="54" t="str"/>
      <c r="K209" s="54" t="str"/>
      <c r="L209" s="55" t="n">
        <v>210</v>
      </c>
      <c r="M209" s="54" t="str"/>
      <c r="N209" s="54" t="inlineStr">
        <is>
          <t>Matched to Munitorum Field Manual v2.3</t>
        </is>
      </c>
      <c r="O209" s="54" t="inlineStr">
        <is>
          <t>Uploaded PDF: Munitorum Field Manual v2.3 / March 2025, p.2</t>
        </is>
      </c>
    </row>
    <row r="210">
      <c r="A210" s="54" t="inlineStr">
        <is>
          <t>Adepta Sororitas</t>
        </is>
      </c>
      <c r="B210" s="54" t="str"/>
      <c r="C210" s="54" t="inlineStr">
        <is>
          <t>Infantry / Other</t>
        </is>
      </c>
      <c r="D210" s="54" t="inlineStr">
        <is>
          <t>Infantry</t>
        </is>
      </c>
      <c r="E210" s="54" t="inlineStr">
        <is>
          <t>Hospitaller</t>
        </is>
      </c>
      <c r="F210" s="54" t="inlineStr">
        <is>
          <t>1 model</t>
        </is>
      </c>
      <c r="G210" s="54" t="inlineStr">
        <is>
          <t>Infantry</t>
        </is>
      </c>
      <c r="H210" s="54" t="str"/>
      <c r="I210" s="54" t="str"/>
      <c r="J210" s="54" t="str"/>
      <c r="K210" s="54" t="str"/>
      <c r="L210" s="55" t="n">
        <v>50</v>
      </c>
      <c r="M210" s="54" t="str"/>
      <c r="N210" s="54" t="inlineStr">
        <is>
          <t>Matched to Munitorum Field Manual v2.3</t>
        </is>
      </c>
      <c r="O210" s="54" t="inlineStr">
        <is>
          <t>Uploaded PDF: Munitorum Field Manual v2.3 / March 2025, p.2</t>
        </is>
      </c>
    </row>
    <row r="211">
      <c r="A211" s="54" t="inlineStr">
        <is>
          <t>Adepta Sororitas</t>
        </is>
      </c>
      <c r="B211" s="54" t="str"/>
      <c r="C211" s="54" t="inlineStr">
        <is>
          <t>Infantry / Other</t>
        </is>
      </c>
      <c r="D211" s="54" t="inlineStr">
        <is>
          <t>Infantry</t>
        </is>
      </c>
      <c r="E211" s="54" t="inlineStr">
        <is>
          <t>Imagifier</t>
        </is>
      </c>
      <c r="F211" s="54" t="inlineStr">
        <is>
          <t>1 model</t>
        </is>
      </c>
      <c r="G211" s="54" t="inlineStr">
        <is>
          <t>Infantry</t>
        </is>
      </c>
      <c r="H211" s="54" t="str"/>
      <c r="I211" s="54" t="str"/>
      <c r="J211" s="54" t="str"/>
      <c r="K211" s="54" t="str"/>
      <c r="L211" s="55" t="n">
        <v>65</v>
      </c>
      <c r="M211" s="54" t="str"/>
      <c r="N211" s="54" t="inlineStr">
        <is>
          <t>Matched to Munitorum Field Manual v2.3</t>
        </is>
      </c>
      <c r="O211" s="54" t="inlineStr">
        <is>
          <t>Uploaded PDF: Munitorum Field Manual v2.3 / March 2025, p.2</t>
        </is>
      </c>
    </row>
    <row r="212">
      <c r="A212" s="54" t="inlineStr">
        <is>
          <t>Adepta Sororitas</t>
        </is>
      </c>
      <c r="B212" s="54" t="str"/>
      <c r="C212" s="54" t="inlineStr">
        <is>
          <t>Vehicle / Support</t>
        </is>
      </c>
      <c r="D212" s="54" t="inlineStr">
        <is>
          <t>Vehicle</t>
        </is>
      </c>
      <c r="E212" s="54" t="inlineStr">
        <is>
          <t>Immolator</t>
        </is>
      </c>
      <c r="F212" s="54" t="inlineStr">
        <is>
          <t>1 model</t>
        </is>
      </c>
      <c r="G212" s="54" t="inlineStr">
        <is>
          <t>Vehicle</t>
        </is>
      </c>
      <c r="H212" s="54" t="str"/>
      <c r="I212" s="54" t="str"/>
      <c r="J212" s="54" t="str"/>
      <c r="K212" s="54" t="str"/>
      <c r="L212" s="55" t="n">
        <v>125</v>
      </c>
      <c r="M212" s="54" t="str"/>
      <c r="N212" s="54" t="inlineStr">
        <is>
          <t>Matched to Munitorum Field Manual v2.3</t>
        </is>
      </c>
      <c r="O212" s="54" t="inlineStr">
        <is>
          <t>Uploaded PDF: Munitorum Field Manual v2.3 / March 2025, p.2</t>
        </is>
      </c>
    </row>
    <row r="213">
      <c r="A213" s="54" t="inlineStr">
        <is>
          <t>Adepta Sororitas</t>
        </is>
      </c>
      <c r="B213" s="54" t="str"/>
      <c r="C213" s="54" t="inlineStr">
        <is>
          <t>Infantry / Other</t>
        </is>
      </c>
      <c r="D213" s="54" t="inlineStr">
        <is>
          <t>Infantry</t>
        </is>
      </c>
      <c r="E213" s="54" t="inlineStr">
        <is>
          <t>Junith Eruita</t>
        </is>
      </c>
      <c r="F213" s="54" t="inlineStr">
        <is>
          <t>1 model</t>
        </is>
      </c>
      <c r="G213" s="54" t="inlineStr">
        <is>
          <t>Infantry</t>
        </is>
      </c>
      <c r="H213" s="54" t="str"/>
      <c r="I213" s="54" t="str"/>
      <c r="J213" s="54" t="str"/>
      <c r="K213" s="54" t="str"/>
      <c r="L213" s="55" t="n">
        <v>90</v>
      </c>
      <c r="M213" s="54" t="str"/>
      <c r="N213" s="54" t="inlineStr">
        <is>
          <t>Matched to Munitorum Field Manual v2.3</t>
        </is>
      </c>
      <c r="O213" s="54" t="inlineStr">
        <is>
          <t>Uploaded PDF: Munitorum Field Manual v2.3 / March 2025, p.2</t>
        </is>
      </c>
    </row>
    <row r="214">
      <c r="A214" s="54" t="inlineStr">
        <is>
          <t>Adepta Sororitas</t>
        </is>
      </c>
      <c r="B214" s="54" t="str"/>
      <c r="C214" s="54" t="inlineStr">
        <is>
          <t>Character</t>
        </is>
      </c>
      <c r="D214" s="54" t="inlineStr">
        <is>
          <t>Character</t>
        </is>
      </c>
      <c r="E214" s="54" t="inlineStr">
        <is>
          <t>Ministorum Priest</t>
        </is>
      </c>
      <c r="F214" s="54" t="inlineStr">
        <is>
          <t>1 model</t>
        </is>
      </c>
      <c r="G214" s="54" t="inlineStr">
        <is>
          <t>Character</t>
        </is>
      </c>
      <c r="H214" s="54" t="str"/>
      <c r="I214" s="54" t="str"/>
      <c r="J214" s="54" t="str"/>
      <c r="K214" s="54" t="str"/>
      <c r="L214" s="55" t="n">
        <v>50</v>
      </c>
      <c r="M214" s="54" t="str"/>
      <c r="N214" s="54" t="inlineStr">
        <is>
          <t>Matched to Munitorum Field Manual v2.3</t>
        </is>
      </c>
      <c r="O214" s="54" t="inlineStr">
        <is>
          <t>Uploaded PDF: Munitorum Field Manual v2.3 / March 2025, p.2</t>
        </is>
      </c>
    </row>
    <row r="215">
      <c r="A215" s="54" t="inlineStr">
        <is>
          <t>Adepta Sororitas</t>
        </is>
      </c>
      <c r="B215" s="54" t="str"/>
      <c r="C215" s="54" t="inlineStr">
        <is>
          <t>Infantry / Other</t>
        </is>
      </c>
      <c r="D215" s="54" t="inlineStr">
        <is>
          <t>Infantry</t>
        </is>
      </c>
      <c r="E215" s="54" t="inlineStr">
        <is>
          <t>Missionary</t>
        </is>
      </c>
      <c r="F215" s="54" t="n"/>
      <c r="G215" s="54" t="inlineStr">
        <is>
          <t>Infantry</t>
        </is>
      </c>
      <c r="H215" s="54" t="str"/>
      <c r="I215" s="54" t="str"/>
      <c r="J215" s="54" t="str"/>
      <c r="K215" s="54" t="str"/>
      <c r="L215" s="55" t="n"/>
      <c r="M215" s="54" t="inlineStr">
        <is>
          <t>No matching points entry found in uploaded PDF; verify unit name/current support.</t>
        </is>
      </c>
      <c r="N215" s="54" t="inlineStr">
        <is>
          <t>Not found in uploaded PDF</t>
        </is>
      </c>
      <c r="O215" s="54" t="inlineStr">
        <is>
          <t>Uploaded PDF: Munitorum Field Manual v2.3 / March 2025</t>
        </is>
      </c>
    </row>
    <row r="216">
      <c r="A216" s="54" t="inlineStr">
        <is>
          <t>Adepta Sororitas</t>
        </is>
      </c>
      <c r="B216" s="54" t="str"/>
      <c r="C216" s="54" t="inlineStr">
        <is>
          <t>Infantry / Other</t>
        </is>
      </c>
      <c r="D216" s="54" t="inlineStr">
        <is>
          <t>Infantry</t>
        </is>
      </c>
      <c r="E216" s="54" t="inlineStr">
        <is>
          <t>Mortifiers</t>
        </is>
      </c>
      <c r="F216" s="54" t="inlineStr">
        <is>
          <t>1 model</t>
        </is>
      </c>
      <c r="G216" s="54" t="inlineStr">
        <is>
          <t>Infantry</t>
        </is>
      </c>
      <c r="H216" s="54" t="str"/>
      <c r="I216" s="54" t="str"/>
      <c r="J216" s="54" t="str"/>
      <c r="K216" s="54" t="str"/>
      <c r="L216" s="55" t="n">
        <v>70</v>
      </c>
      <c r="M216" s="54" t="inlineStr">
        <is>
          <t>Points options: 1 model = 70 pts; 2 models = 140 pts</t>
        </is>
      </c>
      <c r="N216" s="54" t="inlineStr">
        <is>
          <t>Matched to Munitorum Field Manual v2.3</t>
        </is>
      </c>
      <c r="O216" s="54" t="inlineStr">
        <is>
          <t>Uploaded PDF: Munitorum Field Manual v2.3 / March 2025, p.2</t>
        </is>
      </c>
    </row>
    <row r="217">
      <c r="A217" s="54" t="inlineStr">
        <is>
          <t>Adepta Sororitas</t>
        </is>
      </c>
      <c r="B217" s="54" t="str"/>
      <c r="C217" s="54" t="inlineStr">
        <is>
          <t>Infantry / Other</t>
        </is>
      </c>
      <c r="D217" s="54" t="inlineStr">
        <is>
          <t>Infantry</t>
        </is>
      </c>
      <c r="E217" s="54" t="inlineStr">
        <is>
          <t>Morvenn Vahl</t>
        </is>
      </c>
      <c r="F217" s="54" t="inlineStr">
        <is>
          <t>1 model</t>
        </is>
      </c>
      <c r="G217" s="54" t="inlineStr">
        <is>
          <t>Infantry, Epic Hero</t>
        </is>
      </c>
      <c r="H217" s="54" t="str"/>
      <c r="I217" s="54" t="str"/>
      <c r="J217" s="54" t="str"/>
      <c r="K217" s="54" t="str"/>
      <c r="L217" s="55" t="n">
        <v>170</v>
      </c>
      <c r="M217" s="54" t="str"/>
      <c r="N217" s="54" t="inlineStr">
        <is>
          <t>Matched to Munitorum Field Manual v2.3</t>
        </is>
      </c>
      <c r="O217" s="54" t="inlineStr">
        <is>
          <t>Uploaded PDF: Munitorum Field Manual v2.3 / March 2025, p.2</t>
        </is>
      </c>
    </row>
    <row r="218">
      <c r="A218" s="54" t="inlineStr">
        <is>
          <t>Adepta Sororitas</t>
        </is>
      </c>
      <c r="B218" s="54" t="str"/>
      <c r="C218" s="54" t="inlineStr">
        <is>
          <t>Character</t>
        </is>
      </c>
      <c r="D218" s="54" t="inlineStr">
        <is>
          <t>Character</t>
        </is>
      </c>
      <c r="E218" s="54" t="inlineStr">
        <is>
          <t>Palatine</t>
        </is>
      </c>
      <c r="F218" s="54" t="inlineStr">
        <is>
          <t>1 model</t>
        </is>
      </c>
      <c r="G218" s="54" t="inlineStr">
        <is>
          <t>Character</t>
        </is>
      </c>
      <c r="H218" s="54" t="str"/>
      <c r="I218" s="54" t="str"/>
      <c r="J218" s="54" t="str"/>
      <c r="K218" s="54" t="str"/>
      <c r="L218" s="55" t="n">
        <v>50</v>
      </c>
      <c r="M218" s="54" t="str"/>
      <c r="N218" s="54" t="inlineStr">
        <is>
          <t>Matched to Munitorum Field Manual v2.3</t>
        </is>
      </c>
      <c r="O218" s="54" t="inlineStr">
        <is>
          <t>Uploaded PDF: Munitorum Field Manual v2.3 / March 2025, p.2</t>
        </is>
      </c>
    </row>
    <row r="219">
      <c r="A219" s="54" t="inlineStr">
        <is>
          <t>Adepta Sororitas</t>
        </is>
      </c>
      <c r="B219" s="54" t="str"/>
      <c r="C219" s="54" t="inlineStr">
        <is>
          <t>Vehicle / Support</t>
        </is>
      </c>
      <c r="D219" s="54" t="inlineStr">
        <is>
          <t>Walker / Battlesuit</t>
        </is>
      </c>
      <c r="E219" s="54" t="inlineStr">
        <is>
          <t>Paragon Warsuits</t>
        </is>
      </c>
      <c r="F219" s="54" t="inlineStr">
        <is>
          <t>3 models</t>
        </is>
      </c>
      <c r="G219" s="54" t="inlineStr">
        <is>
          <t>Walker / Battlesuit</t>
        </is>
      </c>
      <c r="H219" s="54" t="str"/>
      <c r="I219" s="54" t="str"/>
      <c r="J219" s="54" t="str"/>
      <c r="K219" s="54" t="str"/>
      <c r="L219" s="55" t="n">
        <v>220</v>
      </c>
      <c r="M219" s="54" t="str"/>
      <c r="N219" s="54" t="inlineStr">
        <is>
          <t>Matched to Munitorum Field Manual v2.3</t>
        </is>
      </c>
      <c r="O219" s="54" t="inlineStr">
        <is>
          <t>Uploaded PDF: Munitorum Field Manual v2.3 / March 2025, p.2</t>
        </is>
      </c>
    </row>
    <row r="220">
      <c r="A220" s="54" t="inlineStr">
        <is>
          <t>Adepta Sororitas</t>
        </is>
      </c>
      <c r="B220" s="54" t="str"/>
      <c r="C220" s="54" t="inlineStr">
        <is>
          <t>Infantry / Other</t>
        </is>
      </c>
      <c r="D220" s="54" t="inlineStr">
        <is>
          <t>Infantry</t>
        </is>
      </c>
      <c r="E220" s="54" t="inlineStr">
        <is>
          <t>Penitent Engines</t>
        </is>
      </c>
      <c r="F220" s="54" t="inlineStr">
        <is>
          <t>1 model</t>
        </is>
      </c>
      <c r="G220" s="54" t="inlineStr">
        <is>
          <t>Infantry</t>
        </is>
      </c>
      <c r="H220" s="54" t="str"/>
      <c r="I220" s="54" t="str"/>
      <c r="J220" s="54" t="str"/>
      <c r="K220" s="54" t="str"/>
      <c r="L220" s="55" t="n">
        <v>75</v>
      </c>
      <c r="M220" s="54" t="inlineStr">
        <is>
          <t>Points options: 1 model = 75 pts; 2 models = 150 pts</t>
        </is>
      </c>
      <c r="N220" s="54" t="inlineStr">
        <is>
          <t>Matched to Munitorum Field Manual v2.3</t>
        </is>
      </c>
      <c r="O220" s="54" t="inlineStr">
        <is>
          <t>Uploaded PDF: Munitorum Field Manual v2.3 / March 2025, p.2</t>
        </is>
      </c>
    </row>
    <row r="221">
      <c r="A221" s="54" t="inlineStr">
        <is>
          <t>Adepta Sororitas</t>
        </is>
      </c>
      <c r="B221" s="54" t="str"/>
      <c r="C221" s="54" t="inlineStr">
        <is>
          <t>Character</t>
        </is>
      </c>
      <c r="D221" s="54" t="inlineStr">
        <is>
          <t>Character</t>
        </is>
      </c>
      <c r="E221" s="54" t="inlineStr">
        <is>
          <t>Preacher</t>
        </is>
      </c>
      <c r="F221" s="54" t="n"/>
      <c r="G221" s="54" t="inlineStr">
        <is>
          <t>Character</t>
        </is>
      </c>
      <c r="H221" s="54" t="str"/>
      <c r="I221" s="54" t="str"/>
      <c r="J221" s="54" t="str"/>
      <c r="K221" s="54" t="str"/>
      <c r="L221" s="55" t="n"/>
      <c r="M221" s="54" t="inlineStr">
        <is>
          <t>No matching points entry found in uploaded PDF; verify unit name/current support.</t>
        </is>
      </c>
      <c r="N221" s="54" t="inlineStr">
        <is>
          <t>Not found in uploaded PDF</t>
        </is>
      </c>
      <c r="O221" s="54" t="inlineStr">
        <is>
          <t>Uploaded PDF: Munitorum Field Manual v2.3 / March 2025</t>
        </is>
      </c>
    </row>
    <row r="222">
      <c r="A222" s="54" t="inlineStr">
        <is>
          <t>Adepta Sororitas</t>
        </is>
      </c>
      <c r="B222" s="54" t="str"/>
      <c r="C222" s="54" t="inlineStr">
        <is>
          <t>Infantry / Other</t>
        </is>
      </c>
      <c r="D222" s="54" t="inlineStr">
        <is>
          <t>Infantry</t>
        </is>
      </c>
      <c r="E222" s="54" t="inlineStr">
        <is>
          <t>Retributor Squad</t>
        </is>
      </c>
      <c r="F222" s="54" t="inlineStr">
        <is>
          <t>5 models</t>
        </is>
      </c>
      <c r="G222" s="54" t="inlineStr">
        <is>
          <t>Infantry</t>
        </is>
      </c>
      <c r="H222" s="54" t="str"/>
      <c r="I222" s="54" t="str"/>
      <c r="J222" s="54" t="str"/>
      <c r="K222" s="54" t="str"/>
      <c r="L222" s="55" t="n">
        <v>125</v>
      </c>
      <c r="M222" s="54" t="str"/>
      <c r="N222" s="54" t="inlineStr">
        <is>
          <t>Matched to Munitorum Field Manual v2.3</t>
        </is>
      </c>
      <c r="O222" s="54" t="inlineStr">
        <is>
          <t>Uploaded PDF: Munitorum Field Manual v2.3 / March 2025, p.2</t>
        </is>
      </c>
    </row>
    <row r="223">
      <c r="A223" s="54" t="inlineStr">
        <is>
          <t>Adepta Sororitas</t>
        </is>
      </c>
      <c r="B223" s="54" t="str"/>
      <c r="C223" s="54" t="inlineStr">
        <is>
          <t>Vehicle / Support</t>
        </is>
      </c>
      <c r="D223" s="54" t="inlineStr">
        <is>
          <t>Vehicle</t>
        </is>
      </c>
      <c r="E223" s="54" t="inlineStr">
        <is>
          <t>Rhino</t>
        </is>
      </c>
      <c r="F223" s="54" t="n"/>
      <c r="G223" s="54" t="inlineStr">
        <is>
          <t>Vehicle</t>
        </is>
      </c>
      <c r="H223" s="54" t="str"/>
      <c r="I223" s="54" t="str"/>
      <c r="J223" s="54" t="str"/>
      <c r="K223" s="54" t="str"/>
      <c r="L223" s="55" t="n"/>
      <c r="M223" s="54" t="inlineStr">
        <is>
          <t>No matching points entry found in uploaded PDF; verify unit name/current support.</t>
        </is>
      </c>
      <c r="N223" s="54" t="inlineStr">
        <is>
          <t>Not found in uploaded PDF</t>
        </is>
      </c>
      <c r="O223" s="54" t="inlineStr">
        <is>
          <t>Uploaded PDF: Munitorum Field Manual v2.3 / March 2025</t>
        </is>
      </c>
    </row>
    <row r="224">
      <c r="A224" s="54" t="inlineStr">
        <is>
          <t>Adepta Sororitas</t>
        </is>
      </c>
      <c r="B224" s="54" t="str"/>
      <c r="C224" s="54" t="inlineStr">
        <is>
          <t>Infantry / Other</t>
        </is>
      </c>
      <c r="D224" s="54" t="inlineStr">
        <is>
          <t>Infantry</t>
        </is>
      </c>
      <c r="E224" s="54" t="inlineStr">
        <is>
          <t>Saint Celestine</t>
        </is>
      </c>
      <c r="F224" s="54" t="inlineStr">
        <is>
          <t>3 models</t>
        </is>
      </c>
      <c r="G224" s="54" t="inlineStr">
        <is>
          <t>Infantry, Epic Hero</t>
        </is>
      </c>
      <c r="H224" s="54" t="str"/>
      <c r="I224" s="54" t="str"/>
      <c r="J224" s="54" t="str"/>
      <c r="K224" s="54" t="str"/>
      <c r="L224" s="55" t="n">
        <v>160</v>
      </c>
      <c r="M224" s="54" t="str"/>
      <c r="N224" s="54" t="inlineStr">
        <is>
          <t>Matched to Munitorum Field Manual v2.3</t>
        </is>
      </c>
      <c r="O224" s="54" t="inlineStr">
        <is>
          <t>Uploaded PDF: Munitorum Field Manual v2.3 / March 2025, p.2</t>
        </is>
      </c>
    </row>
    <row r="225">
      <c r="A225" s="54" t="inlineStr">
        <is>
          <t>Adepta Sororitas</t>
        </is>
      </c>
      <c r="B225" s="54" t="str"/>
      <c r="C225" s="54" t="inlineStr">
        <is>
          <t>Infantry / Other</t>
        </is>
      </c>
      <c r="D225" s="54" t="inlineStr">
        <is>
          <t>Infantry</t>
        </is>
      </c>
      <c r="E225" s="54" t="inlineStr">
        <is>
          <t>Seraphim Squad</t>
        </is>
      </c>
      <c r="F225" s="54" t="inlineStr">
        <is>
          <t>5 models</t>
        </is>
      </c>
      <c r="G225" s="54" t="inlineStr">
        <is>
          <t>Infantry</t>
        </is>
      </c>
      <c r="H225" s="54" t="str"/>
      <c r="I225" s="54" t="str"/>
      <c r="J225" s="54" t="str"/>
      <c r="K225" s="54" t="str"/>
      <c r="L225" s="55" t="n">
        <v>85</v>
      </c>
      <c r="M225" s="54" t="inlineStr">
        <is>
          <t>Points options: 5 models = 85 pts; 10 models = 170 pts</t>
        </is>
      </c>
      <c r="N225" s="54" t="inlineStr">
        <is>
          <t>Matched to Munitorum Field Manual v2.3</t>
        </is>
      </c>
      <c r="O225" s="54" t="inlineStr">
        <is>
          <t>Uploaded PDF: Munitorum Field Manual v2.3 / March 2025, p.2</t>
        </is>
      </c>
    </row>
    <row r="226">
      <c r="A226" s="54" t="inlineStr">
        <is>
          <t>Adepta Sororitas</t>
        </is>
      </c>
      <c r="B226" s="54" t="str"/>
      <c r="C226" s="54" t="inlineStr">
        <is>
          <t>Infantry / Other</t>
        </is>
      </c>
      <c r="D226" s="54" t="inlineStr">
        <is>
          <t>Infantry</t>
        </is>
      </c>
      <c r="E226" s="54" t="inlineStr">
        <is>
          <t>Triumph of Saint Katherine</t>
        </is>
      </c>
      <c r="F226" s="54" t="inlineStr">
        <is>
          <t>1 model</t>
        </is>
      </c>
      <c r="G226" s="54" t="inlineStr">
        <is>
          <t>Infantry</t>
        </is>
      </c>
      <c r="H226" s="54" t="str"/>
      <c r="I226" s="54" t="str"/>
      <c r="J226" s="54" t="str"/>
      <c r="K226" s="54" t="str"/>
      <c r="L226" s="55" t="n">
        <v>250</v>
      </c>
      <c r="M226" s="54" t="str"/>
      <c r="N226" s="54" t="inlineStr">
        <is>
          <t>Matched to Munitorum Field Manual v2.3</t>
        </is>
      </c>
      <c r="O226" s="54" t="inlineStr">
        <is>
          <t>Uploaded PDF: Munitorum Field Manual v2.3 / March 2025, p.2</t>
        </is>
      </c>
    </row>
    <row r="227">
      <c r="A227" s="54" t="inlineStr">
        <is>
          <t>Adepta Sororitas</t>
        </is>
      </c>
      <c r="B227" s="54" t="str"/>
      <c r="C227" s="54" t="inlineStr">
        <is>
          <t>Infantry / Other</t>
        </is>
      </c>
      <c r="D227" s="54" t="inlineStr">
        <is>
          <t>Infantry</t>
        </is>
      </c>
      <c r="E227" s="54" t="inlineStr">
        <is>
          <t>Zephyrim Squad</t>
        </is>
      </c>
      <c r="F227" s="54" t="inlineStr">
        <is>
          <t>5 models</t>
        </is>
      </c>
      <c r="G227" s="54" t="inlineStr">
        <is>
          <t>Infantry</t>
        </is>
      </c>
      <c r="H227" s="54" t="str"/>
      <c r="I227" s="54" t="str"/>
      <c r="J227" s="54" t="str"/>
      <c r="K227" s="54" t="str"/>
      <c r="L227" s="55" t="n">
        <v>80</v>
      </c>
      <c r="M227" s="54" t="inlineStr">
        <is>
          <t>Points options: 5 models = 80 pts; 10 models = 160 pts</t>
        </is>
      </c>
      <c r="N227" s="54" t="inlineStr">
        <is>
          <t>Matched to Munitorum Field Manual v2.3</t>
        </is>
      </c>
      <c r="O227" s="54" t="inlineStr">
        <is>
          <t>Uploaded PDF: Munitorum Field Manual v2.3 / March 2025, p.2</t>
        </is>
      </c>
    </row>
    <row r="228">
      <c r="A228" s="54" t="inlineStr">
        <is>
          <t>Adeptus Mechanicus</t>
        </is>
      </c>
      <c r="B228" s="54" t="str"/>
      <c r="C228" s="54" t="inlineStr">
        <is>
          <t>Vehicle / Support</t>
        </is>
      </c>
      <c r="D228" s="54" t="inlineStr">
        <is>
          <t>Vehicle</t>
        </is>
      </c>
      <c r="E228" s="54" t="inlineStr">
        <is>
          <t>Archaeopter Fusilave</t>
        </is>
      </c>
      <c r="F228" s="54" t="inlineStr">
        <is>
          <t>1 model</t>
        </is>
      </c>
      <c r="G228" s="54" t="inlineStr">
        <is>
          <t>Vehicle</t>
        </is>
      </c>
      <c r="H228" s="54" t="str"/>
      <c r="I228" s="54" t="str"/>
      <c r="J228" s="54" t="str"/>
      <c r="K228" s="54" t="str"/>
      <c r="L228" s="55" t="n">
        <v>160</v>
      </c>
      <c r="M228" s="54" t="str"/>
      <c r="N228" s="54" t="inlineStr">
        <is>
          <t>Matched to Munitorum Field Manual v2.3</t>
        </is>
      </c>
      <c r="O228" s="54" t="inlineStr">
        <is>
          <t>Uploaded PDF: Munitorum Field Manual v2.3 / March 2025, p.4</t>
        </is>
      </c>
    </row>
    <row r="229">
      <c r="A229" s="54" t="inlineStr">
        <is>
          <t>Adeptus Mechanicus</t>
        </is>
      </c>
      <c r="B229" s="54" t="str"/>
      <c r="C229" s="54" t="inlineStr">
        <is>
          <t>Vehicle / Support</t>
        </is>
      </c>
      <c r="D229" s="54" t="inlineStr">
        <is>
          <t>Vehicle</t>
        </is>
      </c>
      <c r="E229" s="54" t="inlineStr">
        <is>
          <t>Archaeopter Stratoraptor</t>
        </is>
      </c>
      <c r="F229" s="54" t="inlineStr">
        <is>
          <t>1 model</t>
        </is>
      </c>
      <c r="G229" s="54" t="inlineStr">
        <is>
          <t>Vehicle</t>
        </is>
      </c>
      <c r="H229" s="54" t="str"/>
      <c r="I229" s="54" t="str"/>
      <c r="J229" s="54" t="str"/>
      <c r="K229" s="54" t="str"/>
      <c r="L229" s="55" t="n">
        <v>185</v>
      </c>
      <c r="M229" s="54" t="str"/>
      <c r="N229" s="54" t="inlineStr">
        <is>
          <t>Matched to Munitorum Field Manual v2.3</t>
        </is>
      </c>
      <c r="O229" s="54" t="inlineStr">
        <is>
          <t>Uploaded PDF: Munitorum Field Manual v2.3 / March 2025, p.4</t>
        </is>
      </c>
    </row>
    <row r="230">
      <c r="A230" s="54" t="inlineStr">
        <is>
          <t>Adeptus Mechanicus</t>
        </is>
      </c>
      <c r="B230" s="54" t="str"/>
      <c r="C230" s="54" t="inlineStr">
        <is>
          <t>Vehicle / Support</t>
        </is>
      </c>
      <c r="D230" s="54" t="inlineStr">
        <is>
          <t>Vehicle</t>
        </is>
      </c>
      <c r="E230" s="54" t="inlineStr">
        <is>
          <t>Archaeopter Transvector</t>
        </is>
      </c>
      <c r="F230" s="54" t="inlineStr">
        <is>
          <t>1 model</t>
        </is>
      </c>
      <c r="G230" s="54" t="inlineStr">
        <is>
          <t>Vehicle</t>
        </is>
      </c>
      <c r="H230" s="54" t="str"/>
      <c r="I230" s="54" t="str"/>
      <c r="J230" s="54" t="str"/>
      <c r="K230" s="54" t="str"/>
      <c r="L230" s="55" t="n">
        <v>150</v>
      </c>
      <c r="M230" s="54" t="str"/>
      <c r="N230" s="54" t="inlineStr">
        <is>
          <t>Matched to Munitorum Field Manual v2.3</t>
        </is>
      </c>
      <c r="O230" s="54" t="inlineStr">
        <is>
          <t>Uploaded PDF: Munitorum Field Manual v2.3 / March 2025, p.4</t>
        </is>
      </c>
    </row>
    <row r="231">
      <c r="A231" s="54" t="inlineStr">
        <is>
          <t>Adeptus Mechanicus</t>
        </is>
      </c>
      <c r="B231" s="54" t="str"/>
      <c r="C231" s="54" t="inlineStr">
        <is>
          <t>Infantry / Other</t>
        </is>
      </c>
      <c r="D231" s="54" t="inlineStr">
        <is>
          <t>Infantry</t>
        </is>
      </c>
      <c r="E231" s="54" t="inlineStr">
        <is>
          <t>Belisarius Cawl</t>
        </is>
      </c>
      <c r="F231" s="54" t="inlineStr">
        <is>
          <t>1 model</t>
        </is>
      </c>
      <c r="G231" s="54" t="inlineStr">
        <is>
          <t>Infantry</t>
        </is>
      </c>
      <c r="H231" s="54" t="str"/>
      <c r="I231" s="54" t="str"/>
      <c r="J231" s="54" t="str"/>
      <c r="K231" s="54" t="str"/>
      <c r="L231" s="55" t="n">
        <v>135</v>
      </c>
      <c r="M231" s="54" t="str"/>
      <c r="N231" s="54" t="inlineStr">
        <is>
          <t>Matched to Munitorum Field Manual v2.3</t>
        </is>
      </c>
      <c r="O231" s="54" t="inlineStr">
        <is>
          <t>Uploaded PDF: Munitorum Field Manual v2.3 / March 2025, p.4</t>
        </is>
      </c>
    </row>
    <row r="232">
      <c r="A232" s="54" t="inlineStr">
        <is>
          <t>Adeptus Mechanicus</t>
        </is>
      </c>
      <c r="B232" s="54" t="str"/>
      <c r="C232" s="54" t="inlineStr">
        <is>
          <t>Character</t>
        </is>
      </c>
      <c r="D232" s="54" t="inlineStr">
        <is>
          <t>Character</t>
        </is>
      </c>
      <c r="E232" s="54" t="inlineStr">
        <is>
          <t>Corpuscarii Electro-Priests</t>
        </is>
      </c>
      <c r="F232" s="54" t="inlineStr">
        <is>
          <t>5 models</t>
        </is>
      </c>
      <c r="G232" s="54" t="inlineStr">
        <is>
          <t>Character</t>
        </is>
      </c>
      <c r="H232" s="54" t="str"/>
      <c r="I232" s="54" t="str"/>
      <c r="J232" s="54" t="str"/>
      <c r="K232" s="54" t="str"/>
      <c r="L232" s="55" t="n">
        <v>65</v>
      </c>
      <c r="M232" s="54" t="inlineStr">
        <is>
          <t>Points options: 5 models = 65 pts; 10 models = 130 pts</t>
        </is>
      </c>
      <c r="N232" s="54" t="inlineStr">
        <is>
          <t>Matched to Munitorum Field Manual v2.3</t>
        </is>
      </c>
      <c r="O232" s="54" t="inlineStr">
        <is>
          <t>Uploaded PDF: Munitorum Field Manual v2.3 / March 2025, p.4</t>
        </is>
      </c>
    </row>
    <row r="233">
      <c r="A233" s="54" t="inlineStr">
        <is>
          <t>Adeptus Mechanicus</t>
        </is>
      </c>
      <c r="B233" s="54" t="str"/>
      <c r="C233" s="54" t="inlineStr">
        <is>
          <t>Infantry / Other</t>
        </is>
      </c>
      <c r="D233" s="54" t="inlineStr">
        <is>
          <t>Infantry</t>
        </is>
      </c>
      <c r="E233" s="54" t="inlineStr">
        <is>
          <t>Cybernetica Datasmith</t>
        </is>
      </c>
      <c r="F233" s="54" t="inlineStr">
        <is>
          <t>1 model</t>
        </is>
      </c>
      <c r="G233" s="54" t="inlineStr">
        <is>
          <t>Infantry</t>
        </is>
      </c>
      <c r="H233" s="54" t="str"/>
      <c r="I233" s="54" t="str"/>
      <c r="J233" s="54" t="str"/>
      <c r="K233" s="54" t="str"/>
      <c r="L233" s="55" t="n">
        <v>35</v>
      </c>
      <c r="M233" s="54" t="str"/>
      <c r="N233" s="54" t="inlineStr">
        <is>
          <t>Matched to Munitorum Field Manual v2.3</t>
        </is>
      </c>
      <c r="O233" s="54" t="inlineStr">
        <is>
          <t>Uploaded PDF: Munitorum Field Manual v2.3 / March 2025, p.4</t>
        </is>
      </c>
    </row>
    <row r="234">
      <c r="A234" s="54" t="inlineStr">
        <is>
          <t>Adeptus Mechanicus</t>
        </is>
      </c>
      <c r="B234" s="54" t="str"/>
      <c r="C234" s="54" t="inlineStr">
        <is>
          <t>Character</t>
        </is>
      </c>
      <c r="D234" s="54" t="inlineStr">
        <is>
          <t>Character</t>
        </is>
      </c>
      <c r="E234" s="54" t="inlineStr">
        <is>
          <t>Fulgurite Electro-Priests</t>
        </is>
      </c>
      <c r="F234" s="54" t="inlineStr">
        <is>
          <t>5 models</t>
        </is>
      </c>
      <c r="G234" s="54" t="inlineStr">
        <is>
          <t>Character</t>
        </is>
      </c>
      <c r="H234" s="54" t="str"/>
      <c r="I234" s="54" t="str"/>
      <c r="J234" s="54" t="str"/>
      <c r="K234" s="54" t="str"/>
      <c r="L234" s="55" t="n">
        <v>70</v>
      </c>
      <c r="M234" s="54" t="inlineStr">
        <is>
          <t>Points options: 5 models = 70 pts; 10 models = 140 pts</t>
        </is>
      </c>
      <c r="N234" s="54" t="inlineStr">
        <is>
          <t>Matched to Munitorum Field Manual v2.3</t>
        </is>
      </c>
      <c r="O234" s="54" t="inlineStr">
        <is>
          <t>Uploaded PDF: Munitorum Field Manual v2.3 / March 2025, p.4</t>
        </is>
      </c>
    </row>
    <row r="235">
      <c r="A235" s="54" t="inlineStr">
        <is>
          <t>Adeptus Mechanicus</t>
        </is>
      </c>
      <c r="B235" s="54" t="str"/>
      <c r="C235" s="54" t="inlineStr">
        <is>
          <t>Vehicle / Support</t>
        </is>
      </c>
      <c r="D235" s="54" t="inlineStr">
        <is>
          <t>Walker / Battlesuit</t>
        </is>
      </c>
      <c r="E235" s="54" t="inlineStr">
        <is>
          <t>Ironstrider Ballistarii</t>
        </is>
      </c>
      <c r="F235" s="54" t="inlineStr">
        <is>
          <t>1 model</t>
        </is>
      </c>
      <c r="G235" s="54" t="inlineStr">
        <is>
          <t>Walker / Battlesuit</t>
        </is>
      </c>
      <c r="H235" s="54" t="str"/>
      <c r="I235" s="54" t="str"/>
      <c r="J235" s="54" t="str"/>
      <c r="K235" s="54" t="str"/>
      <c r="L235" s="55" t="n">
        <v>75</v>
      </c>
      <c r="M235" s="54" t="inlineStr">
        <is>
          <t>Points options: 1 model = 75 pts; 2 models = 150 pts; 3 models = 225 pts</t>
        </is>
      </c>
      <c r="N235" s="54" t="inlineStr">
        <is>
          <t>Matched to Munitorum Field Manual v2.3</t>
        </is>
      </c>
      <c r="O235" s="54" t="inlineStr">
        <is>
          <t>Uploaded PDF: Munitorum Field Manual v2.3 / March 2025, p.4</t>
        </is>
      </c>
    </row>
    <row r="236">
      <c r="A236" s="54" t="inlineStr">
        <is>
          <t>Adeptus Mechanicus</t>
        </is>
      </c>
      <c r="B236" s="54" t="str"/>
      <c r="C236" s="54" t="inlineStr">
        <is>
          <t>Vehicle / Support</t>
        </is>
      </c>
      <c r="D236" s="54" t="inlineStr">
        <is>
          <t>Walker / Battlesuit</t>
        </is>
      </c>
      <c r="E236" s="54" t="inlineStr">
        <is>
          <t>Kastelan Robots</t>
        </is>
      </c>
      <c r="F236" s="54" t="inlineStr">
        <is>
          <t>2 models</t>
        </is>
      </c>
      <c r="G236" s="54" t="inlineStr">
        <is>
          <t>Walker / Battlesuit</t>
        </is>
      </c>
      <c r="H236" s="54" t="str"/>
      <c r="I236" s="54" t="str"/>
      <c r="J236" s="54" t="str"/>
      <c r="K236" s="54" t="str"/>
      <c r="L236" s="55" t="n">
        <v>180</v>
      </c>
      <c r="M236" s="54" t="inlineStr">
        <is>
          <t>Points options: 2 models = 180 pts; 4 models = 360 pts</t>
        </is>
      </c>
      <c r="N236" s="54" t="inlineStr">
        <is>
          <t>Matched to Munitorum Field Manual v2.3</t>
        </is>
      </c>
      <c r="O236" s="54" t="inlineStr">
        <is>
          <t>Uploaded PDF: Munitorum Field Manual v2.3 / March 2025, p.4</t>
        </is>
      </c>
    </row>
    <row r="237">
      <c r="A237" s="54" t="inlineStr">
        <is>
          <t>Adeptus Mechanicus</t>
        </is>
      </c>
      <c r="B237" s="54" t="str"/>
      <c r="C237" s="54" t="inlineStr">
        <is>
          <t>Infantry / Other</t>
        </is>
      </c>
      <c r="D237" s="54" t="inlineStr">
        <is>
          <t>Infantry</t>
        </is>
      </c>
      <c r="E237" s="54" t="inlineStr">
        <is>
          <t>Kataphron Breachers</t>
        </is>
      </c>
      <c r="F237" s="54" t="inlineStr">
        <is>
          <t>3 models</t>
        </is>
      </c>
      <c r="G237" s="54" t="inlineStr">
        <is>
          <t>Infantry</t>
        </is>
      </c>
      <c r="H237" s="54" t="str"/>
      <c r="I237" s="54" t="str"/>
      <c r="J237" s="54" t="str"/>
      <c r="K237" s="54" t="str"/>
      <c r="L237" s="55" t="n">
        <v>160</v>
      </c>
      <c r="M237" s="54" t="inlineStr">
        <is>
          <t>Points options: 3 models = 160 pts; 6 models = 320 pts</t>
        </is>
      </c>
      <c r="N237" s="54" t="inlineStr">
        <is>
          <t>Matched to Munitorum Field Manual v2.3</t>
        </is>
      </c>
      <c r="O237" s="54" t="inlineStr">
        <is>
          <t>Uploaded PDF: Munitorum Field Manual v2.3 / March 2025, p.4</t>
        </is>
      </c>
    </row>
    <row r="238">
      <c r="A238" s="54" t="inlineStr">
        <is>
          <t>Adeptus Mechanicus</t>
        </is>
      </c>
      <c r="B238" s="54" t="str"/>
      <c r="C238" s="54" t="inlineStr">
        <is>
          <t>Infantry / Other</t>
        </is>
      </c>
      <c r="D238" s="54" t="inlineStr">
        <is>
          <t>Infantry</t>
        </is>
      </c>
      <c r="E238" s="54" t="inlineStr">
        <is>
          <t>Kataphron Destroyers</t>
        </is>
      </c>
      <c r="F238" s="54" t="inlineStr">
        <is>
          <t>3 models</t>
        </is>
      </c>
      <c r="G238" s="54" t="inlineStr">
        <is>
          <t>Infantry</t>
        </is>
      </c>
      <c r="H238" s="54" t="str"/>
      <c r="I238" s="54" t="str"/>
      <c r="J238" s="54" t="str"/>
      <c r="K238" s="54" t="str"/>
      <c r="L238" s="55" t="n">
        <v>105</v>
      </c>
      <c r="M238" s="54" t="inlineStr">
        <is>
          <t>Points options: 3 models = 105 pts; 6 models = 210 pts</t>
        </is>
      </c>
      <c r="N238" s="54" t="inlineStr">
        <is>
          <t>Matched to Munitorum Field Manual v2.3</t>
        </is>
      </c>
      <c r="O238" s="54" t="inlineStr">
        <is>
          <t>Uploaded PDF: Munitorum Field Manual v2.3 / March 2025, p.4</t>
        </is>
      </c>
    </row>
    <row r="239">
      <c r="A239" s="54" t="inlineStr">
        <is>
          <t>Adeptus Mechanicus</t>
        </is>
      </c>
      <c r="B239" s="54" t="str"/>
      <c r="C239" s="54" t="inlineStr">
        <is>
          <t>Vehicle / Support</t>
        </is>
      </c>
      <c r="D239" s="54" t="inlineStr">
        <is>
          <t>Walker / Battlesuit</t>
        </is>
      </c>
      <c r="E239" s="54" t="inlineStr">
        <is>
          <t>Onager Dunecrawler</t>
        </is>
      </c>
      <c r="F239" s="54" t="inlineStr">
        <is>
          <t>1 model</t>
        </is>
      </c>
      <c r="G239" s="54" t="inlineStr">
        <is>
          <t>Walker / Battlesuit</t>
        </is>
      </c>
      <c r="H239" s="54" t="str"/>
      <c r="I239" s="54" t="str"/>
      <c r="J239" s="54" t="str"/>
      <c r="K239" s="54" t="str"/>
      <c r="L239" s="55" t="n">
        <v>155</v>
      </c>
      <c r="M239" s="54" t="str"/>
      <c r="N239" s="54" t="inlineStr">
        <is>
          <t>Matched to Munitorum Field Manual v2.3</t>
        </is>
      </c>
      <c r="O239" s="54" t="inlineStr">
        <is>
          <t>Uploaded PDF: Munitorum Field Manual v2.3 / March 2025, p.4</t>
        </is>
      </c>
    </row>
    <row r="240">
      <c r="A240" s="54" t="inlineStr">
        <is>
          <t>Adeptus Mechanicus</t>
        </is>
      </c>
      <c r="B240" s="54" t="str"/>
      <c r="C240" s="54" t="inlineStr">
        <is>
          <t>Vehicle / Support</t>
        </is>
      </c>
      <c r="D240" s="54" t="inlineStr">
        <is>
          <t>Walker / Battlesuit</t>
        </is>
      </c>
      <c r="E240" s="54" t="inlineStr">
        <is>
          <t>Pteraxii Skystalkers</t>
        </is>
      </c>
      <c r="F240" s="54" t="inlineStr">
        <is>
          <t>5 models</t>
        </is>
      </c>
      <c r="G240" s="54" t="inlineStr">
        <is>
          <t>Walker / Battlesuit</t>
        </is>
      </c>
      <c r="H240" s="54" t="str"/>
      <c r="I240" s="54" t="str"/>
      <c r="J240" s="54" t="str"/>
      <c r="K240" s="54" t="str"/>
      <c r="L240" s="55" t="n">
        <v>70</v>
      </c>
      <c r="M240" s="54" t="inlineStr">
        <is>
          <t>Points options: 5 models = 70 pts; 10 models = 140 pts</t>
        </is>
      </c>
      <c r="N240" s="54" t="inlineStr">
        <is>
          <t>Matched to Munitorum Field Manual v2.3</t>
        </is>
      </c>
      <c r="O240" s="54" t="inlineStr">
        <is>
          <t>Uploaded PDF: Munitorum Field Manual v2.3 / March 2025, p.4</t>
        </is>
      </c>
    </row>
    <row r="241">
      <c r="A241" s="54" t="inlineStr">
        <is>
          <t>Adeptus Mechanicus</t>
        </is>
      </c>
      <c r="B241" s="54" t="str"/>
      <c r="C241" s="54" t="inlineStr">
        <is>
          <t>Infantry / Other</t>
        </is>
      </c>
      <c r="D241" s="54" t="inlineStr">
        <is>
          <t>Infantry</t>
        </is>
      </c>
      <c r="E241" s="54" t="inlineStr">
        <is>
          <t>Pteraxii Sterylizors</t>
        </is>
      </c>
      <c r="F241" s="54" t="inlineStr">
        <is>
          <t>5 models</t>
        </is>
      </c>
      <c r="G241" s="54" t="inlineStr">
        <is>
          <t>Infantry</t>
        </is>
      </c>
      <c r="H241" s="54" t="str"/>
      <c r="I241" s="54" t="str"/>
      <c r="J241" s="54" t="str"/>
      <c r="K241" s="54" t="str"/>
      <c r="L241" s="55" t="n">
        <v>80</v>
      </c>
      <c r="M241" s="54" t="inlineStr">
        <is>
          <t>Points options: 5 models = 80 pts; 10 models = 160 pts</t>
        </is>
      </c>
      <c r="N241" s="54" t="inlineStr">
        <is>
          <t>Matched to Munitorum Field Manual v2.3</t>
        </is>
      </c>
      <c r="O241" s="54" t="inlineStr">
        <is>
          <t>Uploaded PDF: Munitorum Field Manual v2.3 / March 2025, p.4</t>
        </is>
      </c>
    </row>
    <row r="242">
      <c r="A242" s="54" t="inlineStr">
        <is>
          <t>Adeptus Mechanicus</t>
        </is>
      </c>
      <c r="B242" s="54" t="str"/>
      <c r="C242" s="54" t="inlineStr">
        <is>
          <t>Infantry / Other</t>
        </is>
      </c>
      <c r="D242" s="54" t="inlineStr">
        <is>
          <t>Infantry</t>
        </is>
      </c>
      <c r="E242" s="54" t="inlineStr">
        <is>
          <t>Secutarii Hoplites</t>
        </is>
      </c>
      <c r="F242" s="54" t="n"/>
      <c r="G242" s="54" t="inlineStr">
        <is>
          <t>Infantry</t>
        </is>
      </c>
      <c r="H242" s="54" t="str"/>
      <c r="I242" s="54" t="str"/>
      <c r="J242" s="54" t="str"/>
      <c r="K242" s="54" t="str"/>
      <c r="L242" s="55" t="n"/>
      <c r="M242" s="54" t="inlineStr">
        <is>
          <t>No matching points entry found in uploaded PDF; verify unit name/current support.</t>
        </is>
      </c>
      <c r="N242" s="54" t="inlineStr">
        <is>
          <t>Not found in uploaded PDF</t>
        </is>
      </c>
      <c r="O242" s="54" t="inlineStr">
        <is>
          <t>Uploaded PDF: Munitorum Field Manual v2.3 / March 2025</t>
        </is>
      </c>
    </row>
    <row r="243">
      <c r="A243" s="54" t="inlineStr">
        <is>
          <t>Adeptus Mechanicus</t>
        </is>
      </c>
      <c r="B243" s="54" t="str"/>
      <c r="C243" s="54" t="inlineStr">
        <is>
          <t>Infantry / Other</t>
        </is>
      </c>
      <c r="D243" s="54" t="inlineStr">
        <is>
          <t>Infantry</t>
        </is>
      </c>
      <c r="E243" s="54" t="inlineStr">
        <is>
          <t>Secutarii Peltasts</t>
        </is>
      </c>
      <c r="F243" s="54" t="n"/>
      <c r="G243" s="54" t="inlineStr">
        <is>
          <t>Infantry</t>
        </is>
      </c>
      <c r="H243" s="54" t="str"/>
      <c r="I243" s="54" t="str"/>
      <c r="J243" s="54" t="str"/>
      <c r="K243" s="54" t="str"/>
      <c r="L243" s="55" t="n"/>
      <c r="M243" s="54" t="inlineStr">
        <is>
          <t>No matching points entry found in uploaded PDF; verify unit name/current support.</t>
        </is>
      </c>
      <c r="N243" s="54" t="inlineStr">
        <is>
          <t>Not found in uploaded PDF</t>
        </is>
      </c>
      <c r="O243" s="54" t="inlineStr">
        <is>
          <t>Uploaded PDF: Munitorum Field Manual v2.3 / March 2025</t>
        </is>
      </c>
    </row>
    <row r="244">
      <c r="A244" s="54" t="inlineStr">
        <is>
          <t>Adeptus Mechanicus</t>
        </is>
      </c>
      <c r="B244" s="54" t="str"/>
      <c r="C244" s="54" t="inlineStr">
        <is>
          <t>Vehicle / Support</t>
        </is>
      </c>
      <c r="D244" s="54" t="inlineStr">
        <is>
          <t>Vehicle</t>
        </is>
      </c>
      <c r="E244" s="54" t="inlineStr">
        <is>
          <t>Serberys Raiders</t>
        </is>
      </c>
      <c r="F244" s="54" t="inlineStr">
        <is>
          <t>3 models</t>
        </is>
      </c>
      <c r="G244" s="54" t="inlineStr">
        <is>
          <t>Vehicle</t>
        </is>
      </c>
      <c r="H244" s="54" t="str"/>
      <c r="I244" s="54" t="str"/>
      <c r="J244" s="54" t="str"/>
      <c r="K244" s="54" t="str"/>
      <c r="L244" s="55" t="n">
        <v>60</v>
      </c>
      <c r="M244" s="54" t="inlineStr">
        <is>
          <t>Points options: 3 models = 60 pts; 6 models = 120 pts</t>
        </is>
      </c>
      <c r="N244" s="54" t="inlineStr">
        <is>
          <t>Matched to Munitorum Field Manual v2.3</t>
        </is>
      </c>
      <c r="O244" s="54" t="inlineStr">
        <is>
          <t>Uploaded PDF: Munitorum Field Manual v2.3 / March 2025, p.4</t>
        </is>
      </c>
    </row>
    <row r="245">
      <c r="A245" s="54" t="inlineStr">
        <is>
          <t>Adeptus Mechanicus</t>
        </is>
      </c>
      <c r="B245" s="54" t="str"/>
      <c r="C245" s="54" t="inlineStr">
        <is>
          <t>Infantry / Other</t>
        </is>
      </c>
      <c r="D245" s="54" t="inlineStr">
        <is>
          <t>Mounted / Bike</t>
        </is>
      </c>
      <c r="E245" s="54" t="inlineStr">
        <is>
          <t>Serberys Sulphurhounds</t>
        </is>
      </c>
      <c r="F245" s="54" t="inlineStr">
        <is>
          <t>3 models</t>
        </is>
      </c>
      <c r="G245" s="54" t="inlineStr">
        <is>
          <t>Mounted / Bike</t>
        </is>
      </c>
      <c r="H245" s="54" t="str"/>
      <c r="I245" s="54" t="str"/>
      <c r="J245" s="54" t="str"/>
      <c r="K245" s="54" t="str"/>
      <c r="L245" s="55" t="n">
        <v>55</v>
      </c>
      <c r="M245" s="54" t="inlineStr">
        <is>
          <t>Points options: 3 models = 55 pts; 6 models = 110 pts</t>
        </is>
      </c>
      <c r="N245" s="54" t="inlineStr">
        <is>
          <t>Matched to Munitorum Field Manual v2.3</t>
        </is>
      </c>
      <c r="O245" s="54" t="inlineStr">
        <is>
          <t>Uploaded PDF: Munitorum Field Manual v2.3 / March 2025, p.4</t>
        </is>
      </c>
    </row>
    <row r="246">
      <c r="A246" s="54" t="inlineStr">
        <is>
          <t>Adeptus Mechanicus</t>
        </is>
      </c>
      <c r="B246" s="54" t="str"/>
      <c r="C246" s="54" t="inlineStr">
        <is>
          <t>Infantry / Other</t>
        </is>
      </c>
      <c r="D246" s="54" t="inlineStr">
        <is>
          <t>Infantry</t>
        </is>
      </c>
      <c r="E246" s="54" t="inlineStr">
        <is>
          <t>Sicarian Infiltrators</t>
        </is>
      </c>
      <c r="F246" s="54" t="inlineStr">
        <is>
          <t>5 models</t>
        </is>
      </c>
      <c r="G246" s="54" t="inlineStr">
        <is>
          <t>Infantry</t>
        </is>
      </c>
      <c r="H246" s="54" t="str"/>
      <c r="I246" s="54" t="str"/>
      <c r="J246" s="54" t="str"/>
      <c r="K246" s="54" t="str"/>
      <c r="L246" s="55" t="n">
        <v>70</v>
      </c>
      <c r="M246" s="54" t="inlineStr">
        <is>
          <t>Points options: 5 models = 70 pts; 10 models = 140 pts</t>
        </is>
      </c>
      <c r="N246" s="54" t="inlineStr">
        <is>
          <t>Matched to Munitorum Field Manual v2.3</t>
        </is>
      </c>
      <c r="O246" s="54" t="inlineStr">
        <is>
          <t>Uploaded PDF: Munitorum Field Manual v2.3 / March 2025, p.4</t>
        </is>
      </c>
    </row>
    <row r="247">
      <c r="A247" s="54" t="inlineStr">
        <is>
          <t>Adeptus Mechanicus</t>
        </is>
      </c>
      <c r="B247" s="54" t="str"/>
      <c r="C247" s="54" t="inlineStr">
        <is>
          <t>Vehicle / Support</t>
        </is>
      </c>
      <c r="D247" s="54" t="inlineStr">
        <is>
          <t>Walker / Battlesuit</t>
        </is>
      </c>
      <c r="E247" s="54" t="inlineStr">
        <is>
          <t>Sicarian Ruststalkers</t>
        </is>
      </c>
      <c r="F247" s="54" t="inlineStr">
        <is>
          <t>5 models</t>
        </is>
      </c>
      <c r="G247" s="54" t="inlineStr">
        <is>
          <t>Walker / Battlesuit</t>
        </is>
      </c>
      <c r="H247" s="54" t="str"/>
      <c r="I247" s="54" t="str"/>
      <c r="J247" s="54" t="str"/>
      <c r="K247" s="54" t="str"/>
      <c r="L247" s="55" t="n">
        <v>75</v>
      </c>
      <c r="M247" s="54" t="inlineStr">
        <is>
          <t>Points options: 5 models = 75 pts; 10 models = 150 pts</t>
        </is>
      </c>
      <c r="N247" s="54" t="inlineStr">
        <is>
          <t>Matched to Munitorum Field Manual v2.3</t>
        </is>
      </c>
      <c r="O247" s="54" t="inlineStr">
        <is>
          <t>Uploaded PDF: Munitorum Field Manual v2.3 / March 2025, p.4</t>
        </is>
      </c>
    </row>
    <row r="248">
      <c r="A248" s="54" t="inlineStr">
        <is>
          <t>Adeptus Mechanicus</t>
        </is>
      </c>
      <c r="B248" s="54" t="str"/>
      <c r="C248" s="54" t="inlineStr">
        <is>
          <t>Character</t>
        </is>
      </c>
      <c r="D248" s="54" t="inlineStr">
        <is>
          <t>Character</t>
        </is>
      </c>
      <c r="E248" s="54" t="inlineStr">
        <is>
          <t>Skitarii Marshal</t>
        </is>
      </c>
      <c r="F248" s="54" t="inlineStr">
        <is>
          <t>1 model</t>
        </is>
      </c>
      <c r="G248" s="54" t="inlineStr">
        <is>
          <t>Character</t>
        </is>
      </c>
      <c r="H248" s="54" t="str"/>
      <c r="I248" s="54" t="str"/>
      <c r="J248" s="54" t="str"/>
      <c r="K248" s="54" t="str"/>
      <c r="L248" s="55" t="n">
        <v>35</v>
      </c>
      <c r="M248" s="54" t="str"/>
      <c r="N248" s="54" t="inlineStr">
        <is>
          <t>Matched to Munitorum Field Manual v2.3</t>
        </is>
      </c>
      <c r="O248" s="54" t="inlineStr">
        <is>
          <t>Uploaded PDF: Munitorum Field Manual v2.3 / March 2025, p.4</t>
        </is>
      </c>
    </row>
    <row r="249">
      <c r="A249" s="54" t="inlineStr">
        <is>
          <t>Adeptus Mechanicus</t>
        </is>
      </c>
      <c r="B249" s="54" t="str"/>
      <c r="C249" s="54" t="inlineStr">
        <is>
          <t>Infantry / Other</t>
        </is>
      </c>
      <c r="D249" s="54" t="inlineStr">
        <is>
          <t>Infantry</t>
        </is>
      </c>
      <c r="E249" s="54" t="inlineStr">
        <is>
          <t>Skitarii Rangers</t>
        </is>
      </c>
      <c r="F249" s="54" t="inlineStr">
        <is>
          <t>10 models</t>
        </is>
      </c>
      <c r="G249" s="54" t="inlineStr">
        <is>
          <t>Infantry</t>
        </is>
      </c>
      <c r="H249" s="54" t="str"/>
      <c r="I249" s="54" t="str"/>
      <c r="J249" s="54" t="str"/>
      <c r="K249" s="54" t="str"/>
      <c r="L249" s="55" t="n">
        <v>85</v>
      </c>
      <c r="M249" s="54" t="str"/>
      <c r="N249" s="54" t="inlineStr">
        <is>
          <t>Matched to Munitorum Field Manual v2.3</t>
        </is>
      </c>
      <c r="O249" s="54" t="inlineStr">
        <is>
          <t>Uploaded PDF: Munitorum Field Manual v2.3 / March 2025, p.4</t>
        </is>
      </c>
    </row>
    <row r="250">
      <c r="A250" s="54" t="inlineStr">
        <is>
          <t>Adeptus Mechanicus</t>
        </is>
      </c>
      <c r="B250" s="54" t="str"/>
      <c r="C250" s="54" t="inlineStr">
        <is>
          <t>Infantry / Other</t>
        </is>
      </c>
      <c r="D250" s="54" t="inlineStr">
        <is>
          <t>Infantry</t>
        </is>
      </c>
      <c r="E250" s="54" t="inlineStr">
        <is>
          <t>Skitarii Vanguard</t>
        </is>
      </c>
      <c r="F250" s="54" t="inlineStr">
        <is>
          <t>10 models</t>
        </is>
      </c>
      <c r="G250" s="54" t="inlineStr">
        <is>
          <t>Infantry</t>
        </is>
      </c>
      <c r="H250" s="54" t="str"/>
      <c r="I250" s="54" t="str"/>
      <c r="J250" s="54" t="str"/>
      <c r="K250" s="54" t="str"/>
      <c r="L250" s="55" t="n">
        <v>95</v>
      </c>
      <c r="M250" s="54" t="str"/>
      <c r="N250" s="54" t="inlineStr">
        <is>
          <t>Matched to Munitorum Field Manual v2.3</t>
        </is>
      </c>
      <c r="O250" s="54" t="inlineStr">
        <is>
          <t>Uploaded PDF: Munitorum Field Manual v2.3 / March 2025, p.4</t>
        </is>
      </c>
    </row>
    <row r="251">
      <c r="A251" s="54" t="inlineStr">
        <is>
          <t>Adeptus Mechanicus</t>
        </is>
      </c>
      <c r="B251" s="54" t="str"/>
      <c r="C251" s="54" t="inlineStr">
        <is>
          <t>Vehicle / Support</t>
        </is>
      </c>
      <c r="D251" s="54" t="inlineStr">
        <is>
          <t>Vehicle</t>
        </is>
      </c>
      <c r="E251" s="54" t="inlineStr">
        <is>
          <t>Skorpius Disintegrator</t>
        </is>
      </c>
      <c r="F251" s="54" t="inlineStr">
        <is>
          <t>1 model</t>
        </is>
      </c>
      <c r="G251" s="54" t="inlineStr">
        <is>
          <t>Vehicle</t>
        </is>
      </c>
      <c r="H251" s="54" t="str"/>
      <c r="I251" s="54" t="str"/>
      <c r="J251" s="54" t="str"/>
      <c r="K251" s="54" t="str"/>
      <c r="L251" s="55" t="n">
        <v>175</v>
      </c>
      <c r="M251" s="54" t="str"/>
      <c r="N251" s="54" t="inlineStr">
        <is>
          <t>Matched to Munitorum Field Manual v2.3</t>
        </is>
      </c>
      <c r="O251" s="54" t="inlineStr">
        <is>
          <t>Uploaded PDF: Munitorum Field Manual v2.3 / March 2025, p.4</t>
        </is>
      </c>
    </row>
    <row r="252">
      <c r="A252" s="54" t="inlineStr">
        <is>
          <t>Adeptus Mechanicus</t>
        </is>
      </c>
      <c r="B252" s="54" t="str"/>
      <c r="C252" s="54" t="inlineStr">
        <is>
          <t>Vehicle / Support</t>
        </is>
      </c>
      <c r="D252" s="54" t="inlineStr">
        <is>
          <t>Vehicle</t>
        </is>
      </c>
      <c r="E252" s="54" t="inlineStr">
        <is>
          <t>Skorpius Dunerider</t>
        </is>
      </c>
      <c r="F252" s="54" t="inlineStr">
        <is>
          <t>1 model</t>
        </is>
      </c>
      <c r="G252" s="54" t="inlineStr">
        <is>
          <t>Vehicle</t>
        </is>
      </c>
      <c r="H252" s="54" t="str"/>
      <c r="I252" s="54" t="str"/>
      <c r="J252" s="54" t="str"/>
      <c r="K252" s="54" t="str"/>
      <c r="L252" s="55" t="n">
        <v>85</v>
      </c>
      <c r="M252" s="54" t="str"/>
      <c r="N252" s="54" t="inlineStr">
        <is>
          <t>Matched to Munitorum Field Manual v2.3</t>
        </is>
      </c>
      <c r="O252" s="54" t="inlineStr">
        <is>
          <t>Uploaded PDF: Munitorum Field Manual v2.3 / March 2025, p.4</t>
        </is>
      </c>
    </row>
    <row r="253">
      <c r="A253" s="54" t="inlineStr">
        <is>
          <t>Adeptus Mechanicus</t>
        </is>
      </c>
      <c r="B253" s="54" t="str"/>
      <c r="C253" s="54" t="inlineStr">
        <is>
          <t>Vehicle / Support</t>
        </is>
      </c>
      <c r="D253" s="54" t="inlineStr">
        <is>
          <t>Walker / Battlesuit</t>
        </is>
      </c>
      <c r="E253" s="54" t="inlineStr">
        <is>
          <t>Sydonian Dragoons</t>
        </is>
      </c>
      <c r="F253" s="54" t="n"/>
      <c r="G253" s="54" t="inlineStr">
        <is>
          <t>Walker / Battlesuit</t>
        </is>
      </c>
      <c r="H253" s="54" t="str"/>
      <c r="I253" s="54" t="str"/>
      <c r="J253" s="54" t="str"/>
      <c r="K253" s="54" t="str"/>
      <c r="L253" s="55" t="n"/>
      <c r="M253" s="54" t="inlineStr">
        <is>
          <t>No matching points entry found in uploaded PDF; verify unit name/current support.</t>
        </is>
      </c>
      <c r="N253" s="54" t="inlineStr">
        <is>
          <t>Not found in uploaded PDF</t>
        </is>
      </c>
      <c r="O253" s="54" t="inlineStr">
        <is>
          <t>Uploaded PDF: Munitorum Field Manual v2.3 / March 2025</t>
        </is>
      </c>
    </row>
    <row r="254">
      <c r="A254" s="54" t="inlineStr">
        <is>
          <t>Adeptus Mechanicus</t>
        </is>
      </c>
      <c r="B254" s="54" t="str"/>
      <c r="C254" s="54" t="inlineStr">
        <is>
          <t>Character</t>
        </is>
      </c>
      <c r="D254" s="54" t="inlineStr">
        <is>
          <t>Character</t>
        </is>
      </c>
      <c r="E254" s="54" t="inlineStr">
        <is>
          <t>Tech-Priest Dominus</t>
        </is>
      </c>
      <c r="F254" s="54" t="inlineStr">
        <is>
          <t>1 model</t>
        </is>
      </c>
      <c r="G254" s="54" t="inlineStr">
        <is>
          <t>Character</t>
        </is>
      </c>
      <c r="H254" s="54" t="str"/>
      <c r="I254" s="54" t="str"/>
      <c r="J254" s="54" t="str"/>
      <c r="K254" s="54" t="str"/>
      <c r="L254" s="55" t="n">
        <v>65</v>
      </c>
      <c r="M254" s="54" t="str"/>
      <c r="N254" s="54" t="inlineStr">
        <is>
          <t>Matched to Munitorum Field Manual v2.3</t>
        </is>
      </c>
      <c r="O254" s="54" t="inlineStr">
        <is>
          <t>Uploaded PDF: Munitorum Field Manual v2.3 / March 2025, p.4</t>
        </is>
      </c>
    </row>
    <row r="255">
      <c r="A255" s="54" t="inlineStr">
        <is>
          <t>Adeptus Mechanicus</t>
        </is>
      </c>
      <c r="B255" s="54" t="str"/>
      <c r="C255" s="54" t="inlineStr">
        <is>
          <t>Character</t>
        </is>
      </c>
      <c r="D255" s="54" t="inlineStr">
        <is>
          <t>Character</t>
        </is>
      </c>
      <c r="E255" s="54" t="inlineStr">
        <is>
          <t>Tech-Priest Enginseer</t>
        </is>
      </c>
      <c r="F255" s="54" t="inlineStr">
        <is>
          <t>1 model</t>
        </is>
      </c>
      <c r="G255" s="54" t="inlineStr">
        <is>
          <t>Character</t>
        </is>
      </c>
      <c r="H255" s="54" t="str"/>
      <c r="I255" s="54" t="str"/>
      <c r="J255" s="54" t="str"/>
      <c r="K255" s="54" t="str"/>
      <c r="L255" s="55" t="n">
        <v>55</v>
      </c>
      <c r="M255" s="54" t="str"/>
      <c r="N255" s="54" t="inlineStr">
        <is>
          <t>Matched to Munitorum Field Manual v2.3</t>
        </is>
      </c>
      <c r="O255" s="54" t="inlineStr">
        <is>
          <t>Uploaded PDF: Munitorum Field Manual v2.3 / March 2025, p.4</t>
        </is>
      </c>
    </row>
    <row r="256">
      <c r="A256" s="54" t="inlineStr">
        <is>
          <t>Adeptus Mechanicus</t>
        </is>
      </c>
      <c r="B256" s="54" t="str"/>
      <c r="C256" s="54" t="inlineStr">
        <is>
          <t>Character</t>
        </is>
      </c>
      <c r="D256" s="54" t="inlineStr">
        <is>
          <t>Character</t>
        </is>
      </c>
      <c r="E256" s="54" t="inlineStr">
        <is>
          <t>Tech-Priest Manipulus</t>
        </is>
      </c>
      <c r="F256" s="54" t="inlineStr">
        <is>
          <t>1 model</t>
        </is>
      </c>
      <c r="G256" s="54" t="inlineStr">
        <is>
          <t>Character</t>
        </is>
      </c>
      <c r="H256" s="54" t="str"/>
      <c r="I256" s="54" t="str"/>
      <c r="J256" s="54" t="str"/>
      <c r="K256" s="54" t="str"/>
      <c r="L256" s="55" t="n">
        <v>60</v>
      </c>
      <c r="M256" s="54" t="str"/>
      <c r="N256" s="54" t="inlineStr">
        <is>
          <t>Matched to Munitorum Field Manual v2.3</t>
        </is>
      </c>
      <c r="O256" s="54" t="inlineStr">
        <is>
          <t>Uploaded PDF: Munitorum Field Manual v2.3 / March 2025, p.4</t>
        </is>
      </c>
    </row>
    <row r="257">
      <c r="A257" s="54" t="inlineStr">
        <is>
          <t>Astra Militarum</t>
        </is>
      </c>
      <c r="B257" s="54" t="str"/>
      <c r="C257" s="54" t="inlineStr">
        <is>
          <t>Vehicle / Support</t>
        </is>
      </c>
      <c r="D257" s="54" t="inlineStr">
        <is>
          <t>Walker / Battlesuit</t>
        </is>
      </c>
      <c r="E257" s="54" t="inlineStr">
        <is>
          <t>Armoured Sentinels</t>
        </is>
      </c>
      <c r="F257" s="54" t="inlineStr">
        <is>
          <t>1 model</t>
        </is>
      </c>
      <c r="G257" s="54" t="inlineStr">
        <is>
          <t>Walker / Battlesuit</t>
        </is>
      </c>
      <c r="H257" s="54" t="str"/>
      <c r="I257" s="54" t="str"/>
      <c r="J257" s="54" t="str"/>
      <c r="K257" s="54" t="str"/>
      <c r="L257" s="55" t="n">
        <v>65</v>
      </c>
      <c r="M257" s="54" t="inlineStr">
        <is>
          <t>Points options: 1 model = 65 pts; 2 models = 130 pts</t>
        </is>
      </c>
      <c r="N257" s="54" t="inlineStr">
        <is>
          <t>Matched to Munitorum Field Manual v2.3</t>
        </is>
      </c>
      <c r="O257" s="54" t="inlineStr">
        <is>
          <t>Uploaded PDF: Munitorum Field Manual v2.3 / March 2025, p.8</t>
        </is>
      </c>
    </row>
    <row r="258">
      <c r="A258" s="54" t="inlineStr">
        <is>
          <t>Astra Militarum</t>
        </is>
      </c>
      <c r="B258" s="54" t="str"/>
      <c r="C258" s="54" t="inlineStr">
        <is>
          <t>Infantry / Other</t>
        </is>
      </c>
      <c r="D258" s="54" t="inlineStr">
        <is>
          <t>Mounted / Bike</t>
        </is>
      </c>
      <c r="E258" s="54" t="inlineStr">
        <is>
          <t>Attilan Rough Riders</t>
        </is>
      </c>
      <c r="F258" s="54" t="inlineStr">
        <is>
          <t>5 models</t>
        </is>
      </c>
      <c r="G258" s="54" t="inlineStr">
        <is>
          <t>Mounted / Bike</t>
        </is>
      </c>
      <c r="H258" s="54" t="str"/>
      <c r="I258" s="54" t="str"/>
      <c r="J258" s="54" t="str"/>
      <c r="K258" s="54" t="str"/>
      <c r="L258" s="55" t="n">
        <v>60</v>
      </c>
      <c r="M258" s="54" t="inlineStr">
        <is>
          <t>Points options: 5 models = 60 pts; 10 models = 120 pts</t>
        </is>
      </c>
      <c r="N258" s="54" t="inlineStr">
        <is>
          <t>Matched to Munitorum Field Manual v2.3</t>
        </is>
      </c>
      <c r="O258" s="54" t="inlineStr">
        <is>
          <t>Uploaded PDF: Munitorum Field Manual v2.3 / March 2025, p.8</t>
        </is>
      </c>
    </row>
    <row r="259">
      <c r="A259" s="54" t="inlineStr">
        <is>
          <t>Astra Militarum</t>
        </is>
      </c>
      <c r="B259" s="54" t="str"/>
      <c r="C259" s="54" t="inlineStr">
        <is>
          <t>Vehicle / Support</t>
        </is>
      </c>
      <c r="D259" s="54" t="inlineStr">
        <is>
          <t>Super-heavy Vehicle/Monster</t>
        </is>
      </c>
      <c r="E259" s="54" t="inlineStr">
        <is>
          <t>Baneblade</t>
        </is>
      </c>
      <c r="F259" s="54" t="inlineStr">
        <is>
          <t>1 model</t>
        </is>
      </c>
      <c r="G259" s="54" t="inlineStr">
        <is>
          <t>Super-heavy Vehicle/Monster</t>
        </is>
      </c>
      <c r="H259" s="54" t="str"/>
      <c r="I259" s="54" t="str"/>
      <c r="J259" s="54" t="str"/>
      <c r="K259" s="54" t="str"/>
      <c r="L259" s="55" t="n">
        <v>480</v>
      </c>
      <c r="M259" s="54" t="str"/>
      <c r="N259" s="54" t="inlineStr">
        <is>
          <t>Matched to Munitorum Field Manual v2.3</t>
        </is>
      </c>
      <c r="O259" s="54" t="inlineStr">
        <is>
          <t>Uploaded PDF: Munitorum Field Manual v2.3 / March 2025, p.8</t>
        </is>
      </c>
    </row>
    <row r="260">
      <c r="A260" s="54" t="inlineStr">
        <is>
          <t>Astra Militarum</t>
        </is>
      </c>
      <c r="B260" s="54" t="str"/>
      <c r="C260" s="54" t="inlineStr">
        <is>
          <t>Vehicle / Support</t>
        </is>
      </c>
      <c r="D260" s="54" t="inlineStr">
        <is>
          <t>Super-heavy Vehicle/Monster</t>
        </is>
      </c>
      <c r="E260" s="54" t="inlineStr">
        <is>
          <t>Banehammer</t>
        </is>
      </c>
      <c r="F260" s="54" t="inlineStr">
        <is>
          <t>1 model</t>
        </is>
      </c>
      <c r="G260" s="54" t="inlineStr">
        <is>
          <t>Super-heavy Vehicle/Monster</t>
        </is>
      </c>
      <c r="H260" s="54" t="str"/>
      <c r="I260" s="54" t="str"/>
      <c r="J260" s="54" t="str"/>
      <c r="K260" s="54" t="str"/>
      <c r="L260" s="55" t="n">
        <v>450</v>
      </c>
      <c r="M260" s="54" t="str"/>
      <c r="N260" s="54" t="inlineStr">
        <is>
          <t>Matched to Munitorum Field Manual v2.3</t>
        </is>
      </c>
      <c r="O260" s="54" t="inlineStr">
        <is>
          <t>Uploaded PDF: Munitorum Field Manual v2.3 / March 2025, p.8</t>
        </is>
      </c>
    </row>
    <row r="261">
      <c r="A261" s="54" t="inlineStr">
        <is>
          <t>Astra Militarum</t>
        </is>
      </c>
      <c r="B261" s="54" t="str"/>
      <c r="C261" s="54" t="inlineStr">
        <is>
          <t>Vehicle / Support</t>
        </is>
      </c>
      <c r="D261" s="54" t="inlineStr">
        <is>
          <t>Super-heavy Vehicle/Monster</t>
        </is>
      </c>
      <c r="E261" s="54" t="inlineStr">
        <is>
          <t>Banesword</t>
        </is>
      </c>
      <c r="F261" s="54" t="inlineStr">
        <is>
          <t>1 model</t>
        </is>
      </c>
      <c r="G261" s="54" t="inlineStr">
        <is>
          <t>Super-heavy Vehicle/Monster</t>
        </is>
      </c>
      <c r="H261" s="54" t="str"/>
      <c r="I261" s="54" t="str"/>
      <c r="J261" s="54" t="str"/>
      <c r="K261" s="54" t="str"/>
      <c r="L261" s="55" t="n">
        <v>480</v>
      </c>
      <c r="M261" s="54" t="str"/>
      <c r="N261" s="54" t="inlineStr">
        <is>
          <t>Matched to Munitorum Field Manual v2.3</t>
        </is>
      </c>
      <c r="O261" s="54" t="inlineStr">
        <is>
          <t>Uploaded PDF: Munitorum Field Manual v2.3 / March 2025, p.8</t>
        </is>
      </c>
    </row>
    <row r="262">
      <c r="A262" s="54" t="inlineStr">
        <is>
          <t>Astra Militarum</t>
        </is>
      </c>
      <c r="B262" s="54" t="str"/>
      <c r="C262" s="54" t="inlineStr">
        <is>
          <t>Vehicle / Support</t>
        </is>
      </c>
      <c r="D262" s="54" t="inlineStr">
        <is>
          <t>Vehicle</t>
        </is>
      </c>
      <c r="E262" s="54" t="inlineStr">
        <is>
          <t>Basilisk</t>
        </is>
      </c>
      <c r="F262" s="54" t="inlineStr">
        <is>
          <t>1 model</t>
        </is>
      </c>
      <c r="G262" s="54" t="inlineStr">
        <is>
          <t>Vehicle</t>
        </is>
      </c>
      <c r="H262" s="54" t="str"/>
      <c r="I262" s="54" t="str"/>
      <c r="J262" s="54" t="str"/>
      <c r="K262" s="54" t="str"/>
      <c r="L262" s="55" t="n">
        <v>140</v>
      </c>
      <c r="M262" s="54" t="str"/>
      <c r="N262" s="54" t="inlineStr">
        <is>
          <t>Matched to Munitorum Field Manual v2.3</t>
        </is>
      </c>
      <c r="O262" s="54" t="inlineStr">
        <is>
          <t>Uploaded PDF: Munitorum Field Manual v2.3 / March 2025, p.8</t>
        </is>
      </c>
    </row>
    <row r="263">
      <c r="A263" s="54" t="inlineStr">
        <is>
          <t>Astra Militarum</t>
        </is>
      </c>
      <c r="B263" s="54" t="str"/>
      <c r="C263" s="54" t="inlineStr">
        <is>
          <t>Infantry / Other</t>
        </is>
      </c>
      <c r="D263" s="54" t="inlineStr">
        <is>
          <t>Infantry</t>
        </is>
      </c>
      <c r="E263" s="54" t="inlineStr">
        <is>
          <t>Bullgryn Squad</t>
        </is>
      </c>
      <c r="F263" s="54" t="inlineStr">
        <is>
          <t>3 models</t>
        </is>
      </c>
      <c r="G263" s="54" t="inlineStr">
        <is>
          <t>Infantry</t>
        </is>
      </c>
      <c r="H263" s="54" t="str"/>
      <c r="I263" s="54" t="str"/>
      <c r="J263" s="54" t="str"/>
      <c r="K263" s="54" t="str"/>
      <c r="L263" s="55" t="n">
        <v>110</v>
      </c>
      <c r="M263" s="54" t="inlineStr">
        <is>
          <t>Points options: 3 models = 110 pts; 6 models = 220 pts</t>
        </is>
      </c>
      <c r="N263" s="54" t="inlineStr">
        <is>
          <t>Matched to Munitorum Field Manual v2.3</t>
        </is>
      </c>
      <c r="O263" s="54" t="inlineStr">
        <is>
          <t>Uploaded PDF: Munitorum Field Manual v2.3 / March 2025, p.8</t>
        </is>
      </c>
    </row>
    <row r="264">
      <c r="A264" s="54" t="inlineStr">
        <is>
          <t>Astra Militarum</t>
        </is>
      </c>
      <c r="B264" s="54" t="str"/>
      <c r="C264" s="54" t="inlineStr">
        <is>
          <t>Infantry / Other</t>
        </is>
      </c>
      <c r="D264" s="54" t="inlineStr">
        <is>
          <t>Infantry</t>
        </is>
      </c>
      <c r="E264" s="54" t="inlineStr">
        <is>
          <t>Cadian Castellan</t>
        </is>
      </c>
      <c r="F264" s="54" t="inlineStr">
        <is>
          <t>1 model</t>
        </is>
      </c>
      <c r="G264" s="54" t="inlineStr">
        <is>
          <t>Infantry</t>
        </is>
      </c>
      <c r="H264" s="54" t="str"/>
      <c r="I264" s="54" t="str"/>
      <c r="J264" s="54" t="str"/>
      <c r="K264" s="54" t="str"/>
      <c r="L264" s="55" t="n">
        <v>55</v>
      </c>
      <c r="M264" s="54" t="str"/>
      <c r="N264" s="54" t="inlineStr">
        <is>
          <t>Matched to Munitorum Field Manual v2.3</t>
        </is>
      </c>
      <c r="O264" s="54" t="inlineStr">
        <is>
          <t>Uploaded PDF: Munitorum Field Manual v2.3 / March 2025, p.8</t>
        </is>
      </c>
    </row>
    <row r="265">
      <c r="A265" s="54" t="inlineStr">
        <is>
          <t>Astra Militarum</t>
        </is>
      </c>
      <c r="B265" s="54" t="str"/>
      <c r="C265" s="54" t="inlineStr">
        <is>
          <t>Infantry / Other</t>
        </is>
      </c>
      <c r="D265" s="54" t="inlineStr">
        <is>
          <t>Infantry</t>
        </is>
      </c>
      <c r="E265" s="54" t="inlineStr">
        <is>
          <t>Cadian Command Squad</t>
        </is>
      </c>
      <c r="F265" s="54" t="inlineStr">
        <is>
          <t>5 models</t>
        </is>
      </c>
      <c r="G265" s="54" t="inlineStr">
        <is>
          <t>Infantry</t>
        </is>
      </c>
      <c r="H265" s="54" t="str"/>
      <c r="I265" s="54" t="str"/>
      <c r="J265" s="54" t="str"/>
      <c r="K265" s="54" t="str"/>
      <c r="L265" s="55" t="n">
        <v>65</v>
      </c>
      <c r="M265" s="54" t="str"/>
      <c r="N265" s="54" t="inlineStr">
        <is>
          <t>Matched to Munitorum Field Manual v2.3</t>
        </is>
      </c>
      <c r="O265" s="54" t="inlineStr">
        <is>
          <t>Uploaded PDF: Munitorum Field Manual v2.3 / March 2025, p.8</t>
        </is>
      </c>
    </row>
    <row r="266">
      <c r="A266" s="54" t="inlineStr">
        <is>
          <t>Astra Militarum</t>
        </is>
      </c>
      <c r="B266" s="54" t="str"/>
      <c r="C266" s="54" t="inlineStr">
        <is>
          <t>Battleline / Core</t>
        </is>
      </c>
      <c r="D266" s="54" t="inlineStr">
        <is>
          <t>Infantry</t>
        </is>
      </c>
      <c r="E266" s="54" t="inlineStr">
        <is>
          <t>Cadian Shock Troops</t>
        </is>
      </c>
      <c r="F266" s="54" t="inlineStr">
        <is>
          <t>10 models</t>
        </is>
      </c>
      <c r="G266" s="54" t="inlineStr">
        <is>
          <t>Infantry</t>
        </is>
      </c>
      <c r="H266" s="54" t="str"/>
      <c r="I266" s="54" t="str"/>
      <c r="J266" s="54" t="str"/>
      <c r="K266" s="54" t="str"/>
      <c r="L266" s="55" t="n">
        <v>65</v>
      </c>
      <c r="M266" s="54" t="inlineStr">
        <is>
          <t>Points options: 10 models = 65 pts; 20 models = 120 pts</t>
        </is>
      </c>
      <c r="N266" s="54" t="inlineStr">
        <is>
          <t>Matched to Munitorum Field Manual v2.3</t>
        </is>
      </c>
      <c r="O266" s="54" t="inlineStr">
        <is>
          <t>Uploaded PDF: Munitorum Field Manual v2.3 / March 2025, p.8</t>
        </is>
      </c>
    </row>
    <row r="267">
      <c r="A267" s="54" t="inlineStr">
        <is>
          <t>Astra Militarum</t>
        </is>
      </c>
      <c r="B267" s="54" t="str"/>
      <c r="C267" s="54" t="inlineStr">
        <is>
          <t>Infantry / Other</t>
        </is>
      </c>
      <c r="D267" s="54" t="inlineStr">
        <is>
          <t>Infantry</t>
        </is>
      </c>
      <c r="E267" s="54" t="inlineStr">
        <is>
          <t>Catachan Jungle Fighters</t>
        </is>
      </c>
      <c r="F267" s="54" t="inlineStr">
        <is>
          <t>10 models</t>
        </is>
      </c>
      <c r="G267" s="54" t="inlineStr">
        <is>
          <t>Infantry</t>
        </is>
      </c>
      <c r="H267" s="54" t="str"/>
      <c r="I267" s="54" t="str"/>
      <c r="J267" s="54" t="str"/>
      <c r="K267" s="54" t="str"/>
      <c r="L267" s="55" t="n">
        <v>65</v>
      </c>
      <c r="M267" s="54" t="inlineStr">
        <is>
          <t>Points options: 10 models = 65 pts; 20 models = 120 pts</t>
        </is>
      </c>
      <c r="N267" s="54" t="inlineStr">
        <is>
          <t>Matched to Munitorum Field Manual v2.3</t>
        </is>
      </c>
      <c r="O267" s="54" t="inlineStr">
        <is>
          <t>Uploaded PDF: Munitorum Field Manual v2.3 / March 2025, p.8</t>
        </is>
      </c>
    </row>
    <row r="268">
      <c r="A268" s="54" t="inlineStr">
        <is>
          <t>Astra Militarum</t>
        </is>
      </c>
      <c r="B268" s="54" t="str"/>
      <c r="C268" s="54" t="inlineStr">
        <is>
          <t>Vehicle / Support</t>
        </is>
      </c>
      <c r="D268" s="54" t="inlineStr">
        <is>
          <t>Vehicle</t>
        </is>
      </c>
      <c r="E268" s="54" t="inlineStr">
        <is>
          <t>Chimera</t>
        </is>
      </c>
      <c r="F268" s="54" t="inlineStr">
        <is>
          <t>1 model</t>
        </is>
      </c>
      <c r="G268" s="54" t="inlineStr">
        <is>
          <t>Vehicle</t>
        </is>
      </c>
      <c r="H268" s="54" t="str"/>
      <c r="I268" s="54" t="str"/>
      <c r="J268" s="54" t="str"/>
      <c r="K268" s="54" t="str"/>
      <c r="L268" s="55" t="n">
        <v>85</v>
      </c>
      <c r="M268" s="54" t="str"/>
      <c r="N268" s="54" t="inlineStr">
        <is>
          <t>Matched to Munitorum Field Manual v2.3</t>
        </is>
      </c>
      <c r="O268" s="54" t="inlineStr">
        <is>
          <t>Uploaded PDF: Munitorum Field Manual v2.3 / March 2025, p.8</t>
        </is>
      </c>
    </row>
    <row r="269">
      <c r="A269" s="54" t="inlineStr">
        <is>
          <t>Astra Militarum</t>
        </is>
      </c>
      <c r="B269" s="54" t="str"/>
      <c r="C269" s="54" t="inlineStr">
        <is>
          <t>Character</t>
        </is>
      </c>
      <c r="D269" s="54" t="inlineStr">
        <is>
          <t>Character</t>
        </is>
      </c>
      <c r="E269" s="54" t="inlineStr">
        <is>
          <t>Commissar</t>
        </is>
      </c>
      <c r="F269" s="54" t="inlineStr">
        <is>
          <t>1 model</t>
        </is>
      </c>
      <c r="G269" s="54" t="inlineStr">
        <is>
          <t>Character</t>
        </is>
      </c>
      <c r="H269" s="54" t="str"/>
      <c r="I269" s="54" t="str"/>
      <c r="J269" s="54" t="str"/>
      <c r="K269" s="54" t="str"/>
      <c r="L269" s="55" t="n">
        <v>30</v>
      </c>
      <c r="M269" s="54" t="str"/>
      <c r="N269" s="54" t="inlineStr">
        <is>
          <t>Matched to Munitorum Field Manual v2.3</t>
        </is>
      </c>
      <c r="O269" s="54" t="inlineStr">
        <is>
          <t>Uploaded PDF: Munitorum Field Manual v2.3 / March 2025, p.8</t>
        </is>
      </c>
    </row>
    <row r="270">
      <c r="A270" s="54" t="inlineStr">
        <is>
          <t>Astra Militarum</t>
        </is>
      </c>
      <c r="B270" s="54" t="str"/>
      <c r="C270" s="54" t="inlineStr">
        <is>
          <t>Character</t>
        </is>
      </c>
      <c r="D270" s="54" t="inlineStr">
        <is>
          <t>Character</t>
        </is>
      </c>
      <c r="E270" s="54" t="inlineStr">
        <is>
          <t>Death Korps Marshal</t>
        </is>
      </c>
      <c r="F270" s="54" t="n"/>
      <c r="G270" s="54" t="inlineStr">
        <is>
          <t>Character</t>
        </is>
      </c>
      <c r="H270" s="54" t="str"/>
      <c r="I270" s="54" t="str"/>
      <c r="J270" s="54" t="str"/>
      <c r="K270" s="54" t="str"/>
      <c r="L270" s="55" t="n"/>
      <c r="M270" s="54" t="inlineStr">
        <is>
          <t>No matching points entry found in uploaded PDF; verify unit name/current support.</t>
        </is>
      </c>
      <c r="N270" s="54" t="inlineStr">
        <is>
          <t>Not found in uploaded PDF</t>
        </is>
      </c>
      <c r="O270" s="54" t="inlineStr">
        <is>
          <t>Uploaded PDF: Munitorum Field Manual v2.3 / March 2025</t>
        </is>
      </c>
    </row>
    <row r="271">
      <c r="A271" s="54" t="inlineStr">
        <is>
          <t>Astra Militarum</t>
        </is>
      </c>
      <c r="B271" s="54" t="str"/>
      <c r="C271" s="54" t="inlineStr">
        <is>
          <t>Infantry / Other</t>
        </is>
      </c>
      <c r="D271" s="54" t="inlineStr">
        <is>
          <t>Infantry</t>
        </is>
      </c>
      <c r="E271" s="54" t="inlineStr">
        <is>
          <t>Death Korps of Krieg</t>
        </is>
      </c>
      <c r="F271" s="54" t="inlineStr">
        <is>
          <t>10 models</t>
        </is>
      </c>
      <c r="G271" s="54" t="inlineStr">
        <is>
          <t>Infantry</t>
        </is>
      </c>
      <c r="H271" s="54" t="str"/>
      <c r="I271" s="54" t="str"/>
      <c r="J271" s="54" t="str"/>
      <c r="K271" s="54" t="str"/>
      <c r="L271" s="55" t="n">
        <v>65</v>
      </c>
      <c r="M271" s="54" t="inlineStr">
        <is>
          <t>Points options: 10 models = 65 pts; 20 models = 130 pts</t>
        </is>
      </c>
      <c r="N271" s="54" t="inlineStr">
        <is>
          <t>Matched to Munitorum Field Manual v2.3</t>
        </is>
      </c>
      <c r="O271" s="54" t="inlineStr">
        <is>
          <t>Uploaded PDF: Munitorum Field Manual v2.3 / March 2025, p.8</t>
        </is>
      </c>
    </row>
    <row r="272">
      <c r="A272" s="54" t="inlineStr">
        <is>
          <t>Astra Militarum</t>
        </is>
      </c>
      <c r="B272" s="54" t="str"/>
      <c r="C272" s="54" t="inlineStr">
        <is>
          <t>Vehicle / Support</t>
        </is>
      </c>
      <c r="D272" s="54" t="inlineStr">
        <is>
          <t>Super-heavy Vehicle/Monster</t>
        </is>
      </c>
      <c r="E272" s="54" t="inlineStr">
        <is>
          <t>Doomhammer</t>
        </is>
      </c>
      <c r="F272" s="54" t="inlineStr">
        <is>
          <t>1 model</t>
        </is>
      </c>
      <c r="G272" s="54" t="inlineStr">
        <is>
          <t>Super-heavy Vehicle/Monster</t>
        </is>
      </c>
      <c r="H272" s="54" t="str"/>
      <c r="I272" s="54" t="str"/>
      <c r="J272" s="54" t="str"/>
      <c r="K272" s="54" t="str"/>
      <c r="L272" s="55" t="n">
        <v>445</v>
      </c>
      <c r="M272" s="54" t="str"/>
      <c r="N272" s="54" t="inlineStr">
        <is>
          <t>Matched to Munitorum Field Manual v2.3</t>
        </is>
      </c>
      <c r="O272" s="54" t="inlineStr">
        <is>
          <t>Uploaded PDF: Munitorum Field Manual v2.3 / March 2025, p.8</t>
        </is>
      </c>
    </row>
    <row r="273">
      <c r="A273" s="54" t="inlineStr">
        <is>
          <t>Astra Militarum</t>
        </is>
      </c>
      <c r="B273" s="54" t="str"/>
      <c r="C273" s="54" t="inlineStr">
        <is>
          <t>Infantry / Other</t>
        </is>
      </c>
      <c r="D273" s="54" t="inlineStr">
        <is>
          <t>Infantry</t>
        </is>
      </c>
      <c r="E273" s="54" t="inlineStr">
        <is>
          <t>Earthshaker Carriage Battery</t>
        </is>
      </c>
      <c r="F273" s="54" t="n"/>
      <c r="G273" s="54" t="inlineStr">
        <is>
          <t>Infantry</t>
        </is>
      </c>
      <c r="H273" s="54" t="str"/>
      <c r="I273" s="54" t="str"/>
      <c r="J273" s="54" t="str"/>
      <c r="K273" s="54" t="str"/>
      <c r="L273" s="55" t="n"/>
      <c r="M273" s="54" t="inlineStr">
        <is>
          <t>No matching points entry found in uploaded PDF; verify unit name/current support.</t>
        </is>
      </c>
      <c r="N273" s="54" t="inlineStr">
        <is>
          <t>Not found in uploaded PDF</t>
        </is>
      </c>
      <c r="O273" s="54" t="inlineStr">
        <is>
          <t>Uploaded PDF: Munitorum Field Manual v2.3 / March 2025</t>
        </is>
      </c>
    </row>
    <row r="274">
      <c r="A274" s="54" t="inlineStr">
        <is>
          <t>Astra Militarum</t>
        </is>
      </c>
      <c r="B274" s="54" t="str"/>
      <c r="C274" s="54" t="inlineStr">
        <is>
          <t>Infantry / Other</t>
        </is>
      </c>
      <c r="D274" s="54" t="inlineStr">
        <is>
          <t>Infantry</t>
        </is>
      </c>
      <c r="E274" s="54" t="inlineStr">
        <is>
          <t>Field Ordnance Battery</t>
        </is>
      </c>
      <c r="F274" s="54" t="inlineStr">
        <is>
          <t>2 models</t>
        </is>
      </c>
      <c r="G274" s="54" t="inlineStr">
        <is>
          <t>Infantry</t>
        </is>
      </c>
      <c r="H274" s="54" t="str"/>
      <c r="I274" s="54" t="str"/>
      <c r="J274" s="54" t="str"/>
      <c r="K274" s="54" t="str"/>
      <c r="L274" s="55" t="n">
        <v>110</v>
      </c>
      <c r="M274" s="54" t="str"/>
      <c r="N274" s="54" t="inlineStr">
        <is>
          <t>Matched to Munitorum Field Manual v2.3</t>
        </is>
      </c>
      <c r="O274" s="54" t="inlineStr">
        <is>
          <t>Uploaded PDF: Munitorum Field Manual v2.3 / March 2025, p.8</t>
        </is>
      </c>
    </row>
    <row r="275">
      <c r="A275" s="54" t="inlineStr">
        <is>
          <t>Astra Militarum</t>
        </is>
      </c>
      <c r="B275" s="54" t="str"/>
      <c r="C275" s="54" t="inlineStr">
        <is>
          <t>Character</t>
        </is>
      </c>
      <c r="D275" s="54" t="inlineStr">
        <is>
          <t>Character</t>
        </is>
      </c>
      <c r="E275" s="54" t="inlineStr">
        <is>
          <t>Gaunt's Ghosts</t>
        </is>
      </c>
      <c r="F275" s="54" t="inlineStr">
        <is>
          <t>6 models</t>
        </is>
      </c>
      <c r="G275" s="54" t="inlineStr">
        <is>
          <t>Character</t>
        </is>
      </c>
      <c r="H275" s="54" t="str"/>
      <c r="I275" s="54" t="str"/>
      <c r="J275" s="54" t="str"/>
      <c r="K275" s="54" t="str"/>
      <c r="L275" s="55" t="n">
        <v>110</v>
      </c>
      <c r="M275" s="54" t="str"/>
      <c r="N275" s="54" t="inlineStr">
        <is>
          <t>Matched to Munitorum Field Manual v2.3</t>
        </is>
      </c>
      <c r="O275" s="54" t="inlineStr">
        <is>
          <t>Uploaded PDF: Munitorum Field Manual v2.3 / March 2025, p.8</t>
        </is>
      </c>
    </row>
    <row r="276">
      <c r="A276" s="54" t="inlineStr">
        <is>
          <t>Astra Militarum</t>
        </is>
      </c>
      <c r="B276" s="54" t="str"/>
      <c r="C276" s="54" t="inlineStr">
        <is>
          <t>Infantry / Other</t>
        </is>
      </c>
      <c r="D276" s="54" t="inlineStr">
        <is>
          <t>Infantry</t>
        </is>
      </c>
      <c r="E276" s="54" t="inlineStr">
        <is>
          <t>Heavy Weapons Squad</t>
        </is>
      </c>
      <c r="F276" s="54" t="n"/>
      <c r="G276" s="54" t="inlineStr">
        <is>
          <t>Infantry</t>
        </is>
      </c>
      <c r="H276" s="54" t="str"/>
      <c r="I276" s="54" t="str"/>
      <c r="J276" s="54" t="str"/>
      <c r="K276" s="54" t="str"/>
      <c r="L276" s="55" t="n"/>
      <c r="M276" s="54" t="inlineStr">
        <is>
          <t>No matching points entry found in uploaded PDF; verify unit name/current support.</t>
        </is>
      </c>
      <c r="N276" s="54" t="inlineStr">
        <is>
          <t>Not found in uploaded PDF</t>
        </is>
      </c>
      <c r="O276" s="54" t="inlineStr">
        <is>
          <t>Uploaded PDF: Munitorum Field Manual v2.3 / March 2025</t>
        </is>
      </c>
    </row>
    <row r="277">
      <c r="A277" s="54" t="inlineStr">
        <is>
          <t>Astra Militarum</t>
        </is>
      </c>
      <c r="B277" s="54" t="str"/>
      <c r="C277" s="54" t="inlineStr">
        <is>
          <t>Vehicle / Support</t>
        </is>
      </c>
      <c r="D277" s="54" t="inlineStr">
        <is>
          <t>Super-heavy Vehicle/Monster</t>
        </is>
      </c>
      <c r="E277" s="54" t="inlineStr">
        <is>
          <t>Hellhammer</t>
        </is>
      </c>
      <c r="F277" s="54" t="inlineStr">
        <is>
          <t>1 model</t>
        </is>
      </c>
      <c r="G277" s="54" t="inlineStr">
        <is>
          <t>Super-heavy Vehicle/Monster</t>
        </is>
      </c>
      <c r="H277" s="54" t="str"/>
      <c r="I277" s="54" t="str"/>
      <c r="J277" s="54" t="str"/>
      <c r="K277" s="54" t="str"/>
      <c r="L277" s="55" t="n">
        <v>450</v>
      </c>
      <c r="M277" s="54" t="str"/>
      <c r="N277" s="54" t="inlineStr">
        <is>
          <t>Matched to Munitorum Field Manual v2.3</t>
        </is>
      </c>
      <c r="O277" s="54" t="inlineStr">
        <is>
          <t>Uploaded PDF: Munitorum Field Manual v2.3 / March 2025, p.8</t>
        </is>
      </c>
    </row>
    <row r="278">
      <c r="A278" s="54" t="inlineStr">
        <is>
          <t>Astra Militarum</t>
        </is>
      </c>
      <c r="B278" s="54" t="str"/>
      <c r="C278" s="54" t="inlineStr">
        <is>
          <t>Vehicle / Support</t>
        </is>
      </c>
      <c r="D278" s="54" t="inlineStr">
        <is>
          <t>Vehicle</t>
        </is>
      </c>
      <c r="E278" s="54" t="inlineStr">
        <is>
          <t>Hellhound</t>
        </is>
      </c>
      <c r="F278" s="54" t="inlineStr">
        <is>
          <t>1 model</t>
        </is>
      </c>
      <c r="G278" s="54" t="inlineStr">
        <is>
          <t>Vehicle</t>
        </is>
      </c>
      <c r="H278" s="54" t="str"/>
      <c r="I278" s="54" t="str"/>
      <c r="J278" s="54" t="str"/>
      <c r="K278" s="54" t="str"/>
      <c r="L278" s="55" t="n">
        <v>125</v>
      </c>
      <c r="M278" s="54" t="str"/>
      <c r="N278" s="54" t="inlineStr">
        <is>
          <t>Matched to Munitorum Field Manual v2.3</t>
        </is>
      </c>
      <c r="O278" s="54" t="inlineStr">
        <is>
          <t>Uploaded PDF: Munitorum Field Manual v2.3 / March 2025, p.8</t>
        </is>
      </c>
    </row>
    <row r="279">
      <c r="A279" s="54" t="inlineStr">
        <is>
          <t>Astra Militarum</t>
        </is>
      </c>
      <c r="B279" s="54" t="str"/>
      <c r="C279" s="54" t="inlineStr">
        <is>
          <t>Vehicle / Support</t>
        </is>
      </c>
      <c r="D279" s="54" t="inlineStr">
        <is>
          <t>Vehicle</t>
        </is>
      </c>
      <c r="E279" s="54" t="inlineStr">
        <is>
          <t>Hydra</t>
        </is>
      </c>
      <c r="F279" s="54" t="inlineStr">
        <is>
          <t>1 model</t>
        </is>
      </c>
      <c r="G279" s="54" t="inlineStr">
        <is>
          <t>Vehicle</t>
        </is>
      </c>
      <c r="H279" s="54" t="str"/>
      <c r="I279" s="54" t="str"/>
      <c r="J279" s="54" t="str"/>
      <c r="K279" s="54" t="str"/>
      <c r="L279" s="55" t="n">
        <v>95</v>
      </c>
      <c r="M279" s="54" t="str"/>
      <c r="N279" s="54" t="inlineStr">
        <is>
          <t>Matched to Munitorum Field Manual v2.3</t>
        </is>
      </c>
      <c r="O279" s="54" t="inlineStr">
        <is>
          <t>Uploaded PDF: Munitorum Field Manual v2.3 / March 2025, p.8</t>
        </is>
      </c>
    </row>
    <row r="280">
      <c r="A280" s="54" t="inlineStr">
        <is>
          <t>Astra Militarum</t>
        </is>
      </c>
      <c r="B280" s="54" t="str"/>
      <c r="C280" s="54" t="inlineStr">
        <is>
          <t>Battleline / Core</t>
        </is>
      </c>
      <c r="D280" s="54" t="inlineStr">
        <is>
          <t>Infantry</t>
        </is>
      </c>
      <c r="E280" s="54" t="inlineStr">
        <is>
          <t>Infantry Squad</t>
        </is>
      </c>
      <c r="F280" s="54" t="n"/>
      <c r="G280" s="54" t="inlineStr">
        <is>
          <t>Infantry</t>
        </is>
      </c>
      <c r="H280" s="54" t="str"/>
      <c r="I280" s="54" t="str"/>
      <c r="J280" s="54" t="str"/>
      <c r="K280" s="54" t="str"/>
      <c r="L280" s="55" t="n"/>
      <c r="M280" s="54" t="inlineStr">
        <is>
          <t>No matching points entry found in uploaded PDF; verify unit name/current support.</t>
        </is>
      </c>
      <c r="N280" s="54" t="inlineStr">
        <is>
          <t>Not found in uploaded PDF</t>
        </is>
      </c>
      <c r="O280" s="54" t="inlineStr">
        <is>
          <t>Uploaded PDF: Munitorum Field Manual v2.3 / March 2025</t>
        </is>
      </c>
    </row>
    <row r="281">
      <c r="A281" s="54" t="inlineStr">
        <is>
          <t>Astra Militarum</t>
        </is>
      </c>
      <c r="B281" s="54" t="str"/>
      <c r="C281" s="54" t="inlineStr">
        <is>
          <t>Infantry / Other</t>
        </is>
      </c>
      <c r="D281" s="54" t="inlineStr">
        <is>
          <t>Infantry</t>
        </is>
      </c>
      <c r="E281" s="54" t="inlineStr">
        <is>
          <t>Kasrkin</t>
        </is>
      </c>
      <c r="F281" s="54" t="inlineStr">
        <is>
          <t>10 models</t>
        </is>
      </c>
      <c r="G281" s="54" t="inlineStr">
        <is>
          <t>Infantry</t>
        </is>
      </c>
      <c r="H281" s="54" t="str"/>
      <c r="I281" s="54" t="str"/>
      <c r="J281" s="54" t="str"/>
      <c r="K281" s="54" t="str"/>
      <c r="L281" s="55" t="n">
        <v>110</v>
      </c>
      <c r="M281" s="54" t="str"/>
      <c r="N281" s="54" t="inlineStr">
        <is>
          <t>Matched to Munitorum Field Manual v2.3</t>
        </is>
      </c>
      <c r="O281" s="54" t="inlineStr">
        <is>
          <t>Uploaded PDF: Munitorum Field Manual v2.3 / March 2025, p.8</t>
        </is>
      </c>
    </row>
    <row r="282">
      <c r="A282" s="54" t="inlineStr">
        <is>
          <t>Astra Militarum</t>
        </is>
      </c>
      <c r="B282" s="54" t="str"/>
      <c r="C282" s="54" t="inlineStr">
        <is>
          <t>Vehicle / Support</t>
        </is>
      </c>
      <c r="D282" s="54" t="inlineStr">
        <is>
          <t>Vehicle</t>
        </is>
      </c>
      <c r="E282" s="54" t="inlineStr">
        <is>
          <t>Leman Russ Battle Tank</t>
        </is>
      </c>
      <c r="F282" s="54" t="inlineStr">
        <is>
          <t>1 model</t>
        </is>
      </c>
      <c r="G282" s="54" t="inlineStr">
        <is>
          <t>Vehicle</t>
        </is>
      </c>
      <c r="H282" s="54" t="str"/>
      <c r="I282" s="54" t="str"/>
      <c r="J282" s="54" t="str"/>
      <c r="K282" s="54" t="str"/>
      <c r="L282" s="55" t="n">
        <v>175</v>
      </c>
      <c r="M282" s="54" t="str"/>
      <c r="N282" s="54" t="inlineStr">
        <is>
          <t>Matched to Munitorum Field Manual v2.3</t>
        </is>
      </c>
      <c r="O282" s="54" t="inlineStr">
        <is>
          <t>Uploaded PDF: Munitorum Field Manual v2.3 / March 2025, p.8</t>
        </is>
      </c>
    </row>
    <row r="283">
      <c r="A283" s="54" t="inlineStr">
        <is>
          <t>Astra Militarum</t>
        </is>
      </c>
      <c r="B283" s="54" t="str"/>
      <c r="C283" s="54" t="inlineStr">
        <is>
          <t>Vehicle / Support</t>
        </is>
      </c>
      <c r="D283" s="54" t="inlineStr">
        <is>
          <t>Vehicle</t>
        </is>
      </c>
      <c r="E283" s="54" t="inlineStr">
        <is>
          <t>Leman Russ Demolisher</t>
        </is>
      </c>
      <c r="F283" s="54" t="inlineStr">
        <is>
          <t>1 model</t>
        </is>
      </c>
      <c r="G283" s="54" t="inlineStr">
        <is>
          <t>Vehicle</t>
        </is>
      </c>
      <c r="H283" s="54" t="str"/>
      <c r="I283" s="54" t="str"/>
      <c r="J283" s="54" t="str"/>
      <c r="K283" s="54" t="str"/>
      <c r="L283" s="55" t="n">
        <v>190</v>
      </c>
      <c r="M283" s="54" t="str"/>
      <c r="N283" s="54" t="inlineStr">
        <is>
          <t>Matched to Munitorum Field Manual v2.3</t>
        </is>
      </c>
      <c r="O283" s="54" t="inlineStr">
        <is>
          <t>Uploaded PDF: Munitorum Field Manual v2.3 / March 2025, p.8</t>
        </is>
      </c>
    </row>
    <row r="284">
      <c r="A284" s="54" t="inlineStr">
        <is>
          <t>Astra Militarum</t>
        </is>
      </c>
      <c r="B284" s="54" t="str"/>
      <c r="C284" s="54" t="inlineStr">
        <is>
          <t>Vehicle / Support</t>
        </is>
      </c>
      <c r="D284" s="54" t="inlineStr">
        <is>
          <t>Vehicle</t>
        </is>
      </c>
      <c r="E284" s="54" t="inlineStr">
        <is>
          <t>Leman Russ Eradicator</t>
        </is>
      </c>
      <c r="F284" s="54" t="inlineStr">
        <is>
          <t>1 model</t>
        </is>
      </c>
      <c r="G284" s="54" t="inlineStr">
        <is>
          <t>Vehicle</t>
        </is>
      </c>
      <c r="H284" s="54" t="str"/>
      <c r="I284" s="54" t="str"/>
      <c r="J284" s="54" t="str"/>
      <c r="K284" s="54" t="str"/>
      <c r="L284" s="55" t="n">
        <v>170</v>
      </c>
      <c r="M284" s="54" t="str"/>
      <c r="N284" s="54" t="inlineStr">
        <is>
          <t>Matched to Munitorum Field Manual v2.3</t>
        </is>
      </c>
      <c r="O284" s="54" t="inlineStr">
        <is>
          <t>Uploaded PDF: Munitorum Field Manual v2.3 / March 2025, p.8</t>
        </is>
      </c>
    </row>
    <row r="285">
      <c r="A285" s="54" t="inlineStr">
        <is>
          <t>Astra Militarum</t>
        </is>
      </c>
      <c r="B285" s="54" t="str"/>
      <c r="C285" s="54" t="inlineStr">
        <is>
          <t>Vehicle / Support</t>
        </is>
      </c>
      <c r="D285" s="54" t="inlineStr">
        <is>
          <t>Vehicle</t>
        </is>
      </c>
      <c r="E285" s="54" t="inlineStr">
        <is>
          <t>Leman Russ Executioner</t>
        </is>
      </c>
      <c r="F285" s="54" t="inlineStr">
        <is>
          <t>1 model</t>
        </is>
      </c>
      <c r="G285" s="54" t="inlineStr">
        <is>
          <t>Vehicle</t>
        </is>
      </c>
      <c r="H285" s="54" t="str"/>
      <c r="I285" s="54" t="str"/>
      <c r="J285" s="54" t="str"/>
      <c r="K285" s="54" t="str"/>
      <c r="L285" s="55" t="n">
        <v>170</v>
      </c>
      <c r="M285" s="54" t="str"/>
      <c r="N285" s="54" t="inlineStr">
        <is>
          <t>Matched to Munitorum Field Manual v2.3</t>
        </is>
      </c>
      <c r="O285" s="54" t="inlineStr">
        <is>
          <t>Uploaded PDF: Munitorum Field Manual v2.3 / March 2025, p.8</t>
        </is>
      </c>
    </row>
    <row r="286">
      <c r="A286" s="54" t="inlineStr">
        <is>
          <t>Astra Militarum</t>
        </is>
      </c>
      <c r="B286" s="54" t="str"/>
      <c r="C286" s="54" t="inlineStr">
        <is>
          <t>Vehicle / Support</t>
        </is>
      </c>
      <c r="D286" s="54" t="inlineStr">
        <is>
          <t>Vehicle</t>
        </is>
      </c>
      <c r="E286" s="54" t="inlineStr">
        <is>
          <t>Leman Russ Exterminator</t>
        </is>
      </c>
      <c r="F286" s="54" t="inlineStr">
        <is>
          <t>1 model</t>
        </is>
      </c>
      <c r="G286" s="54" t="inlineStr">
        <is>
          <t>Vehicle</t>
        </is>
      </c>
      <c r="H286" s="54" t="str"/>
      <c r="I286" s="54" t="str"/>
      <c r="J286" s="54" t="str"/>
      <c r="K286" s="54" t="str"/>
      <c r="L286" s="55" t="n">
        <v>180</v>
      </c>
      <c r="M286" s="54" t="str"/>
      <c r="N286" s="54" t="inlineStr">
        <is>
          <t>Matched to Munitorum Field Manual v2.3</t>
        </is>
      </c>
      <c r="O286" s="54" t="inlineStr">
        <is>
          <t>Uploaded PDF: Munitorum Field Manual v2.3 / March 2025, p.8</t>
        </is>
      </c>
    </row>
    <row r="287">
      <c r="A287" s="54" t="inlineStr">
        <is>
          <t>Astra Militarum</t>
        </is>
      </c>
      <c r="B287" s="54" t="str"/>
      <c r="C287" s="54" t="inlineStr">
        <is>
          <t>Vehicle / Support</t>
        </is>
      </c>
      <c r="D287" s="54" t="inlineStr">
        <is>
          <t>Vehicle</t>
        </is>
      </c>
      <c r="E287" s="54" t="inlineStr">
        <is>
          <t>Leman Russ Punisher</t>
        </is>
      </c>
      <c r="F287" s="54" t="inlineStr">
        <is>
          <t>1 model</t>
        </is>
      </c>
      <c r="G287" s="54" t="inlineStr">
        <is>
          <t>Vehicle</t>
        </is>
      </c>
      <c r="H287" s="54" t="str"/>
      <c r="I287" s="54" t="str"/>
      <c r="J287" s="54" t="str"/>
      <c r="K287" s="54" t="str"/>
      <c r="L287" s="55" t="n">
        <v>150</v>
      </c>
      <c r="M287" s="54" t="str"/>
      <c r="N287" s="54" t="inlineStr">
        <is>
          <t>Matched to Munitorum Field Manual v2.3</t>
        </is>
      </c>
      <c r="O287" s="54" t="inlineStr">
        <is>
          <t>Uploaded PDF: Munitorum Field Manual v2.3 / March 2025, p.8</t>
        </is>
      </c>
    </row>
    <row r="288">
      <c r="A288" s="54" t="inlineStr">
        <is>
          <t>Astra Militarum</t>
        </is>
      </c>
      <c r="B288" s="54" t="str"/>
      <c r="C288" s="54" t="inlineStr">
        <is>
          <t>Vehicle / Support</t>
        </is>
      </c>
      <c r="D288" s="54" t="inlineStr">
        <is>
          <t>Vehicle</t>
        </is>
      </c>
      <c r="E288" s="54" t="inlineStr">
        <is>
          <t>Leman Russ Vanquisher</t>
        </is>
      </c>
      <c r="F288" s="54" t="inlineStr">
        <is>
          <t>1 model</t>
        </is>
      </c>
      <c r="G288" s="54" t="inlineStr">
        <is>
          <t>Vehicle</t>
        </is>
      </c>
      <c r="H288" s="54" t="str"/>
      <c r="I288" s="54" t="str"/>
      <c r="J288" s="54" t="str"/>
      <c r="K288" s="54" t="str"/>
      <c r="L288" s="55" t="n">
        <v>145</v>
      </c>
      <c r="M288" s="54" t="str"/>
      <c r="N288" s="54" t="inlineStr">
        <is>
          <t>Matched to Munitorum Field Manual v2.3</t>
        </is>
      </c>
      <c r="O288" s="54" t="inlineStr">
        <is>
          <t>Uploaded PDF: Munitorum Field Manual v2.3 / March 2025, p.8</t>
        </is>
      </c>
    </row>
    <row r="289">
      <c r="A289" s="54" t="inlineStr">
        <is>
          <t>Astra Militarum</t>
        </is>
      </c>
      <c r="B289" s="54" t="str"/>
      <c r="C289" s="54" t="inlineStr">
        <is>
          <t>Character</t>
        </is>
      </c>
      <c r="D289" s="54" t="inlineStr">
        <is>
          <t>Character</t>
        </is>
      </c>
      <c r="E289" s="54" t="inlineStr">
        <is>
          <t>Lord Solar Leontus</t>
        </is>
      </c>
      <c r="F289" s="54" t="inlineStr">
        <is>
          <t>1 model</t>
        </is>
      </c>
      <c r="G289" s="54" t="inlineStr">
        <is>
          <t>Character</t>
        </is>
      </c>
      <c r="H289" s="54" t="str"/>
      <c r="I289" s="54" t="str"/>
      <c r="J289" s="54" t="str"/>
      <c r="K289" s="54" t="str"/>
      <c r="L289" s="55" t="n">
        <v>150</v>
      </c>
      <c r="M289" s="54" t="str"/>
      <c r="N289" s="54" t="inlineStr">
        <is>
          <t>Matched to Munitorum Field Manual v2.3</t>
        </is>
      </c>
      <c r="O289" s="54" t="inlineStr">
        <is>
          <t>Uploaded PDF: Munitorum Field Manual v2.3 / March 2025, p.8</t>
        </is>
      </c>
    </row>
    <row r="290">
      <c r="A290" s="54" t="inlineStr">
        <is>
          <t>Astra Militarum</t>
        </is>
      </c>
      <c r="B290" s="54" t="str"/>
      <c r="C290" s="54" t="inlineStr">
        <is>
          <t>Vehicle / Support</t>
        </is>
      </c>
      <c r="D290" s="54" t="inlineStr">
        <is>
          <t>Vehicle</t>
        </is>
      </c>
      <c r="E290" s="54" t="inlineStr">
        <is>
          <t>Manticore</t>
        </is>
      </c>
      <c r="F290" s="54" t="inlineStr">
        <is>
          <t>1 model</t>
        </is>
      </c>
      <c r="G290" s="54" t="inlineStr">
        <is>
          <t>Vehicle</t>
        </is>
      </c>
      <c r="H290" s="54" t="str"/>
      <c r="I290" s="54" t="str"/>
      <c r="J290" s="54" t="str"/>
      <c r="K290" s="54" t="str"/>
      <c r="L290" s="55" t="n">
        <v>165</v>
      </c>
      <c r="M290" s="54" t="str"/>
      <c r="N290" s="54" t="inlineStr">
        <is>
          <t>Matched to Munitorum Field Manual v2.3</t>
        </is>
      </c>
      <c r="O290" s="54" t="inlineStr">
        <is>
          <t>Uploaded PDF: Munitorum Field Manual v2.3 / March 2025, p.8</t>
        </is>
      </c>
    </row>
    <row r="291">
      <c r="A291" s="54" t="inlineStr">
        <is>
          <t>Astra Militarum</t>
        </is>
      </c>
      <c r="B291" s="54" t="str"/>
      <c r="C291" s="54" t="inlineStr">
        <is>
          <t>Infantry / Other</t>
        </is>
      </c>
      <c r="D291" s="54" t="inlineStr">
        <is>
          <t>Infantry</t>
        </is>
      </c>
      <c r="E291" s="54" t="inlineStr">
        <is>
          <t>Militarum Tempestus Command Squad</t>
        </is>
      </c>
      <c r="F291" s="54" t="inlineStr">
        <is>
          <t>5 models</t>
        </is>
      </c>
      <c r="G291" s="54" t="inlineStr">
        <is>
          <t>Infantry</t>
        </is>
      </c>
      <c r="H291" s="54" t="str"/>
      <c r="I291" s="54" t="str"/>
      <c r="J291" s="54" t="str"/>
      <c r="K291" s="54" t="str"/>
      <c r="L291" s="55" t="n">
        <v>85</v>
      </c>
      <c r="M291" s="54" t="str"/>
      <c r="N291" s="54" t="inlineStr">
        <is>
          <t>Matched to Munitorum Field Manual v2.3</t>
        </is>
      </c>
      <c r="O291" s="54" t="inlineStr">
        <is>
          <t>Uploaded PDF: Munitorum Field Manual v2.3 / March 2025, p.8</t>
        </is>
      </c>
    </row>
    <row r="292">
      <c r="A292" s="54" t="inlineStr">
        <is>
          <t>Astra Militarum</t>
        </is>
      </c>
      <c r="B292" s="54" t="str"/>
      <c r="C292" s="54" t="inlineStr">
        <is>
          <t>Infantry / Other</t>
        </is>
      </c>
      <c r="D292" s="54" t="inlineStr">
        <is>
          <t>Infantry</t>
        </is>
      </c>
      <c r="E292" s="54" t="inlineStr">
        <is>
          <t>Munitorum Servitors</t>
        </is>
      </c>
      <c r="F292" s="54" t="n"/>
      <c r="G292" s="54" t="inlineStr">
        <is>
          <t>Infantry</t>
        </is>
      </c>
      <c r="H292" s="54" t="str"/>
      <c r="I292" s="54" t="str"/>
      <c r="J292" s="54" t="str"/>
      <c r="K292" s="54" t="str"/>
      <c r="L292" s="55" t="n"/>
      <c r="M292" s="54" t="inlineStr">
        <is>
          <t>No matching points entry found in uploaded PDF; verify unit name/current support.</t>
        </is>
      </c>
      <c r="N292" s="54" t="inlineStr">
        <is>
          <t>Not found in uploaded PDF</t>
        </is>
      </c>
      <c r="O292" s="54" t="inlineStr">
        <is>
          <t>Uploaded PDF: Munitorum Field Manual v2.3 / March 2025</t>
        </is>
      </c>
    </row>
    <row r="293">
      <c r="A293" s="54" t="inlineStr">
        <is>
          <t>Astra Militarum</t>
        </is>
      </c>
      <c r="B293" s="54" t="str"/>
      <c r="C293" s="54" t="inlineStr">
        <is>
          <t>Infantry / Other</t>
        </is>
      </c>
      <c r="D293" s="54" t="inlineStr">
        <is>
          <t>Infantry</t>
        </is>
      </c>
      <c r="E293" s="54" t="inlineStr">
        <is>
          <t>Nork Deddog</t>
        </is>
      </c>
      <c r="F293" s="54" t="inlineStr">
        <is>
          <t>1 model</t>
        </is>
      </c>
      <c r="G293" s="54" t="inlineStr">
        <is>
          <t>Infantry</t>
        </is>
      </c>
      <c r="H293" s="54" t="str"/>
      <c r="I293" s="54" t="str"/>
      <c r="J293" s="54" t="str"/>
      <c r="K293" s="54" t="str"/>
      <c r="L293" s="55" t="n">
        <v>60</v>
      </c>
      <c r="M293" s="54" t="str"/>
      <c r="N293" s="54" t="inlineStr">
        <is>
          <t>Matched to Munitorum Field Manual v2.3</t>
        </is>
      </c>
      <c r="O293" s="54" t="inlineStr">
        <is>
          <t>Uploaded PDF: Munitorum Field Manual v2.3 / March 2025, p.8</t>
        </is>
      </c>
    </row>
    <row r="294">
      <c r="A294" s="54" t="inlineStr">
        <is>
          <t>Astra Militarum</t>
        </is>
      </c>
      <c r="B294" s="54" t="str"/>
      <c r="C294" s="54" t="inlineStr">
        <is>
          <t>Infantry / Other</t>
        </is>
      </c>
      <c r="D294" s="54" t="inlineStr">
        <is>
          <t>Infantry</t>
        </is>
      </c>
      <c r="E294" s="54" t="inlineStr">
        <is>
          <t>Ogryn Bodyguard</t>
        </is>
      </c>
      <c r="F294" s="54" t="inlineStr">
        <is>
          <t>1 model</t>
        </is>
      </c>
      <c r="G294" s="54" t="inlineStr">
        <is>
          <t>Infantry</t>
        </is>
      </c>
      <c r="H294" s="54" t="str"/>
      <c r="I294" s="54" t="str"/>
      <c r="J294" s="54" t="str"/>
      <c r="K294" s="54" t="str"/>
      <c r="L294" s="55" t="n">
        <v>40</v>
      </c>
      <c r="M294" s="54" t="str"/>
      <c r="N294" s="54" t="inlineStr">
        <is>
          <t>Matched to Munitorum Field Manual v2.3</t>
        </is>
      </c>
      <c r="O294" s="54" t="inlineStr">
        <is>
          <t>Uploaded PDF: Munitorum Field Manual v2.3 / March 2025, p.8</t>
        </is>
      </c>
    </row>
    <row r="295">
      <c r="A295" s="54" t="inlineStr">
        <is>
          <t>Astra Militarum</t>
        </is>
      </c>
      <c r="B295" s="54" t="str"/>
      <c r="C295" s="54" t="inlineStr">
        <is>
          <t>Infantry / Other</t>
        </is>
      </c>
      <c r="D295" s="54" t="inlineStr">
        <is>
          <t>Infantry</t>
        </is>
      </c>
      <c r="E295" s="54" t="inlineStr">
        <is>
          <t>Ogryn Squad</t>
        </is>
      </c>
      <c r="F295" s="54" t="inlineStr">
        <is>
          <t>3 models</t>
        </is>
      </c>
      <c r="G295" s="54" t="inlineStr">
        <is>
          <t>Infantry</t>
        </is>
      </c>
      <c r="H295" s="54" t="str"/>
      <c r="I295" s="54" t="str"/>
      <c r="J295" s="54" t="str"/>
      <c r="K295" s="54" t="str"/>
      <c r="L295" s="55" t="n">
        <v>60</v>
      </c>
      <c r="M295" s="54" t="inlineStr">
        <is>
          <t>Points options: 3 models = 60 pts; 6 models = 130 pts</t>
        </is>
      </c>
      <c r="N295" s="54" t="inlineStr">
        <is>
          <t>Matched to Munitorum Field Manual v2.3</t>
        </is>
      </c>
      <c r="O295" s="54" t="inlineStr">
        <is>
          <t>Uploaded PDF: Munitorum Field Manual v2.3 / March 2025, p.8</t>
        </is>
      </c>
    </row>
    <row r="296">
      <c r="A296" s="54" t="inlineStr">
        <is>
          <t>Astra Militarum</t>
        </is>
      </c>
      <c r="B296" s="54" t="str"/>
      <c r="C296" s="54" t="inlineStr">
        <is>
          <t>Character</t>
        </is>
      </c>
      <c r="D296" s="54" t="inlineStr">
        <is>
          <t>Character</t>
        </is>
      </c>
      <c r="E296" s="54" t="inlineStr">
        <is>
          <t>Primaris Psyker</t>
        </is>
      </c>
      <c r="F296" s="54" t="inlineStr">
        <is>
          <t>1 model</t>
        </is>
      </c>
      <c r="G296" s="54" t="inlineStr">
        <is>
          <t>Character, Psyker</t>
        </is>
      </c>
      <c r="H296" s="54" t="str"/>
      <c r="I296" s="54" t="str"/>
      <c r="J296" s="54" t="str"/>
      <c r="K296" s="54" t="str"/>
      <c r="L296" s="55" t="n">
        <v>60</v>
      </c>
      <c r="M296" s="54" t="str"/>
      <c r="N296" s="54" t="inlineStr">
        <is>
          <t>Matched to Munitorum Field Manual v2.3</t>
        </is>
      </c>
      <c r="O296" s="54" t="inlineStr">
        <is>
          <t>Uploaded PDF: Munitorum Field Manual v2.3 / March 2025, p.8</t>
        </is>
      </c>
    </row>
    <row r="297">
      <c r="A297" s="54" t="inlineStr">
        <is>
          <t>Astra Militarum</t>
        </is>
      </c>
      <c r="B297" s="54" t="str"/>
      <c r="C297" s="54" t="inlineStr">
        <is>
          <t>Infantry / Other</t>
        </is>
      </c>
      <c r="D297" s="54" t="inlineStr">
        <is>
          <t>Infantry</t>
        </is>
      </c>
      <c r="E297" s="54" t="inlineStr">
        <is>
          <t>Ratling Snipers</t>
        </is>
      </c>
      <c r="F297" s="54" t="n"/>
      <c r="G297" s="54" t="inlineStr">
        <is>
          <t>Infantry</t>
        </is>
      </c>
      <c r="H297" s="54" t="str"/>
      <c r="I297" s="54" t="str"/>
      <c r="J297" s="54" t="str"/>
      <c r="K297" s="54" t="str"/>
      <c r="L297" s="55" t="n"/>
      <c r="M297" s="54" t="inlineStr">
        <is>
          <t>No matching points entry found in uploaded PDF; verify unit name/current support.</t>
        </is>
      </c>
      <c r="N297" s="54" t="inlineStr">
        <is>
          <t>Not found in uploaded PDF</t>
        </is>
      </c>
      <c r="O297" s="54" t="inlineStr">
        <is>
          <t>Uploaded PDF: Munitorum Field Manual v2.3 / March 2025</t>
        </is>
      </c>
    </row>
    <row r="298">
      <c r="A298" s="54" t="inlineStr">
        <is>
          <t>Astra Militarum</t>
        </is>
      </c>
      <c r="B298" s="54" t="str"/>
      <c r="C298" s="54" t="inlineStr">
        <is>
          <t>Infantry / Other</t>
        </is>
      </c>
      <c r="D298" s="54" t="inlineStr">
        <is>
          <t>Infantry</t>
        </is>
      </c>
      <c r="E298" s="54" t="inlineStr">
        <is>
          <t>Regimental Attachés</t>
        </is>
      </c>
      <c r="F298" s="54" t="n"/>
      <c r="G298" s="54" t="inlineStr">
        <is>
          <t>Infantry</t>
        </is>
      </c>
      <c r="H298" s="54" t="str"/>
      <c r="I298" s="54" t="str"/>
      <c r="J298" s="54" t="str"/>
      <c r="K298" s="54" t="str"/>
      <c r="L298" s="55" t="n"/>
      <c r="M298" s="54" t="inlineStr">
        <is>
          <t>No matching points entry found in uploaded PDF; verify unit name/current support.</t>
        </is>
      </c>
      <c r="N298" s="54" t="inlineStr">
        <is>
          <t>Not found in uploaded PDF</t>
        </is>
      </c>
      <c r="O298" s="54" t="inlineStr">
        <is>
          <t>Uploaded PDF: Munitorum Field Manual v2.3 / March 2025</t>
        </is>
      </c>
    </row>
    <row r="299">
      <c r="A299" s="54" t="inlineStr">
        <is>
          <t>Astra Militarum</t>
        </is>
      </c>
      <c r="B299" s="54" t="str"/>
      <c r="C299" s="54" t="inlineStr">
        <is>
          <t>Character</t>
        </is>
      </c>
      <c r="D299" s="54" t="inlineStr">
        <is>
          <t>Character</t>
        </is>
      </c>
      <c r="E299" s="54" t="inlineStr">
        <is>
          <t>Regimental Enginseer</t>
        </is>
      </c>
      <c r="F299" s="54" t="inlineStr">
        <is>
          <t>1 model</t>
        </is>
      </c>
      <c r="G299" s="54" t="inlineStr">
        <is>
          <t>Character</t>
        </is>
      </c>
      <c r="H299" s="54" t="str"/>
      <c r="I299" s="54" t="str"/>
      <c r="J299" s="54" t="str"/>
      <c r="K299" s="54" t="str"/>
      <c r="L299" s="55" t="n">
        <v>45</v>
      </c>
      <c r="M299" s="54" t="str"/>
      <c r="N299" s="54" t="inlineStr">
        <is>
          <t>Matched to Munitorum Field Manual v2.3</t>
        </is>
      </c>
      <c r="O299" s="54" t="inlineStr">
        <is>
          <t>Uploaded PDF: Munitorum Field Manual v2.3 / March 2025, p.8</t>
        </is>
      </c>
    </row>
    <row r="300">
      <c r="A300" s="54" t="inlineStr">
        <is>
          <t>Astra Militarum</t>
        </is>
      </c>
      <c r="B300" s="54" t="str"/>
      <c r="C300" s="54" t="inlineStr">
        <is>
          <t>Character</t>
        </is>
      </c>
      <c r="D300" s="54" t="inlineStr">
        <is>
          <t>Character</t>
        </is>
      </c>
      <c r="E300" s="54" t="inlineStr">
        <is>
          <t>Regimental Preacher</t>
        </is>
      </c>
      <c r="F300" s="54" t="inlineStr">
        <is>
          <t>1 model</t>
        </is>
      </c>
      <c r="G300" s="54" t="inlineStr">
        <is>
          <t>Character</t>
        </is>
      </c>
      <c r="H300" s="54" t="str"/>
      <c r="I300" s="54" t="str"/>
      <c r="J300" s="54" t="str"/>
      <c r="K300" s="54" t="str"/>
      <c r="L300" s="55" t="n">
        <v>35</v>
      </c>
      <c r="M300" s="54" t="str"/>
      <c r="N300" s="54" t="inlineStr">
        <is>
          <t>Matched to Munitorum Field Manual v2.3</t>
        </is>
      </c>
      <c r="O300" s="54" t="inlineStr">
        <is>
          <t>Uploaded PDF: Munitorum Field Manual v2.3 / March 2025, p.8</t>
        </is>
      </c>
    </row>
    <row r="301">
      <c r="A301" s="54" t="inlineStr">
        <is>
          <t>Astra Militarum</t>
        </is>
      </c>
      <c r="B301" s="54" t="str"/>
      <c r="C301" s="54" t="inlineStr">
        <is>
          <t>Vehicle / Support</t>
        </is>
      </c>
      <c r="D301" s="54" t="inlineStr">
        <is>
          <t>Vehicle</t>
        </is>
      </c>
      <c r="E301" s="54" t="inlineStr">
        <is>
          <t>Rogal Dorn Battle Tank</t>
        </is>
      </c>
      <c r="F301" s="54" t="inlineStr">
        <is>
          <t>1 model</t>
        </is>
      </c>
      <c r="G301" s="54" t="inlineStr">
        <is>
          <t>Vehicle</t>
        </is>
      </c>
      <c r="H301" s="54" t="str"/>
      <c r="I301" s="54" t="str"/>
      <c r="J301" s="54" t="str"/>
      <c r="K301" s="54" t="str"/>
      <c r="L301" s="55" t="n">
        <v>240</v>
      </c>
      <c r="M301" s="54" t="str"/>
      <c r="N301" s="54" t="inlineStr">
        <is>
          <t>Matched to Munitorum Field Manual v2.3</t>
        </is>
      </c>
      <c r="O301" s="54" t="inlineStr">
        <is>
          <t>Uploaded PDF: Munitorum Field Manual v2.3 / March 2025, p.8</t>
        </is>
      </c>
    </row>
    <row r="302">
      <c r="A302" s="54" t="inlineStr">
        <is>
          <t>Astra Militarum</t>
        </is>
      </c>
      <c r="B302" s="54" t="str"/>
      <c r="C302" s="54" t="inlineStr">
        <is>
          <t>Vehicle / Support</t>
        </is>
      </c>
      <c r="D302" s="54" t="inlineStr">
        <is>
          <t>Walker / Battlesuit</t>
        </is>
      </c>
      <c r="E302" s="54" t="inlineStr">
        <is>
          <t>Scout Sentinels</t>
        </is>
      </c>
      <c r="F302" s="54" t="inlineStr">
        <is>
          <t>1 model</t>
        </is>
      </c>
      <c r="G302" s="54" t="inlineStr">
        <is>
          <t>Walker / Battlesuit</t>
        </is>
      </c>
      <c r="H302" s="54" t="str"/>
      <c r="I302" s="54" t="str"/>
      <c r="J302" s="54" t="str"/>
      <c r="K302" s="54" t="str"/>
      <c r="L302" s="55" t="n">
        <v>55</v>
      </c>
      <c r="M302" s="54" t="inlineStr">
        <is>
          <t>Points options: 1 model = 55 pts; 2 models = 110 pts</t>
        </is>
      </c>
      <c r="N302" s="54" t="inlineStr">
        <is>
          <t>Matched to Munitorum Field Manual v2.3</t>
        </is>
      </c>
      <c r="O302" s="54" t="inlineStr">
        <is>
          <t>Uploaded PDF: Munitorum Field Manual v2.3 / March 2025, p.8</t>
        </is>
      </c>
    </row>
    <row r="303">
      <c r="A303" s="54" t="inlineStr">
        <is>
          <t>Astra Militarum</t>
        </is>
      </c>
      <c r="B303" s="54" t="str"/>
      <c r="C303" s="54" t="inlineStr">
        <is>
          <t>Infantry / Other</t>
        </is>
      </c>
      <c r="D303" s="54" t="inlineStr">
        <is>
          <t>Infantry</t>
        </is>
      </c>
      <c r="E303" s="54" t="inlineStr">
        <is>
          <t>Sergeant Harker</t>
        </is>
      </c>
      <c r="F303" s="54" t="n"/>
      <c r="G303" s="54" t="inlineStr">
        <is>
          <t>Infantry</t>
        </is>
      </c>
      <c r="H303" s="54" t="str"/>
      <c r="I303" s="54" t="str"/>
      <c r="J303" s="54" t="str"/>
      <c r="K303" s="54" t="str"/>
      <c r="L303" s="55" t="n"/>
      <c r="M303" s="54" t="inlineStr">
        <is>
          <t>No matching points entry found in uploaded PDF; verify unit name/current support.</t>
        </is>
      </c>
      <c r="N303" s="54" t="inlineStr">
        <is>
          <t>Not found in uploaded PDF</t>
        </is>
      </c>
      <c r="O303" s="54" t="inlineStr">
        <is>
          <t>Uploaded PDF: Munitorum Field Manual v2.3 / March 2025</t>
        </is>
      </c>
    </row>
    <row r="304">
      <c r="A304" s="54" t="inlineStr">
        <is>
          <t>Astra Militarum</t>
        </is>
      </c>
      <c r="B304" s="54" t="str"/>
      <c r="C304" s="54" t="inlineStr">
        <is>
          <t>Vehicle / Support</t>
        </is>
      </c>
      <c r="D304" s="54" t="inlineStr">
        <is>
          <t>Super-heavy Vehicle/Monster</t>
        </is>
      </c>
      <c r="E304" s="54" t="inlineStr">
        <is>
          <t>Shadowsword</t>
        </is>
      </c>
      <c r="F304" s="54" t="inlineStr">
        <is>
          <t>1 model</t>
        </is>
      </c>
      <c r="G304" s="54" t="inlineStr">
        <is>
          <t>Super-heavy Vehicle/Monster</t>
        </is>
      </c>
      <c r="H304" s="54" t="str"/>
      <c r="I304" s="54" t="str"/>
      <c r="J304" s="54" t="str"/>
      <c r="K304" s="54" t="str"/>
      <c r="L304" s="55" t="n">
        <v>440</v>
      </c>
      <c r="M304" s="54" t="str"/>
      <c r="N304" s="54" t="inlineStr">
        <is>
          <t>Matched to Munitorum Field Manual v2.3</t>
        </is>
      </c>
      <c r="O304" s="54" t="inlineStr">
        <is>
          <t>Uploaded PDF: Munitorum Field Manual v2.3 / March 2025, p.8</t>
        </is>
      </c>
    </row>
    <row r="305">
      <c r="A305" s="54" t="inlineStr">
        <is>
          <t>Astra Militarum</t>
        </is>
      </c>
      <c r="B305" s="54" t="str"/>
      <c r="C305" s="54" t="inlineStr">
        <is>
          <t>Vehicle / Support</t>
        </is>
      </c>
      <c r="D305" s="54" t="inlineStr">
        <is>
          <t>Super-heavy Vehicle/Monster</t>
        </is>
      </c>
      <c r="E305" s="54" t="inlineStr">
        <is>
          <t>Stormlord</t>
        </is>
      </c>
      <c r="F305" s="54" t="inlineStr">
        <is>
          <t>1 model</t>
        </is>
      </c>
      <c r="G305" s="54" t="inlineStr">
        <is>
          <t>Super-heavy Vehicle/Monster</t>
        </is>
      </c>
      <c r="H305" s="54" t="str"/>
      <c r="I305" s="54" t="str"/>
      <c r="J305" s="54" t="str"/>
      <c r="K305" s="54" t="str"/>
      <c r="L305" s="55" t="n">
        <v>460</v>
      </c>
      <c r="M305" s="54" t="str"/>
      <c r="N305" s="54" t="inlineStr">
        <is>
          <t>Matched to Munitorum Field Manual v2.3</t>
        </is>
      </c>
      <c r="O305" s="54" t="inlineStr">
        <is>
          <t>Uploaded PDF: Munitorum Field Manual v2.3 / March 2025, p.8</t>
        </is>
      </c>
    </row>
    <row r="306">
      <c r="A306" s="54" t="inlineStr">
        <is>
          <t>Astra Militarum</t>
        </is>
      </c>
      <c r="B306" s="54" t="str"/>
      <c r="C306" s="54" t="inlineStr">
        <is>
          <t>Vehicle / Support</t>
        </is>
      </c>
      <c r="D306" s="54" t="inlineStr">
        <is>
          <t>Super-heavy Vehicle/Monster</t>
        </is>
      </c>
      <c r="E306" s="54" t="inlineStr">
        <is>
          <t>Stormsword</t>
        </is>
      </c>
      <c r="F306" s="54" t="inlineStr">
        <is>
          <t>1 model</t>
        </is>
      </c>
      <c r="G306" s="54" t="inlineStr">
        <is>
          <t>Super-heavy Vehicle/Monster</t>
        </is>
      </c>
      <c r="H306" s="54" t="str"/>
      <c r="I306" s="54" t="str"/>
      <c r="J306" s="54" t="str"/>
      <c r="K306" s="54" t="str"/>
      <c r="L306" s="55" t="n">
        <v>495</v>
      </c>
      <c r="M306" s="54" t="str"/>
      <c r="N306" s="54" t="inlineStr">
        <is>
          <t>Matched to Munitorum Field Manual v2.3</t>
        </is>
      </c>
      <c r="O306" s="54" t="inlineStr">
        <is>
          <t>Uploaded PDF: Munitorum Field Manual v2.3 / March 2025, p.8</t>
        </is>
      </c>
    </row>
    <row r="307">
      <c r="A307" s="54" t="inlineStr">
        <is>
          <t>Astra Militarum</t>
        </is>
      </c>
      <c r="B307" s="54" t="str"/>
      <c r="C307" s="54" t="inlineStr">
        <is>
          <t>Character</t>
        </is>
      </c>
      <c r="D307" s="54" t="inlineStr">
        <is>
          <t>Character</t>
        </is>
      </c>
      <c r="E307" s="54" t="inlineStr">
        <is>
          <t>Tank Commander</t>
        </is>
      </c>
      <c r="F307" s="54" t="inlineStr">
        <is>
          <t>1 model</t>
        </is>
      </c>
      <c r="G307" s="54" t="inlineStr">
        <is>
          <t>Character</t>
        </is>
      </c>
      <c r="H307" s="54" t="str"/>
      <c r="I307" s="54" t="str"/>
      <c r="J307" s="54" t="str"/>
      <c r="K307" s="54" t="str"/>
      <c r="L307" s="55" t="n">
        <v>235</v>
      </c>
      <c r="M307" s="54" t="str"/>
      <c r="N307" s="54" t="inlineStr">
        <is>
          <t>Matched to Munitorum Field Manual v2.3</t>
        </is>
      </c>
      <c r="O307" s="54" t="inlineStr">
        <is>
          <t>Uploaded PDF: Munitorum Field Manual v2.3 / March 2025, p.8</t>
        </is>
      </c>
    </row>
    <row r="308">
      <c r="A308" s="54" t="inlineStr">
        <is>
          <t>Astra Militarum</t>
        </is>
      </c>
      <c r="B308" s="54" t="str"/>
      <c r="C308" s="54" t="inlineStr">
        <is>
          <t>Vehicle / Support</t>
        </is>
      </c>
      <c r="D308" s="54" t="inlineStr">
        <is>
          <t>Vehicle</t>
        </is>
      </c>
      <c r="E308" s="54" t="inlineStr">
        <is>
          <t>Taurox</t>
        </is>
      </c>
      <c r="F308" s="54" t="inlineStr">
        <is>
          <t>1 model</t>
        </is>
      </c>
      <c r="G308" s="54" t="inlineStr">
        <is>
          <t>Vehicle</t>
        </is>
      </c>
      <c r="H308" s="54" t="str"/>
      <c r="I308" s="54" t="str"/>
      <c r="J308" s="54" t="str"/>
      <c r="K308" s="54" t="str"/>
      <c r="L308" s="55" t="n">
        <v>65</v>
      </c>
      <c r="M308" s="54" t="str"/>
      <c r="N308" s="54" t="inlineStr">
        <is>
          <t>Matched to Munitorum Field Manual v2.3</t>
        </is>
      </c>
      <c r="O308" s="54" t="inlineStr">
        <is>
          <t>Uploaded PDF: Munitorum Field Manual v2.3 / March 2025, p.8</t>
        </is>
      </c>
    </row>
    <row r="309">
      <c r="A309" s="54" t="inlineStr">
        <is>
          <t>Astra Militarum</t>
        </is>
      </c>
      <c r="B309" s="54" t="str"/>
      <c r="C309" s="54" t="inlineStr">
        <is>
          <t>Vehicle / Support</t>
        </is>
      </c>
      <c r="D309" s="54" t="inlineStr">
        <is>
          <t>Vehicle</t>
        </is>
      </c>
      <c r="E309" s="54" t="inlineStr">
        <is>
          <t>Taurox Prime</t>
        </is>
      </c>
      <c r="F309" s="54" t="inlineStr">
        <is>
          <t>1 model</t>
        </is>
      </c>
      <c r="G309" s="54" t="inlineStr">
        <is>
          <t>Vehicle</t>
        </is>
      </c>
      <c r="H309" s="54" t="str"/>
      <c r="I309" s="54" t="str"/>
      <c r="J309" s="54" t="str"/>
      <c r="K309" s="54" t="str"/>
      <c r="L309" s="55" t="n">
        <v>90</v>
      </c>
      <c r="M309" s="54" t="str"/>
      <c r="N309" s="54" t="inlineStr">
        <is>
          <t>Matched to Munitorum Field Manual v2.3</t>
        </is>
      </c>
      <c r="O309" s="54" t="inlineStr">
        <is>
          <t>Uploaded PDF: Munitorum Field Manual v2.3 / March 2025, p.8</t>
        </is>
      </c>
    </row>
    <row r="310">
      <c r="A310" s="54" t="inlineStr">
        <is>
          <t>Astra Militarum</t>
        </is>
      </c>
      <c r="B310" s="54" t="str"/>
      <c r="C310" s="54" t="inlineStr">
        <is>
          <t>Infantry / Other</t>
        </is>
      </c>
      <c r="D310" s="54" t="inlineStr">
        <is>
          <t>Infantry</t>
        </is>
      </c>
      <c r="E310" s="54" t="inlineStr">
        <is>
          <t>Tempestus Scions</t>
        </is>
      </c>
      <c r="F310" s="54" t="inlineStr">
        <is>
          <t>5 models</t>
        </is>
      </c>
      <c r="G310" s="54" t="inlineStr">
        <is>
          <t>Infantry</t>
        </is>
      </c>
      <c r="H310" s="54" t="str"/>
      <c r="I310" s="54" t="str"/>
      <c r="J310" s="54" t="str"/>
      <c r="K310" s="54" t="str"/>
      <c r="L310" s="55" t="n">
        <v>70</v>
      </c>
      <c r="M310" s="54" t="inlineStr">
        <is>
          <t>Points options: 5 models = 70 pts; 10 models = 140 pts</t>
        </is>
      </c>
      <c r="N310" s="54" t="inlineStr">
        <is>
          <t>Matched to Munitorum Field Manual v2.3</t>
        </is>
      </c>
      <c r="O310" s="54" t="inlineStr">
        <is>
          <t>Uploaded PDF: Munitorum Field Manual v2.3 / March 2025, p.8</t>
        </is>
      </c>
    </row>
    <row r="311">
      <c r="A311" s="54" t="inlineStr">
        <is>
          <t>Astra Militarum</t>
        </is>
      </c>
      <c r="B311" s="54" t="str"/>
      <c r="C311" s="54" t="inlineStr">
        <is>
          <t>Infantry / Other</t>
        </is>
      </c>
      <c r="D311" s="54" t="inlineStr">
        <is>
          <t>Infantry</t>
        </is>
      </c>
      <c r="E311" s="54" t="inlineStr">
        <is>
          <t>Ursula Creed</t>
        </is>
      </c>
      <c r="F311" s="54" t="inlineStr">
        <is>
          <t>1 model</t>
        </is>
      </c>
      <c r="G311" s="54" t="inlineStr">
        <is>
          <t>Infantry</t>
        </is>
      </c>
      <c r="H311" s="54" t="str"/>
      <c r="I311" s="54" t="str"/>
      <c r="J311" s="54" t="str"/>
      <c r="K311" s="54" t="str"/>
      <c r="L311" s="55" t="n">
        <v>65</v>
      </c>
      <c r="M311" s="54" t="str"/>
      <c r="N311" s="54" t="inlineStr">
        <is>
          <t>Matched to Munitorum Field Manual v2.3</t>
        </is>
      </c>
      <c r="O311" s="54" t="inlineStr">
        <is>
          <t>Uploaded PDF: Munitorum Field Manual v2.3 / March 2025, p.8</t>
        </is>
      </c>
    </row>
    <row r="312">
      <c r="A312" s="54" t="inlineStr">
        <is>
          <t>Astra Militarum</t>
        </is>
      </c>
      <c r="B312" s="54" t="str"/>
      <c r="C312" s="54" t="inlineStr">
        <is>
          <t>Vehicle / Support</t>
        </is>
      </c>
      <c r="D312" s="54" t="inlineStr">
        <is>
          <t>Vehicle</t>
        </is>
      </c>
      <c r="E312" s="54" t="inlineStr">
        <is>
          <t>Valkyrie</t>
        </is>
      </c>
      <c r="F312" s="54" t="inlineStr">
        <is>
          <t>1 model</t>
        </is>
      </c>
      <c r="G312" s="54" t="inlineStr">
        <is>
          <t>Vehicle</t>
        </is>
      </c>
      <c r="H312" s="54" t="str"/>
      <c r="I312" s="54" t="str"/>
      <c r="J312" s="54" t="str"/>
      <c r="K312" s="54" t="str"/>
      <c r="L312" s="55" t="n">
        <v>190</v>
      </c>
      <c r="M312" s="54" t="str"/>
      <c r="N312" s="54" t="inlineStr">
        <is>
          <t>Matched to Munitorum Field Manual v2.3</t>
        </is>
      </c>
      <c r="O312" s="54" t="inlineStr">
        <is>
          <t>Uploaded PDF: Munitorum Field Manual v2.3 / March 2025, p.8</t>
        </is>
      </c>
    </row>
    <row r="313">
      <c r="A313" s="54" t="inlineStr">
        <is>
          <t>Astra Militarum</t>
        </is>
      </c>
      <c r="B313" s="54" t="str"/>
      <c r="C313" s="54" t="inlineStr">
        <is>
          <t>Infantry / Other</t>
        </is>
      </c>
      <c r="D313" s="54" t="inlineStr">
        <is>
          <t>Infantry</t>
        </is>
      </c>
      <c r="E313" s="54" t="inlineStr">
        <is>
          <t>Wyvern</t>
        </is>
      </c>
      <c r="F313" s="54" t="inlineStr">
        <is>
          <t>1 model</t>
        </is>
      </c>
      <c r="G313" s="54" t="inlineStr">
        <is>
          <t>Infantry</t>
        </is>
      </c>
      <c r="H313" s="54" t="str"/>
      <c r="I313" s="54" t="str"/>
      <c r="J313" s="54" t="str"/>
      <c r="K313" s="54" t="str"/>
      <c r="L313" s="55" t="n">
        <v>110</v>
      </c>
      <c r="M313" s="54" t="str"/>
      <c r="N313" s="54" t="inlineStr">
        <is>
          <t>Matched to Munitorum Field Manual v2.3</t>
        </is>
      </c>
      <c r="O313" s="54" t="inlineStr">
        <is>
          <t>Uploaded PDF: Munitorum Field Manual v2.3 / March 2025, p.8</t>
        </is>
      </c>
    </row>
    <row r="314">
      <c r="A314" s="54" t="inlineStr">
        <is>
          <t>Imperial Knights</t>
        </is>
      </c>
      <c r="B314" s="54" t="str"/>
      <c r="C314" s="54" t="inlineStr">
        <is>
          <t>Infantry / Other</t>
        </is>
      </c>
      <c r="D314" s="54" t="inlineStr">
        <is>
          <t>Infantry</t>
        </is>
      </c>
      <c r="E314" s="54" t="inlineStr">
        <is>
          <t>Armiger Helverin</t>
        </is>
      </c>
      <c r="F314" s="54" t="inlineStr">
        <is>
          <t>1 model</t>
        </is>
      </c>
      <c r="G314" s="54" t="inlineStr">
        <is>
          <t>Infantry</t>
        </is>
      </c>
      <c r="H314" s="54" t="str"/>
      <c r="I314" s="54" t="str"/>
      <c r="J314" s="54" t="str"/>
      <c r="K314" s="54" t="str"/>
      <c r="L314" s="55" t="n">
        <v>130</v>
      </c>
      <c r="M314" s="54" t="str"/>
      <c r="N314" s="54" t="inlineStr">
        <is>
          <t>Matched to Munitorum Field Manual v2.3</t>
        </is>
      </c>
      <c r="O314" s="54" t="inlineStr">
        <is>
          <t>Uploaded PDF: Munitorum Field Manual v2.3 / March 2025, p.26</t>
        </is>
      </c>
    </row>
    <row r="315">
      <c r="A315" s="54" t="inlineStr">
        <is>
          <t>Imperial Knights</t>
        </is>
      </c>
      <c r="B315" s="54" t="str"/>
      <c r="C315" s="54" t="inlineStr">
        <is>
          <t>Infantry / Other</t>
        </is>
      </c>
      <c r="D315" s="54" t="inlineStr">
        <is>
          <t>Infantry</t>
        </is>
      </c>
      <c r="E315" s="54" t="inlineStr">
        <is>
          <t>Armiger Warglaive</t>
        </is>
      </c>
      <c r="F315" s="54" t="inlineStr">
        <is>
          <t>1 model</t>
        </is>
      </c>
      <c r="G315" s="54" t="inlineStr">
        <is>
          <t>Infantry</t>
        </is>
      </c>
      <c r="H315" s="54" t="str"/>
      <c r="I315" s="54" t="str"/>
      <c r="J315" s="54" t="str"/>
      <c r="K315" s="54" t="str"/>
      <c r="L315" s="55" t="n">
        <v>140</v>
      </c>
      <c r="M315" s="54" t="str"/>
      <c r="N315" s="54" t="inlineStr">
        <is>
          <t>Matched to Munitorum Field Manual v2.3</t>
        </is>
      </c>
      <c r="O315" s="54" t="inlineStr">
        <is>
          <t>Uploaded PDF: Munitorum Field Manual v2.3 / March 2025, p.26</t>
        </is>
      </c>
    </row>
    <row r="316">
      <c r="A316" s="54" t="inlineStr">
        <is>
          <t>Imperial Knights</t>
        </is>
      </c>
      <c r="B316" s="54" t="str"/>
      <c r="C316" s="54" t="inlineStr">
        <is>
          <t>Infantry / Other</t>
        </is>
      </c>
      <c r="D316" s="54" t="inlineStr">
        <is>
          <t>Infantry</t>
        </is>
      </c>
      <c r="E316" s="54" t="inlineStr">
        <is>
          <t>Canis Rex</t>
        </is>
      </c>
      <c r="F316" s="54" t="inlineStr">
        <is>
          <t>1 model</t>
        </is>
      </c>
      <c r="G316" s="54" t="inlineStr">
        <is>
          <t>Infantry</t>
        </is>
      </c>
      <c r="H316" s="54" t="str"/>
      <c r="I316" s="54" t="str"/>
      <c r="J316" s="54" t="str"/>
      <c r="K316" s="54" t="str"/>
      <c r="L316" s="55" t="n">
        <v>450</v>
      </c>
      <c r="M316" s="54" t="str"/>
      <c r="N316" s="54" t="inlineStr">
        <is>
          <t>Matched to Munitorum Field Manual v2.3</t>
        </is>
      </c>
      <c r="O316" s="54" t="inlineStr">
        <is>
          <t>Uploaded PDF: Munitorum Field Manual v2.3 / March 2025, p.26</t>
        </is>
      </c>
    </row>
    <row r="317">
      <c r="A317" s="54" t="inlineStr">
        <is>
          <t>Imperial Knights</t>
        </is>
      </c>
      <c r="B317" s="54" t="str"/>
      <c r="C317" s="54" t="inlineStr">
        <is>
          <t>Vehicle / Support</t>
        </is>
      </c>
      <c r="D317" s="54" t="inlineStr">
        <is>
          <t>Super-heavy Vehicle/Monster</t>
        </is>
      </c>
      <c r="E317" s="54" t="inlineStr">
        <is>
          <t>Knight Castellan</t>
        </is>
      </c>
      <c r="F317" s="54" t="inlineStr">
        <is>
          <t>1 model</t>
        </is>
      </c>
      <c r="G317" s="54" t="inlineStr">
        <is>
          <t>Super-heavy Vehicle/Monster</t>
        </is>
      </c>
      <c r="H317" s="54" t="str"/>
      <c r="I317" s="54" t="str"/>
      <c r="J317" s="54" t="str"/>
      <c r="K317" s="54" t="str"/>
      <c r="L317" s="55" t="n">
        <v>480</v>
      </c>
      <c r="M317" s="54" t="str"/>
      <c r="N317" s="54" t="inlineStr">
        <is>
          <t>Matched to Munitorum Field Manual v2.3</t>
        </is>
      </c>
      <c r="O317" s="54" t="inlineStr">
        <is>
          <t>Uploaded PDF: Munitorum Field Manual v2.3 / March 2025, p.26</t>
        </is>
      </c>
    </row>
    <row r="318">
      <c r="A318" s="54" t="inlineStr">
        <is>
          <t>Imperial Knights</t>
        </is>
      </c>
      <c r="B318" s="54" t="str"/>
      <c r="C318" s="54" t="inlineStr">
        <is>
          <t>Vehicle / Support</t>
        </is>
      </c>
      <c r="D318" s="54" t="inlineStr">
        <is>
          <t>Super-heavy Vehicle/Monster</t>
        </is>
      </c>
      <c r="E318" s="54" t="inlineStr">
        <is>
          <t>Knight Crusader</t>
        </is>
      </c>
      <c r="F318" s="54" t="inlineStr">
        <is>
          <t>1 model</t>
        </is>
      </c>
      <c r="G318" s="54" t="inlineStr">
        <is>
          <t>Super-heavy Vehicle/Monster</t>
        </is>
      </c>
      <c r="H318" s="54" t="str"/>
      <c r="I318" s="54" t="str"/>
      <c r="J318" s="54" t="str"/>
      <c r="K318" s="54" t="str"/>
      <c r="L318" s="55" t="n">
        <v>445</v>
      </c>
      <c r="M318" s="54" t="str"/>
      <c r="N318" s="54" t="inlineStr">
        <is>
          <t>Matched to Munitorum Field Manual v2.3</t>
        </is>
      </c>
      <c r="O318" s="54" t="inlineStr">
        <is>
          <t>Uploaded PDF: Munitorum Field Manual v2.3 / March 2025, p.26</t>
        </is>
      </c>
    </row>
    <row r="319">
      <c r="A319" s="54" t="inlineStr">
        <is>
          <t>Imperial Knights</t>
        </is>
      </c>
      <c r="B319" s="54" t="str"/>
      <c r="C319" s="54" t="inlineStr">
        <is>
          <t>Vehicle / Support</t>
        </is>
      </c>
      <c r="D319" s="54" t="inlineStr">
        <is>
          <t>Super-heavy Vehicle/Monster</t>
        </is>
      </c>
      <c r="E319" s="54" t="inlineStr">
        <is>
          <t>Knight Errant</t>
        </is>
      </c>
      <c r="F319" s="54" t="inlineStr">
        <is>
          <t>1 model</t>
        </is>
      </c>
      <c r="G319" s="54" t="inlineStr">
        <is>
          <t>Super-heavy Vehicle/Monster</t>
        </is>
      </c>
      <c r="H319" s="54" t="str"/>
      <c r="I319" s="54" t="str"/>
      <c r="J319" s="54" t="str"/>
      <c r="K319" s="54" t="str"/>
      <c r="L319" s="55" t="n">
        <v>390</v>
      </c>
      <c r="M319" s="54" t="str"/>
      <c r="N319" s="54" t="inlineStr">
        <is>
          <t>Matched to Munitorum Field Manual v2.3</t>
        </is>
      </c>
      <c r="O319" s="54" t="inlineStr">
        <is>
          <t>Uploaded PDF: Munitorum Field Manual v2.3 / March 2025, p.26</t>
        </is>
      </c>
    </row>
    <row r="320">
      <c r="A320" s="54" t="inlineStr">
        <is>
          <t>Imperial Knights</t>
        </is>
      </c>
      <c r="B320" s="54" t="str"/>
      <c r="C320" s="54" t="inlineStr">
        <is>
          <t>Vehicle / Support</t>
        </is>
      </c>
      <c r="D320" s="54" t="inlineStr">
        <is>
          <t>Super-heavy Vehicle/Monster</t>
        </is>
      </c>
      <c r="E320" s="54" t="inlineStr">
        <is>
          <t>Knight Gallant</t>
        </is>
      </c>
      <c r="F320" s="54" t="inlineStr">
        <is>
          <t>1 model</t>
        </is>
      </c>
      <c r="G320" s="54" t="inlineStr">
        <is>
          <t>Super-heavy Vehicle/Monster</t>
        </is>
      </c>
      <c r="H320" s="54" t="str"/>
      <c r="I320" s="54" t="str"/>
      <c r="J320" s="54" t="str"/>
      <c r="K320" s="54" t="str"/>
      <c r="L320" s="55" t="n">
        <v>380</v>
      </c>
      <c r="M320" s="54" t="str"/>
      <c r="N320" s="54" t="inlineStr">
        <is>
          <t>Matched to Munitorum Field Manual v2.3</t>
        </is>
      </c>
      <c r="O320" s="54" t="inlineStr">
        <is>
          <t>Uploaded PDF: Munitorum Field Manual v2.3 / March 2025, p.26</t>
        </is>
      </c>
    </row>
    <row r="321">
      <c r="A321" s="54" t="inlineStr">
        <is>
          <t>Imperial Knights</t>
        </is>
      </c>
      <c r="B321" s="54" t="str"/>
      <c r="C321" s="54" t="inlineStr">
        <is>
          <t>Vehicle / Support</t>
        </is>
      </c>
      <c r="D321" s="54" t="inlineStr">
        <is>
          <t>Super-heavy Vehicle/Monster</t>
        </is>
      </c>
      <c r="E321" s="54" t="inlineStr">
        <is>
          <t>Knight Paladin</t>
        </is>
      </c>
      <c r="F321" s="54" t="inlineStr">
        <is>
          <t>1 model</t>
        </is>
      </c>
      <c r="G321" s="54" t="inlineStr">
        <is>
          <t>Super-heavy Vehicle/Monster</t>
        </is>
      </c>
      <c r="H321" s="54" t="str"/>
      <c r="I321" s="54" t="str"/>
      <c r="J321" s="54" t="str"/>
      <c r="K321" s="54" t="str"/>
      <c r="L321" s="55" t="n">
        <v>405</v>
      </c>
      <c r="M321" s="54" t="str"/>
      <c r="N321" s="54" t="inlineStr">
        <is>
          <t>Matched to Munitorum Field Manual v2.3</t>
        </is>
      </c>
      <c r="O321" s="54" t="inlineStr">
        <is>
          <t>Uploaded PDF: Munitorum Field Manual v2.3 / March 2025, p.26</t>
        </is>
      </c>
    </row>
    <row r="322">
      <c r="A322" s="54" t="inlineStr">
        <is>
          <t>Imperial Knights</t>
        </is>
      </c>
      <c r="B322" s="54" t="str"/>
      <c r="C322" s="54" t="inlineStr">
        <is>
          <t>Vehicle / Support</t>
        </is>
      </c>
      <c r="D322" s="54" t="inlineStr">
        <is>
          <t>Super-heavy Vehicle/Monster</t>
        </is>
      </c>
      <c r="E322" s="54" t="inlineStr">
        <is>
          <t>Knight Preceptor</t>
        </is>
      </c>
      <c r="F322" s="54" t="inlineStr">
        <is>
          <t>1 model</t>
        </is>
      </c>
      <c r="G322" s="54" t="inlineStr">
        <is>
          <t>Super-heavy Vehicle/Monster</t>
        </is>
      </c>
      <c r="H322" s="54" t="str"/>
      <c r="I322" s="54" t="str"/>
      <c r="J322" s="54" t="str"/>
      <c r="K322" s="54" t="str"/>
      <c r="L322" s="55" t="n">
        <v>405</v>
      </c>
      <c r="M322" s="54" t="str"/>
      <c r="N322" s="54" t="inlineStr">
        <is>
          <t>Matched to Munitorum Field Manual v2.3</t>
        </is>
      </c>
      <c r="O322" s="54" t="inlineStr">
        <is>
          <t>Uploaded PDF: Munitorum Field Manual v2.3 / March 2025, p.26</t>
        </is>
      </c>
    </row>
    <row r="323">
      <c r="A323" s="54" t="inlineStr">
        <is>
          <t>Imperial Knights</t>
        </is>
      </c>
      <c r="B323" s="54" t="str"/>
      <c r="C323" s="54" t="inlineStr">
        <is>
          <t>Vehicle / Support</t>
        </is>
      </c>
      <c r="D323" s="54" t="inlineStr">
        <is>
          <t>Super-heavy Vehicle/Monster</t>
        </is>
      </c>
      <c r="E323" s="54" t="inlineStr">
        <is>
          <t>Knight Valiant</t>
        </is>
      </c>
      <c r="F323" s="54" t="inlineStr">
        <is>
          <t>1 model</t>
        </is>
      </c>
      <c r="G323" s="54" t="inlineStr">
        <is>
          <t>Super-heavy Vehicle/Monster</t>
        </is>
      </c>
      <c r="H323" s="54" t="str"/>
      <c r="I323" s="54" t="str"/>
      <c r="J323" s="54" t="str"/>
      <c r="K323" s="54" t="str"/>
      <c r="L323" s="55" t="n">
        <v>480</v>
      </c>
      <c r="M323" s="54" t="str"/>
      <c r="N323" s="54" t="inlineStr">
        <is>
          <t>Matched to Munitorum Field Manual v2.3</t>
        </is>
      </c>
      <c r="O323" s="54" t="inlineStr">
        <is>
          <t>Uploaded PDF: Munitorum Field Manual v2.3 / March 2025, p.26</t>
        </is>
      </c>
    </row>
    <row r="324">
      <c r="A324" s="54" t="inlineStr">
        <is>
          <t>Imperial Knights</t>
        </is>
      </c>
      <c r="B324" s="54" t="str"/>
      <c r="C324" s="54" t="inlineStr">
        <is>
          <t>Vehicle / Support</t>
        </is>
      </c>
      <c r="D324" s="54" t="inlineStr">
        <is>
          <t>Super-heavy Vehicle/Monster</t>
        </is>
      </c>
      <c r="E324" s="54" t="inlineStr">
        <is>
          <t>Knight Warden</t>
        </is>
      </c>
      <c r="F324" s="54" t="inlineStr">
        <is>
          <t>1 model</t>
        </is>
      </c>
      <c r="G324" s="54" t="inlineStr">
        <is>
          <t>Super-heavy Vehicle/Monster</t>
        </is>
      </c>
      <c r="H324" s="54" t="str"/>
      <c r="I324" s="54" t="str"/>
      <c r="J324" s="54" t="str"/>
      <c r="K324" s="54" t="str"/>
      <c r="L324" s="55" t="n">
        <v>450</v>
      </c>
      <c r="M324" s="54" t="str"/>
      <c r="N324" s="54" t="inlineStr">
        <is>
          <t>Matched to Munitorum Field Manual v2.3</t>
        </is>
      </c>
      <c r="O324" s="54" t="inlineStr">
        <is>
          <t>Uploaded PDF: Munitorum Field Manual v2.3 / March 2025, p.26</t>
        </is>
      </c>
    </row>
    <row r="325">
      <c r="A325" s="54" t="inlineStr">
        <is>
          <t>Imperial Agents</t>
        </is>
      </c>
      <c r="B325" s="54" t="str"/>
      <c r="C325" s="54" t="inlineStr">
        <is>
          <t>Character</t>
        </is>
      </c>
      <c r="D325" s="54" t="inlineStr">
        <is>
          <t>Character</t>
        </is>
      </c>
      <c r="E325" s="54" t="inlineStr">
        <is>
          <t>Callidus Assassin</t>
        </is>
      </c>
      <c r="F325" s="54" t="n"/>
      <c r="G325" s="54" t="inlineStr">
        <is>
          <t>Character</t>
        </is>
      </c>
      <c r="H325" s="54" t="str"/>
      <c r="I325" s="54" t="str"/>
      <c r="J325" s="54" t="str"/>
      <c r="K325" s="54" t="str"/>
      <c r="L325" s="55" t="n"/>
      <c r="M325" s="54" t="inlineStr">
        <is>
          <t>No matching points entry found in uploaded PDF; verify unit name/current support.</t>
        </is>
      </c>
      <c r="N325" s="54" t="inlineStr">
        <is>
          <t>Not found in uploaded PDF</t>
        </is>
      </c>
      <c r="O325" s="54" t="inlineStr">
        <is>
          <t>Uploaded PDF: Munitorum Field Manual v2.3 / March 2025</t>
        </is>
      </c>
    </row>
    <row r="326">
      <c r="A326" s="54" t="inlineStr">
        <is>
          <t>Imperial Agents</t>
        </is>
      </c>
      <c r="B326" s="54" t="str"/>
      <c r="C326" s="54" t="inlineStr">
        <is>
          <t>Character</t>
        </is>
      </c>
      <c r="D326" s="54" t="inlineStr">
        <is>
          <t>Character</t>
        </is>
      </c>
      <c r="E326" s="54" t="inlineStr">
        <is>
          <t>Culexus Assassin</t>
        </is>
      </c>
      <c r="F326" s="54" t="inlineStr">
        <is>
          <t>1 model</t>
        </is>
      </c>
      <c r="G326" s="54" t="inlineStr">
        <is>
          <t>Character</t>
        </is>
      </c>
      <c r="H326" s="54" t="str"/>
      <c r="I326" s="54" t="str"/>
      <c r="J326" s="54" t="str"/>
      <c r="K326" s="54" t="str"/>
      <c r="L326" s="55" t="n">
        <v>85</v>
      </c>
      <c r="M326" s="54" t="inlineStr">
        <is>
          <t>Points options: 1 model = 85 pts; 1 model = 85 pts</t>
        </is>
      </c>
      <c r="N326" s="54" t="inlineStr">
        <is>
          <t>Matched to Munitorum Field Manual v2.3</t>
        </is>
      </c>
      <c r="O326" s="54" t="inlineStr">
        <is>
          <t>Uploaded PDF: Munitorum Field Manual v2.3 / March 2025, p.24</t>
        </is>
      </c>
    </row>
    <row r="327">
      <c r="A327" s="54" t="inlineStr">
        <is>
          <t>Imperial Agents</t>
        </is>
      </c>
      <c r="B327" s="54" t="str"/>
      <c r="C327" s="54" t="inlineStr">
        <is>
          <t>Character</t>
        </is>
      </c>
      <c r="D327" s="54" t="inlineStr">
        <is>
          <t>Character</t>
        </is>
      </c>
      <c r="E327" s="54" t="inlineStr">
        <is>
          <t>Eversor Assassin</t>
        </is>
      </c>
      <c r="F327" s="54" t="inlineStr">
        <is>
          <t>1 model</t>
        </is>
      </c>
      <c r="G327" s="54" t="inlineStr">
        <is>
          <t>Character</t>
        </is>
      </c>
      <c r="H327" s="54" t="str"/>
      <c r="I327" s="54" t="str"/>
      <c r="J327" s="54" t="str"/>
      <c r="K327" s="54" t="str"/>
      <c r="L327" s="55" t="n">
        <v>110</v>
      </c>
      <c r="M327" s="54" t="inlineStr">
        <is>
          <t>Points options: 1 model = 110 pts; 1 model = 120 pts</t>
        </is>
      </c>
      <c r="N327" s="54" t="inlineStr">
        <is>
          <t>Matched to Munitorum Field Manual v2.3</t>
        </is>
      </c>
      <c r="O327" s="54" t="inlineStr">
        <is>
          <t>Uploaded PDF: Munitorum Field Manual v2.3 / March 2025, p.24</t>
        </is>
      </c>
    </row>
    <row r="328">
      <c r="A328" s="54" t="inlineStr">
        <is>
          <t>Imperial Agents</t>
        </is>
      </c>
      <c r="B328" s="54" t="str"/>
      <c r="C328" s="54" t="inlineStr">
        <is>
          <t>Character</t>
        </is>
      </c>
      <c r="D328" s="54" t="inlineStr">
        <is>
          <t>Character</t>
        </is>
      </c>
      <c r="E328" s="54" t="inlineStr">
        <is>
          <t>Vindicare Assassin</t>
        </is>
      </c>
      <c r="F328" s="54" t="inlineStr">
        <is>
          <t>1 model</t>
        </is>
      </c>
      <c r="G328" s="54" t="inlineStr">
        <is>
          <t>Character</t>
        </is>
      </c>
      <c r="H328" s="54" t="str"/>
      <c r="I328" s="54" t="str"/>
      <c r="J328" s="54" t="str"/>
      <c r="K328" s="54" t="str"/>
      <c r="L328" s="55" t="n">
        <v>110</v>
      </c>
      <c r="M328" s="54" t="inlineStr">
        <is>
          <t>Points options: 1 model = 110 pts; 1 model = 125 pts</t>
        </is>
      </c>
      <c r="N328" s="54" t="inlineStr">
        <is>
          <t>Matched to Munitorum Field Manual v2.3</t>
        </is>
      </c>
      <c r="O328" s="54" t="inlineStr">
        <is>
          <t>Uploaded PDF: Munitorum Field Manual v2.3 / March 2025, p.24</t>
        </is>
      </c>
    </row>
    <row r="329">
      <c r="A329" s="54" t="inlineStr">
        <is>
          <t>Imperial Agents</t>
        </is>
      </c>
      <c r="B329" s="54" t="str"/>
      <c r="C329" s="54" t="inlineStr">
        <is>
          <t>Infantry / Other</t>
        </is>
      </c>
      <c r="D329" s="54" t="inlineStr">
        <is>
          <t>Infantry</t>
        </is>
      </c>
      <c r="E329" s="54" t="inlineStr">
        <is>
          <t>Exaction Squad</t>
        </is>
      </c>
      <c r="F329" s="54" t="inlineStr">
        <is>
          <t>11 models</t>
        </is>
      </c>
      <c r="G329" s="54" t="inlineStr">
        <is>
          <t>Infantry</t>
        </is>
      </c>
      <c r="H329" s="54" t="str"/>
      <c r="I329" s="54" t="str"/>
      <c r="J329" s="54" t="str"/>
      <c r="K329" s="54" t="str"/>
      <c r="L329" s="55" t="n">
        <v>90</v>
      </c>
      <c r="M329" s="54" t="inlineStr">
        <is>
          <t>Points options: 11 models = 90 pts; 11 models = 90 pts</t>
        </is>
      </c>
      <c r="N329" s="54" t="inlineStr">
        <is>
          <t>Matched to Munitorum Field Manual v2.3</t>
        </is>
      </c>
      <c r="O329" s="54" t="inlineStr">
        <is>
          <t>Uploaded PDF: Munitorum Field Manual v2.3 / March 2025, p.24</t>
        </is>
      </c>
    </row>
    <row r="330">
      <c r="A330" s="54" t="inlineStr">
        <is>
          <t>Imperial Agents</t>
        </is>
      </c>
      <c r="B330" s="54" t="str"/>
      <c r="C330" s="54" t="inlineStr">
        <is>
          <t>Infantry / Other</t>
        </is>
      </c>
      <c r="D330" s="54" t="inlineStr">
        <is>
          <t>Infantry</t>
        </is>
      </c>
      <c r="E330" s="54" t="inlineStr">
        <is>
          <t>Imperial Breachers</t>
        </is>
      </c>
      <c r="F330" s="54" t="inlineStr">
        <is>
          <t>10 models</t>
        </is>
      </c>
      <c r="G330" s="54" t="inlineStr">
        <is>
          <t>Infantry</t>
        </is>
      </c>
      <c r="H330" s="54" t="str"/>
      <c r="I330" s="54" t="str"/>
      <c r="J330" s="54" t="str"/>
      <c r="K330" s="54" t="str"/>
      <c r="L330" s="55" t="n">
        <v>90</v>
      </c>
      <c r="M330" s="54" t="inlineStr">
        <is>
          <t>Points options: 10 models = 90 pts; 10 models = 90 pts</t>
        </is>
      </c>
      <c r="N330" s="54" t="inlineStr">
        <is>
          <t>Matched to Munitorum Field Manual v2.3</t>
        </is>
      </c>
      <c r="O330" s="54" t="inlineStr">
        <is>
          <t>Uploaded PDF: Munitorum Field Manual v2.3 / March 2025, p.24</t>
        </is>
      </c>
    </row>
    <row r="331">
      <c r="A331" s="54" t="inlineStr">
        <is>
          <t>Imperial Agents</t>
        </is>
      </c>
      <c r="B331" s="54" t="str"/>
      <c r="C331" s="54" t="inlineStr">
        <is>
          <t>Character</t>
        </is>
      </c>
      <c r="D331" s="54" t="inlineStr">
        <is>
          <t>Character</t>
        </is>
      </c>
      <c r="E331" s="54" t="inlineStr">
        <is>
          <t>Inquisitorial Agents</t>
        </is>
      </c>
      <c r="F331" s="54" t="inlineStr">
        <is>
          <t>6 models</t>
        </is>
      </c>
      <c r="G331" s="54" t="inlineStr">
        <is>
          <t>Character</t>
        </is>
      </c>
      <c r="H331" s="54" t="str"/>
      <c r="I331" s="54" t="str"/>
      <c r="J331" s="54" t="str"/>
      <c r="K331" s="54" t="str"/>
      <c r="L331" s="55" t="n">
        <v>50</v>
      </c>
      <c r="M331" s="54" t="inlineStr">
        <is>
          <t>Points options: 6 models = 50 pts; 12 models = 100 pts; 6 models = 60 pts; 12 models = 120 pts</t>
        </is>
      </c>
      <c r="N331" s="54" t="inlineStr">
        <is>
          <t>Matched to Munitorum Field Manual v2.3</t>
        </is>
      </c>
      <c r="O331" s="54" t="inlineStr">
        <is>
          <t>Uploaded PDF: Munitorum Field Manual v2.3 / March 2025, p.24</t>
        </is>
      </c>
    </row>
    <row r="332">
      <c r="A332" s="54" t="inlineStr">
        <is>
          <t>Imperial Agents</t>
        </is>
      </c>
      <c r="B332" s="54" t="str"/>
      <c r="C332" s="54" t="inlineStr">
        <is>
          <t>Character</t>
        </is>
      </c>
      <c r="D332" s="54" t="inlineStr">
        <is>
          <t>Character</t>
        </is>
      </c>
      <c r="E332" s="54" t="inlineStr">
        <is>
          <t>Lord Inquisitor Kyria Draxus</t>
        </is>
      </c>
      <c r="F332" s="54" t="inlineStr">
        <is>
          <t>1 model</t>
        </is>
      </c>
      <c r="G332" s="54" t="inlineStr">
        <is>
          <t>Character</t>
        </is>
      </c>
      <c r="H332" s="54" t="str"/>
      <c r="I332" s="54" t="str"/>
      <c r="J332" s="54" t="str"/>
      <c r="K332" s="54" t="str"/>
      <c r="L332" s="55" t="n">
        <v>75</v>
      </c>
      <c r="M332" s="54" t="inlineStr">
        <is>
          <t>Points options: 1 model = 75 pts; 1 model = 95 pts</t>
        </is>
      </c>
      <c r="N332" s="54" t="inlineStr">
        <is>
          <t>Matched to Munitorum Field Manual v2.3</t>
        </is>
      </c>
      <c r="O332" s="54" t="inlineStr">
        <is>
          <t>Uploaded PDF: Munitorum Field Manual v2.3 / March 2025, p.24</t>
        </is>
      </c>
    </row>
    <row r="333">
      <c r="A333" s="54" t="inlineStr">
        <is>
          <t>Imperial Agents</t>
        </is>
      </c>
      <c r="B333" s="54" t="str"/>
      <c r="C333" s="54" t="inlineStr">
        <is>
          <t>Character</t>
        </is>
      </c>
      <c r="D333" s="54" t="inlineStr">
        <is>
          <t>Character</t>
        </is>
      </c>
      <c r="E333" s="54" t="inlineStr">
        <is>
          <t>Ministorum Priest</t>
        </is>
      </c>
      <c r="F333" s="54" t="inlineStr">
        <is>
          <t>1 model</t>
        </is>
      </c>
      <c r="G333" s="54" t="inlineStr">
        <is>
          <t>Character</t>
        </is>
      </c>
      <c r="H333" s="54" t="str"/>
      <c r="I333" s="54" t="str"/>
      <c r="J333" s="54" t="str"/>
      <c r="K333" s="54" t="str"/>
      <c r="L333" s="55" t="n">
        <v>40</v>
      </c>
      <c r="M333" s="54" t="inlineStr">
        <is>
          <t>Points options: 1 model = 40 pts; 1 model = 40 pts</t>
        </is>
      </c>
      <c r="N333" s="54" t="inlineStr">
        <is>
          <t>Matched to Munitorum Field Manual v2.3</t>
        </is>
      </c>
      <c r="O333" s="54" t="inlineStr">
        <is>
          <t>Uploaded PDF: Munitorum Field Manual v2.3 / March 2025, p.24</t>
        </is>
      </c>
    </row>
    <row r="334">
      <c r="A334" s="54" t="inlineStr">
        <is>
          <t>Imperial Agents</t>
        </is>
      </c>
      <c r="B334" s="54" t="str"/>
      <c r="C334" s="54" t="inlineStr">
        <is>
          <t>Character</t>
        </is>
      </c>
      <c r="D334" s="54" t="inlineStr">
        <is>
          <t>Character</t>
        </is>
      </c>
      <c r="E334" s="54" t="inlineStr">
        <is>
          <t>Navigator</t>
        </is>
      </c>
      <c r="F334" s="54" t="inlineStr">
        <is>
          <t>1 model</t>
        </is>
      </c>
      <c r="G334" s="54" t="inlineStr">
        <is>
          <t>Character</t>
        </is>
      </c>
      <c r="H334" s="54" t="str"/>
      <c r="I334" s="54" t="str"/>
      <c r="J334" s="54" t="str"/>
      <c r="K334" s="54" t="str"/>
      <c r="L334" s="55" t="n">
        <v>60</v>
      </c>
      <c r="M334" s="54" t="inlineStr">
        <is>
          <t>Points options: 1 model = 60 pts; 1 model = 75 pts</t>
        </is>
      </c>
      <c r="N334" s="54" t="inlineStr">
        <is>
          <t>Matched to Munitorum Field Manual v2.3</t>
        </is>
      </c>
      <c r="O334" s="54" t="inlineStr">
        <is>
          <t>Uploaded PDF: Munitorum Field Manual v2.3 / March 2025, p.24</t>
        </is>
      </c>
    </row>
    <row r="335">
      <c r="A335" s="54" t="inlineStr">
        <is>
          <t>Imperial Agents</t>
        </is>
      </c>
      <c r="B335" s="54" t="str"/>
      <c r="C335" s="54" t="inlineStr">
        <is>
          <t>Infantry / Other</t>
        </is>
      </c>
      <c r="D335" s="54" t="inlineStr">
        <is>
          <t>Infantry</t>
        </is>
      </c>
      <c r="E335" s="54" t="inlineStr">
        <is>
          <t>Rogue Trader Entourage</t>
        </is>
      </c>
      <c r="F335" s="54" t="inlineStr">
        <is>
          <t>4 models</t>
        </is>
      </c>
      <c r="G335" s="54" t="inlineStr">
        <is>
          <t>Infantry</t>
        </is>
      </c>
      <c r="H335" s="54" t="str"/>
      <c r="I335" s="54" t="str"/>
      <c r="J335" s="54" t="str"/>
      <c r="K335" s="54" t="str"/>
      <c r="L335" s="55" t="n">
        <v>75</v>
      </c>
      <c r="M335" s="54" t="inlineStr">
        <is>
          <t>Points options: 4 models = 75 pts; 4 models = 105 pts</t>
        </is>
      </c>
      <c r="N335" s="54" t="inlineStr">
        <is>
          <t>Matched to Munitorum Field Manual v2.3</t>
        </is>
      </c>
      <c r="O335" s="54" t="inlineStr">
        <is>
          <t>Uploaded PDF: Munitorum Field Manual v2.3 / March 2025, p.24</t>
        </is>
      </c>
    </row>
    <row r="336">
      <c r="A336" s="54" t="inlineStr">
        <is>
          <t>Imperial Agents</t>
        </is>
      </c>
      <c r="B336" s="54" t="str"/>
      <c r="C336" s="54" t="inlineStr">
        <is>
          <t>Infantry / Other</t>
        </is>
      </c>
      <c r="D336" s="54" t="inlineStr">
        <is>
          <t>Infantry</t>
        </is>
      </c>
      <c r="E336" s="54" t="inlineStr">
        <is>
          <t>Subductor Squad</t>
        </is>
      </c>
      <c r="F336" s="54" t="inlineStr">
        <is>
          <t>11 models</t>
        </is>
      </c>
      <c r="G336" s="54" t="inlineStr">
        <is>
          <t>Infantry</t>
        </is>
      </c>
      <c r="H336" s="54" t="str"/>
      <c r="I336" s="54" t="str"/>
      <c r="J336" s="54" t="str"/>
      <c r="K336" s="54" t="str"/>
      <c r="L336" s="55" t="n">
        <v>85</v>
      </c>
      <c r="M336" s="54" t="inlineStr">
        <is>
          <t>Points options: 11 models = 85 pts; 11 models = 100 pts</t>
        </is>
      </c>
      <c r="N336" s="54" t="inlineStr">
        <is>
          <t>Matched to Munitorum Field Manual v2.3</t>
        </is>
      </c>
      <c r="O336" s="54" t="inlineStr">
        <is>
          <t>Uploaded PDF: Munitorum Field Manual v2.3 / March 2025, p.24</t>
        </is>
      </c>
    </row>
    <row r="337">
      <c r="A337" s="54" t="inlineStr">
        <is>
          <t>Imperial Agents</t>
        </is>
      </c>
      <c r="B337" s="54" t="str"/>
      <c r="C337" s="54" t="inlineStr">
        <is>
          <t>Infantry / Other</t>
        </is>
      </c>
      <c r="D337" s="54" t="inlineStr">
        <is>
          <t>Infantry</t>
        </is>
      </c>
      <c r="E337" s="54" t="inlineStr">
        <is>
          <t>Voidsmen-at-Arms</t>
        </is>
      </c>
      <c r="F337" s="54" t="inlineStr">
        <is>
          <t>6 models</t>
        </is>
      </c>
      <c r="G337" s="54" t="inlineStr">
        <is>
          <t>Infantry</t>
        </is>
      </c>
      <c r="H337" s="54" t="str"/>
      <c r="I337" s="54" t="str"/>
      <c r="J337" s="54" t="str"/>
      <c r="K337" s="54" t="str"/>
      <c r="L337" s="55" t="n">
        <v>50</v>
      </c>
      <c r="M337" s="54" t="inlineStr">
        <is>
          <t>Points options: 6 models = 50 pts; 6 models = 70 pts</t>
        </is>
      </c>
      <c r="N337" s="54" t="inlineStr">
        <is>
          <t>Matched to Munitorum Field Manual v2.3</t>
        </is>
      </c>
      <c r="O337" s="54" t="inlineStr">
        <is>
          <t>Uploaded PDF: Munitorum Field Manual v2.3 / March 2025, p.24</t>
        </is>
      </c>
    </row>
    <row r="338">
      <c r="A338" s="54" t="inlineStr">
        <is>
          <t>Imperial Agents</t>
        </is>
      </c>
      <c r="B338" s="54" t="str"/>
      <c r="C338" s="54" t="inlineStr">
        <is>
          <t>Character</t>
        </is>
      </c>
      <c r="D338" s="54" t="inlineStr">
        <is>
          <t>Character</t>
        </is>
      </c>
      <c r="E338" s="54" t="inlineStr">
        <is>
          <t>Watch Captain Artemis</t>
        </is>
      </c>
      <c r="F338" s="54" t="inlineStr">
        <is>
          <t>1 model</t>
        </is>
      </c>
      <c r="G338" s="54" t="inlineStr">
        <is>
          <t>Character</t>
        </is>
      </c>
      <c r="H338" s="54" t="str"/>
      <c r="I338" s="54" t="str"/>
      <c r="J338" s="54" t="str"/>
      <c r="K338" s="54" t="str"/>
      <c r="L338" s="55" t="n">
        <v>65</v>
      </c>
      <c r="M338" s="54" t="inlineStr">
        <is>
          <t>Points options: 1 model = 65 pts; 1 model = 65 pts</t>
        </is>
      </c>
      <c r="N338" s="54" t="inlineStr">
        <is>
          <t>Matched to Munitorum Field Manual v2.3</t>
        </is>
      </c>
      <c r="O338" s="54" t="inlineStr">
        <is>
          <t>Uploaded PDF: Munitorum Field Manual v2.3 / March 2025, p.24</t>
        </is>
      </c>
    </row>
    <row r="339">
      <c r="A339" s="54" t="inlineStr">
        <is>
          <t>Chaos Space Marines</t>
        </is>
      </c>
      <c r="B339" s="54" t="str"/>
      <c r="C339" s="54" t="inlineStr">
        <is>
          <t>Vehicle / Support</t>
        </is>
      </c>
      <c r="D339" s="54" t="inlineStr">
        <is>
          <t>Vehicle</t>
        </is>
      </c>
      <c r="E339" s="54" t="inlineStr">
        <is>
          <t>Abaddon the Despoiler</t>
        </is>
      </c>
      <c r="F339" s="54" t="inlineStr">
        <is>
          <t>1 model</t>
        </is>
      </c>
      <c r="G339" s="54" t="inlineStr">
        <is>
          <t>Vehicle, Epic Hero</t>
        </is>
      </c>
      <c r="H339" s="54" t="str"/>
      <c r="I339" s="54" t="str"/>
      <c r="J339" s="54" t="str"/>
      <c r="K339" s="54" t="str"/>
      <c r="L339" s="55" t="n">
        <v>280</v>
      </c>
      <c r="M339" s="54" t="str"/>
      <c r="N339" s="54" t="inlineStr">
        <is>
          <t>Matched to Munitorum Field Manual v2.3</t>
        </is>
      </c>
      <c r="O339" s="54" t="inlineStr">
        <is>
          <t>Uploaded PDF: Munitorum Field Manual v2.3 / March 2025, p.15</t>
        </is>
      </c>
    </row>
    <row r="340">
      <c r="A340" s="54" t="inlineStr">
        <is>
          <t>Chaos Space Marines</t>
        </is>
      </c>
      <c r="B340" s="54" t="str"/>
      <c r="C340" s="54" t="inlineStr">
        <is>
          <t>Infantry / Other</t>
        </is>
      </c>
      <c r="D340" s="54" t="inlineStr">
        <is>
          <t>Infantry</t>
        </is>
      </c>
      <c r="E340" s="54" t="inlineStr">
        <is>
          <t>Accursed Cultists</t>
        </is>
      </c>
      <c r="F340" s="54" t="inlineStr">
        <is>
          <t>8 models</t>
        </is>
      </c>
      <c r="G340" s="54" t="inlineStr">
        <is>
          <t>Infantry</t>
        </is>
      </c>
      <c r="H340" s="54" t="str"/>
      <c r="I340" s="54" t="str"/>
      <c r="J340" s="54" t="str"/>
      <c r="K340" s="54" t="str"/>
      <c r="L340" s="55" t="n">
        <v>90</v>
      </c>
      <c r="M340" s="54" t="inlineStr">
        <is>
          <t>Points options: 8 models = 90 pts; 16 models = 195 pts</t>
        </is>
      </c>
      <c r="N340" s="54" t="inlineStr">
        <is>
          <t>Matched to Munitorum Field Manual v2.3</t>
        </is>
      </c>
      <c r="O340" s="54" t="inlineStr">
        <is>
          <t>Uploaded PDF: Munitorum Field Manual v2.3 / March 2025, p.15</t>
        </is>
      </c>
    </row>
    <row r="341">
      <c r="A341" s="54" t="inlineStr">
        <is>
          <t>Chaos Space Marines</t>
        </is>
      </c>
      <c r="B341" s="54" t="str"/>
      <c r="C341" s="54" t="inlineStr">
        <is>
          <t>Infantry / Other</t>
        </is>
      </c>
      <c r="D341" s="54" t="inlineStr">
        <is>
          <t>Mounted / Bike</t>
        </is>
      </c>
      <c r="E341" s="54" t="inlineStr">
        <is>
          <t>Chaos Bikers</t>
        </is>
      </c>
      <c r="F341" s="54" t="inlineStr">
        <is>
          <t>3 models</t>
        </is>
      </c>
      <c r="G341" s="54" t="inlineStr">
        <is>
          <t>Mounted / Bike</t>
        </is>
      </c>
      <c r="H341" s="54" t="str"/>
      <c r="I341" s="54" t="str"/>
      <c r="J341" s="54" t="str"/>
      <c r="K341" s="54" t="str"/>
      <c r="L341" s="55" t="n">
        <v>70</v>
      </c>
      <c r="M341" s="54" t="inlineStr">
        <is>
          <t>Points options: 3 models = 70 pts; 6 models = 130 pts</t>
        </is>
      </c>
      <c r="N341" s="54" t="inlineStr">
        <is>
          <t>Matched to Munitorum Field Manual v2.3</t>
        </is>
      </c>
      <c r="O341" s="54" t="inlineStr">
        <is>
          <t>Uploaded PDF: Munitorum Field Manual v2.3 / March 2025, p.15</t>
        </is>
      </c>
    </row>
    <row r="342">
      <c r="A342" s="54" t="inlineStr">
        <is>
          <t>Chaos Space Marines</t>
        </is>
      </c>
      <c r="B342" s="54" t="str"/>
      <c r="C342" s="54" t="inlineStr">
        <is>
          <t>Vehicle / Support</t>
        </is>
      </c>
      <c r="D342" s="54" t="inlineStr">
        <is>
          <t>Vehicle</t>
        </is>
      </c>
      <c r="E342" s="54" t="inlineStr">
        <is>
          <t>Chaos Land Raider</t>
        </is>
      </c>
      <c r="F342" s="54" t="inlineStr">
        <is>
          <t>1 model</t>
        </is>
      </c>
      <c r="G342" s="54" t="inlineStr">
        <is>
          <t>Vehicle</t>
        </is>
      </c>
      <c r="H342" s="54" t="str"/>
      <c r="I342" s="54" t="str"/>
      <c r="J342" s="54" t="str"/>
      <c r="K342" s="54" t="str"/>
      <c r="L342" s="55" t="n">
        <v>240</v>
      </c>
      <c r="M342" s="54" t="str"/>
      <c r="N342" s="54" t="inlineStr">
        <is>
          <t>Matched to Munitorum Field Manual v2.3</t>
        </is>
      </c>
      <c r="O342" s="54" t="inlineStr">
        <is>
          <t>Uploaded PDF: Munitorum Field Manual v2.3 / March 2025, p.15</t>
        </is>
      </c>
    </row>
    <row r="343">
      <c r="A343" s="54" t="inlineStr">
        <is>
          <t>Chaos Space Marines</t>
        </is>
      </c>
      <c r="B343" s="54" t="str"/>
      <c r="C343" s="54" t="inlineStr">
        <is>
          <t>Character</t>
        </is>
      </c>
      <c r="D343" s="54" t="inlineStr">
        <is>
          <t>Character</t>
        </is>
      </c>
      <c r="E343" s="54" t="inlineStr">
        <is>
          <t>Chaos Lord</t>
        </is>
      </c>
      <c r="F343" s="54" t="inlineStr">
        <is>
          <t>1 model</t>
        </is>
      </c>
      <c r="G343" s="54" t="inlineStr">
        <is>
          <t>Character</t>
        </is>
      </c>
      <c r="H343" s="54" t="str"/>
      <c r="I343" s="54" t="str"/>
      <c r="J343" s="54" t="str"/>
      <c r="K343" s="54" t="str"/>
      <c r="L343" s="55" t="n">
        <v>90</v>
      </c>
      <c r="M343" s="54" t="str"/>
      <c r="N343" s="54" t="inlineStr">
        <is>
          <t>Matched to Munitorum Field Manual v2.3</t>
        </is>
      </c>
      <c r="O343" s="54" t="inlineStr">
        <is>
          <t>Uploaded PDF: Munitorum Field Manual v2.3 / March 2025, p.15</t>
        </is>
      </c>
    </row>
    <row r="344">
      <c r="A344" s="54" t="inlineStr">
        <is>
          <t>Chaos Space Marines</t>
        </is>
      </c>
      <c r="B344" s="54" t="str"/>
      <c r="C344" s="54" t="inlineStr">
        <is>
          <t>Character</t>
        </is>
      </c>
      <c r="D344" s="54" t="inlineStr">
        <is>
          <t>Character</t>
        </is>
      </c>
      <c r="E344" s="54" t="inlineStr">
        <is>
          <t>Chaos Lord in Terminator Armour</t>
        </is>
      </c>
      <c r="F344" s="54" t="inlineStr">
        <is>
          <t>1 model</t>
        </is>
      </c>
      <c r="G344" s="54" t="inlineStr">
        <is>
          <t>Character</t>
        </is>
      </c>
      <c r="H344" s="54" t="str"/>
      <c r="I344" s="54" t="str"/>
      <c r="J344" s="54" t="str"/>
      <c r="K344" s="54" t="str"/>
      <c r="L344" s="55" t="n">
        <v>95</v>
      </c>
      <c r="M344" s="54" t="str"/>
      <c r="N344" s="54" t="inlineStr">
        <is>
          <t>Matched to Munitorum Field Manual v2.3</t>
        </is>
      </c>
      <c r="O344" s="54" t="inlineStr">
        <is>
          <t>Uploaded PDF: Munitorum Field Manual v2.3 / March 2025, p.15</t>
        </is>
      </c>
    </row>
    <row r="345">
      <c r="A345" s="54" t="inlineStr">
        <is>
          <t>Chaos Space Marines</t>
        </is>
      </c>
      <c r="B345" s="54" t="str"/>
      <c r="C345" s="54" t="inlineStr">
        <is>
          <t>Vehicle / Support</t>
        </is>
      </c>
      <c r="D345" s="54" t="inlineStr">
        <is>
          <t>Vehicle</t>
        </is>
      </c>
      <c r="E345" s="54" t="inlineStr">
        <is>
          <t>Chaos Predator Annihilator</t>
        </is>
      </c>
      <c r="F345" s="54" t="inlineStr">
        <is>
          <t>1 model</t>
        </is>
      </c>
      <c r="G345" s="54" t="inlineStr">
        <is>
          <t>Vehicle</t>
        </is>
      </c>
      <c r="H345" s="54" t="str"/>
      <c r="I345" s="54" t="str"/>
      <c r="J345" s="54" t="str"/>
      <c r="K345" s="54" t="str"/>
      <c r="L345" s="55" t="n">
        <v>135</v>
      </c>
      <c r="M345" s="54" t="str"/>
      <c r="N345" s="54" t="inlineStr">
        <is>
          <t>Matched to Munitorum Field Manual v2.3</t>
        </is>
      </c>
      <c r="O345" s="54" t="inlineStr">
        <is>
          <t>Uploaded PDF: Munitorum Field Manual v2.3 / March 2025, p.15</t>
        </is>
      </c>
    </row>
    <row r="346">
      <c r="A346" s="54" t="inlineStr">
        <is>
          <t>Chaos Space Marines</t>
        </is>
      </c>
      <c r="B346" s="54" t="str"/>
      <c r="C346" s="54" t="inlineStr">
        <is>
          <t>Vehicle / Support</t>
        </is>
      </c>
      <c r="D346" s="54" t="inlineStr">
        <is>
          <t>Vehicle</t>
        </is>
      </c>
      <c r="E346" s="54" t="inlineStr">
        <is>
          <t>Chaos Predator Destructor</t>
        </is>
      </c>
      <c r="F346" s="54" t="inlineStr">
        <is>
          <t>1 model</t>
        </is>
      </c>
      <c r="G346" s="54" t="inlineStr">
        <is>
          <t>Vehicle</t>
        </is>
      </c>
      <c r="H346" s="54" t="str"/>
      <c r="I346" s="54" t="str"/>
      <c r="J346" s="54" t="str"/>
      <c r="K346" s="54" t="str"/>
      <c r="L346" s="55" t="n">
        <v>140</v>
      </c>
      <c r="M346" s="54" t="str"/>
      <c r="N346" s="54" t="inlineStr">
        <is>
          <t>Matched to Munitorum Field Manual v2.3</t>
        </is>
      </c>
      <c r="O346" s="54" t="inlineStr">
        <is>
          <t>Uploaded PDF: Munitorum Field Manual v2.3 / March 2025, p.15</t>
        </is>
      </c>
    </row>
    <row r="347">
      <c r="A347" s="54" t="inlineStr">
        <is>
          <t>Chaos Space Marines</t>
        </is>
      </c>
      <c r="B347" s="54" t="str"/>
      <c r="C347" s="54" t="inlineStr">
        <is>
          <t>Vehicle / Support</t>
        </is>
      </c>
      <c r="D347" s="54" t="inlineStr">
        <is>
          <t>Vehicle</t>
        </is>
      </c>
      <c r="E347" s="54" t="inlineStr">
        <is>
          <t>Chaos Rhino</t>
        </is>
      </c>
      <c r="F347" s="54" t="inlineStr">
        <is>
          <t>1 model</t>
        </is>
      </c>
      <c r="G347" s="54" t="inlineStr">
        <is>
          <t>Vehicle</t>
        </is>
      </c>
      <c r="H347" s="54" t="str"/>
      <c r="I347" s="54" t="str"/>
      <c r="J347" s="54" t="str"/>
      <c r="K347" s="54" t="str"/>
      <c r="L347" s="55" t="n">
        <v>75</v>
      </c>
      <c r="M347" s="54" t="str"/>
      <c r="N347" s="54" t="inlineStr">
        <is>
          <t>Matched to Munitorum Field Manual v2.3</t>
        </is>
      </c>
      <c r="O347" s="54" t="inlineStr">
        <is>
          <t>Uploaded PDF: Munitorum Field Manual v2.3 / March 2025, p.15</t>
        </is>
      </c>
    </row>
    <row r="348">
      <c r="A348" s="54" t="inlineStr">
        <is>
          <t>Chaos Space Marines</t>
        </is>
      </c>
      <c r="B348" s="54" t="str"/>
      <c r="C348" s="54" t="inlineStr">
        <is>
          <t>Infantry / Other</t>
        </is>
      </c>
      <c r="D348" s="54" t="inlineStr">
        <is>
          <t>Infantry</t>
        </is>
      </c>
      <c r="E348" s="54" t="inlineStr">
        <is>
          <t>Chaos Spawn</t>
        </is>
      </c>
      <c r="F348" s="54" t="inlineStr">
        <is>
          <t>2 models</t>
        </is>
      </c>
      <c r="G348" s="54" t="inlineStr">
        <is>
          <t>Infantry</t>
        </is>
      </c>
      <c r="H348" s="54" t="str"/>
      <c r="I348" s="54" t="str"/>
      <c r="J348" s="54" t="str"/>
      <c r="K348" s="54" t="str"/>
      <c r="L348" s="55" t="n">
        <v>70</v>
      </c>
      <c r="M348" s="54" t="str"/>
      <c r="N348" s="54" t="inlineStr">
        <is>
          <t>Matched to Munitorum Field Manual v2.3</t>
        </is>
      </c>
      <c r="O348" s="54" t="inlineStr">
        <is>
          <t>Uploaded PDF: Munitorum Field Manual v2.3 / March 2025, p.15</t>
        </is>
      </c>
    </row>
    <row r="349">
      <c r="A349" s="54" t="inlineStr">
        <is>
          <t>Chaos Space Marines</t>
        </is>
      </c>
      <c r="B349" s="54" t="str"/>
      <c r="C349" s="54" t="inlineStr">
        <is>
          <t>Infantry / Other</t>
        </is>
      </c>
      <c r="D349" s="54" t="inlineStr">
        <is>
          <t>Infantry</t>
        </is>
      </c>
      <c r="E349" s="54" t="inlineStr">
        <is>
          <t>Chaos Terminator Squad</t>
        </is>
      </c>
      <c r="F349" s="54" t="inlineStr">
        <is>
          <t>5 models</t>
        </is>
      </c>
      <c r="G349" s="54" t="inlineStr">
        <is>
          <t>Infantry</t>
        </is>
      </c>
      <c r="H349" s="54" t="str"/>
      <c r="I349" s="54" t="str"/>
      <c r="J349" s="54" t="str"/>
      <c r="K349" s="54" t="str"/>
      <c r="L349" s="55" t="n">
        <v>180</v>
      </c>
      <c r="M349" s="54" t="inlineStr">
        <is>
          <t>Points options: 5 models = 180 pts; 10 models = 360 pts</t>
        </is>
      </c>
      <c r="N349" s="54" t="inlineStr">
        <is>
          <t>Matched to Munitorum Field Manual v2.3</t>
        </is>
      </c>
      <c r="O349" s="54" t="inlineStr">
        <is>
          <t>Uploaded PDF: Munitorum Field Manual v2.3 / March 2025, p.15</t>
        </is>
      </c>
    </row>
    <row r="350">
      <c r="A350" s="54" t="inlineStr">
        <is>
          <t>Chaos Space Marines</t>
        </is>
      </c>
      <c r="B350" s="54" t="str"/>
      <c r="C350" s="54" t="inlineStr">
        <is>
          <t>Vehicle / Support</t>
        </is>
      </c>
      <c r="D350" s="54" t="inlineStr">
        <is>
          <t>Vehicle</t>
        </is>
      </c>
      <c r="E350" s="54" t="inlineStr">
        <is>
          <t>Chaos Vindicator</t>
        </is>
      </c>
      <c r="F350" s="54" t="inlineStr">
        <is>
          <t>1 model</t>
        </is>
      </c>
      <c r="G350" s="54" t="inlineStr">
        <is>
          <t>Vehicle</t>
        </is>
      </c>
      <c r="H350" s="54" t="str"/>
      <c r="I350" s="54" t="str"/>
      <c r="J350" s="54" t="str"/>
      <c r="K350" s="54" t="str"/>
      <c r="L350" s="55" t="n">
        <v>185</v>
      </c>
      <c r="M350" s="54" t="str"/>
      <c r="N350" s="54" t="inlineStr">
        <is>
          <t>Matched to Munitorum Field Manual v2.3</t>
        </is>
      </c>
      <c r="O350" s="54" t="inlineStr">
        <is>
          <t>Uploaded PDF: Munitorum Field Manual v2.3 / March 2025, p.15</t>
        </is>
      </c>
    </row>
    <row r="351">
      <c r="A351" s="54" t="inlineStr">
        <is>
          <t>Chaos Space Marines</t>
        </is>
      </c>
      <c r="B351" s="54" t="str"/>
      <c r="C351" s="54" t="inlineStr">
        <is>
          <t>Infantry / Other</t>
        </is>
      </c>
      <c r="D351" s="54" t="inlineStr">
        <is>
          <t>Infantry</t>
        </is>
      </c>
      <c r="E351" s="54" t="inlineStr">
        <is>
          <t>Chosen</t>
        </is>
      </c>
      <c r="F351" s="54" t="inlineStr">
        <is>
          <t>5 models</t>
        </is>
      </c>
      <c r="G351" s="54" t="inlineStr">
        <is>
          <t>Infantry</t>
        </is>
      </c>
      <c r="H351" s="54" t="str"/>
      <c r="I351" s="54" t="str"/>
      <c r="J351" s="54" t="str"/>
      <c r="K351" s="54" t="str"/>
      <c r="L351" s="55" t="n">
        <v>125</v>
      </c>
      <c r="M351" s="54" t="inlineStr">
        <is>
          <t>Points options: 5 models = 125 pts; 10 models = 250 pts</t>
        </is>
      </c>
      <c r="N351" s="54" t="inlineStr">
        <is>
          <t>Matched to Munitorum Field Manual v2.3</t>
        </is>
      </c>
      <c r="O351" s="54" t="inlineStr">
        <is>
          <t>Uploaded PDF: Munitorum Field Manual v2.3 / March 2025, p.15</t>
        </is>
      </c>
    </row>
    <row r="352">
      <c r="A352" s="54" t="inlineStr">
        <is>
          <t>Chaos Space Marines</t>
        </is>
      </c>
      <c r="B352" s="54" t="str"/>
      <c r="C352" s="54" t="inlineStr">
        <is>
          <t>Infantry / Other</t>
        </is>
      </c>
      <c r="D352" s="54" t="inlineStr">
        <is>
          <t>Infantry</t>
        </is>
      </c>
      <c r="E352" s="54" t="inlineStr">
        <is>
          <t>Cultist Mob</t>
        </is>
      </c>
      <c r="F352" s="54" t="inlineStr">
        <is>
          <t>10 models</t>
        </is>
      </c>
      <c r="G352" s="54" t="inlineStr">
        <is>
          <t>Infantry</t>
        </is>
      </c>
      <c r="H352" s="54" t="str"/>
      <c r="I352" s="54" t="str"/>
      <c r="J352" s="54" t="str"/>
      <c r="K352" s="54" t="str"/>
      <c r="L352" s="55" t="n">
        <v>50</v>
      </c>
      <c r="M352" s="54" t="inlineStr">
        <is>
          <t>Points options: 10 models = 50 pts; 20 models = 100 pts</t>
        </is>
      </c>
      <c r="N352" s="54" t="inlineStr">
        <is>
          <t>Matched to Munitorum Field Manual v2.3</t>
        </is>
      </c>
      <c r="O352" s="54" t="inlineStr">
        <is>
          <t>Uploaded PDF: Munitorum Field Manual v2.3 / March 2025, p.15</t>
        </is>
      </c>
    </row>
    <row r="353">
      <c r="A353" s="54" t="inlineStr">
        <is>
          <t>Chaos Space Marines</t>
        </is>
      </c>
      <c r="B353" s="54" t="str"/>
      <c r="C353" s="54" t="inlineStr">
        <is>
          <t>Infantry / Other</t>
        </is>
      </c>
      <c r="D353" s="54" t="inlineStr">
        <is>
          <t>Infantry</t>
        </is>
      </c>
      <c r="E353" s="54" t="inlineStr">
        <is>
          <t>Cypher</t>
        </is>
      </c>
      <c r="F353" s="54" t="inlineStr">
        <is>
          <t>1 model</t>
        </is>
      </c>
      <c r="G353" s="54" t="inlineStr">
        <is>
          <t>Infantry</t>
        </is>
      </c>
      <c r="H353" s="54" t="str"/>
      <c r="I353" s="54" t="str"/>
      <c r="J353" s="54" t="str"/>
      <c r="K353" s="54" t="str"/>
      <c r="L353" s="55" t="n">
        <v>90</v>
      </c>
      <c r="M353" s="54" t="str"/>
      <c r="N353" s="54" t="inlineStr">
        <is>
          <t>Matched to Munitorum Field Manual v2.3</t>
        </is>
      </c>
      <c r="O353" s="54" t="inlineStr">
        <is>
          <t>Uploaded PDF: Munitorum Field Manual v2.3 / March 2025, p.15</t>
        </is>
      </c>
    </row>
    <row r="354">
      <c r="A354" s="54" t="inlineStr">
        <is>
          <t>Chaos Space Marines</t>
        </is>
      </c>
      <c r="B354" s="54" t="str"/>
      <c r="C354" s="54" t="inlineStr">
        <is>
          <t>Infantry / Other</t>
        </is>
      </c>
      <c r="D354" s="54" t="inlineStr">
        <is>
          <t>Infantry</t>
        </is>
      </c>
      <c r="E354" s="54" t="inlineStr">
        <is>
          <t>Dark Apostle</t>
        </is>
      </c>
      <c r="F354" s="54" t="inlineStr">
        <is>
          <t>3 models</t>
        </is>
      </c>
      <c r="G354" s="54" t="inlineStr">
        <is>
          <t>Infantry</t>
        </is>
      </c>
      <c r="H354" s="54" t="str"/>
      <c r="I354" s="54" t="str"/>
      <c r="J354" s="54" t="str"/>
      <c r="K354" s="54" t="str"/>
      <c r="L354" s="55" t="n">
        <v>75</v>
      </c>
      <c r="M354" s="54" t="str"/>
      <c r="N354" s="54" t="inlineStr">
        <is>
          <t>Matched to Munitorum Field Manual v2.3</t>
        </is>
      </c>
      <c r="O354" s="54" t="inlineStr">
        <is>
          <t>Uploaded PDF: Munitorum Field Manual v2.3 / March 2025, p.15</t>
        </is>
      </c>
    </row>
    <row r="355">
      <c r="A355" s="54" t="inlineStr">
        <is>
          <t>Chaos Space Marines</t>
        </is>
      </c>
      <c r="B355" s="54" t="str"/>
      <c r="C355" s="54" t="inlineStr">
        <is>
          <t>Infantry / Other</t>
        </is>
      </c>
      <c r="D355" s="54" t="inlineStr">
        <is>
          <t>Infantry</t>
        </is>
      </c>
      <c r="E355" s="54" t="inlineStr">
        <is>
          <t>Dark Commune</t>
        </is>
      </c>
      <c r="F355" s="54" t="inlineStr">
        <is>
          <t>5 models</t>
        </is>
      </c>
      <c r="G355" s="54" t="inlineStr">
        <is>
          <t>Infantry</t>
        </is>
      </c>
      <c r="H355" s="54" t="str"/>
      <c r="I355" s="54" t="str"/>
      <c r="J355" s="54" t="str"/>
      <c r="K355" s="54" t="str"/>
      <c r="L355" s="55" t="n">
        <v>80</v>
      </c>
      <c r="M355" s="54" t="str"/>
      <c r="N355" s="54" t="inlineStr">
        <is>
          <t>Matched to Munitorum Field Manual v2.3</t>
        </is>
      </c>
      <c r="O355" s="54" t="inlineStr">
        <is>
          <t>Uploaded PDF: Munitorum Field Manual v2.3 / March 2025, p.15</t>
        </is>
      </c>
    </row>
    <row r="356">
      <c r="A356" s="54" t="inlineStr">
        <is>
          <t>Chaos Space Marines</t>
        </is>
      </c>
      <c r="B356" s="54" t="str"/>
      <c r="C356" s="54" t="inlineStr">
        <is>
          <t>Vehicle / Support</t>
        </is>
      </c>
      <c r="D356" s="54" t="inlineStr">
        <is>
          <t>Walker / Battlesuit</t>
        </is>
      </c>
      <c r="E356" s="54" t="inlineStr">
        <is>
          <t>Defiler</t>
        </is>
      </c>
      <c r="F356" s="54" t="inlineStr">
        <is>
          <t>1 model</t>
        </is>
      </c>
      <c r="G356" s="54" t="inlineStr">
        <is>
          <t>Walker / Battlesuit</t>
        </is>
      </c>
      <c r="H356" s="54" t="str"/>
      <c r="I356" s="54" t="str"/>
      <c r="J356" s="54" t="str"/>
      <c r="K356" s="54" t="str"/>
      <c r="L356" s="55" t="n">
        <v>190</v>
      </c>
      <c r="M356" s="54" t="str"/>
      <c r="N356" s="54" t="inlineStr">
        <is>
          <t>Matched to Munitorum Field Manual v2.3</t>
        </is>
      </c>
      <c r="O356" s="54" t="inlineStr">
        <is>
          <t>Uploaded PDF: Munitorum Field Manual v2.3 / March 2025, p.15</t>
        </is>
      </c>
    </row>
    <row r="357">
      <c r="A357" s="54" t="inlineStr">
        <is>
          <t>Chaos Space Marines</t>
        </is>
      </c>
      <c r="B357" s="54" t="str"/>
      <c r="C357" s="54" t="inlineStr">
        <is>
          <t>Vehicle / Support</t>
        </is>
      </c>
      <c r="D357" s="54" t="inlineStr">
        <is>
          <t>Walker / Battlesuit</t>
        </is>
      </c>
      <c r="E357" s="54" t="inlineStr">
        <is>
          <t>Forgefiend</t>
        </is>
      </c>
      <c r="F357" s="54" t="inlineStr">
        <is>
          <t>1 model</t>
        </is>
      </c>
      <c r="G357" s="54" t="inlineStr">
        <is>
          <t>Walker / Battlesuit</t>
        </is>
      </c>
      <c r="H357" s="54" t="str"/>
      <c r="I357" s="54" t="str"/>
      <c r="J357" s="54" t="str"/>
      <c r="K357" s="54" t="str"/>
      <c r="L357" s="55" t="n">
        <v>180</v>
      </c>
      <c r="M357" s="54" t="str"/>
      <c r="N357" s="54" t="inlineStr">
        <is>
          <t>Matched to Munitorum Field Manual v2.3</t>
        </is>
      </c>
      <c r="O357" s="54" t="inlineStr">
        <is>
          <t>Uploaded PDF: Munitorum Field Manual v2.3 / March 2025, p.15</t>
        </is>
      </c>
    </row>
    <row r="358">
      <c r="A358" s="54" t="inlineStr">
        <is>
          <t>Chaos Space Marines</t>
        </is>
      </c>
      <c r="B358" s="54" t="str"/>
      <c r="C358" s="54" t="inlineStr">
        <is>
          <t>Infantry / Other</t>
        </is>
      </c>
      <c r="D358" s="54" t="inlineStr">
        <is>
          <t>Infantry</t>
        </is>
      </c>
      <c r="E358" s="54" t="inlineStr">
        <is>
          <t>Haarken Worldclaimer</t>
        </is>
      </c>
      <c r="F358" s="54" t="inlineStr">
        <is>
          <t>1 model</t>
        </is>
      </c>
      <c r="G358" s="54" t="inlineStr">
        <is>
          <t>Infantry</t>
        </is>
      </c>
      <c r="H358" s="54" t="str"/>
      <c r="I358" s="54" t="str"/>
      <c r="J358" s="54" t="str"/>
      <c r="K358" s="54" t="str"/>
      <c r="L358" s="55" t="n">
        <v>90</v>
      </c>
      <c r="M358" s="54" t="str"/>
      <c r="N358" s="54" t="inlineStr">
        <is>
          <t>Matched to Munitorum Field Manual v2.3</t>
        </is>
      </c>
      <c r="O358" s="54" t="inlineStr">
        <is>
          <t>Uploaded PDF: Munitorum Field Manual v2.3 / March 2025, p.15</t>
        </is>
      </c>
    </row>
    <row r="359">
      <c r="A359" s="54" t="inlineStr">
        <is>
          <t>Chaos Space Marines</t>
        </is>
      </c>
      <c r="B359" s="54" t="str"/>
      <c r="C359" s="54" t="inlineStr">
        <is>
          <t>Infantry / Other</t>
        </is>
      </c>
      <c r="D359" s="54" t="inlineStr">
        <is>
          <t>Infantry</t>
        </is>
      </c>
      <c r="E359" s="54" t="inlineStr">
        <is>
          <t>Havocs</t>
        </is>
      </c>
      <c r="F359" s="54" t="inlineStr">
        <is>
          <t>5 models</t>
        </is>
      </c>
      <c r="G359" s="54" t="inlineStr">
        <is>
          <t>Infantry</t>
        </is>
      </c>
      <c r="H359" s="54" t="str"/>
      <c r="I359" s="54" t="str"/>
      <c r="J359" s="54" t="str"/>
      <c r="K359" s="54" t="str"/>
      <c r="L359" s="55" t="n">
        <v>125</v>
      </c>
      <c r="M359" s="54" t="str"/>
      <c r="N359" s="54" t="inlineStr">
        <is>
          <t>Matched to Munitorum Field Manual v2.3</t>
        </is>
      </c>
      <c r="O359" s="54" t="inlineStr">
        <is>
          <t>Uploaded PDF: Munitorum Field Manual v2.3 / March 2025, p.15</t>
        </is>
      </c>
    </row>
    <row r="360">
      <c r="A360" s="54" t="inlineStr">
        <is>
          <t>Chaos Space Marines</t>
        </is>
      </c>
      <c r="B360" s="54" t="str"/>
      <c r="C360" s="54" t="inlineStr">
        <is>
          <t>Infantry / Other</t>
        </is>
      </c>
      <c r="D360" s="54" t="inlineStr">
        <is>
          <t>Infantry</t>
        </is>
      </c>
      <c r="E360" s="54" t="inlineStr">
        <is>
          <t>Heldrake</t>
        </is>
      </c>
      <c r="F360" s="54" t="inlineStr">
        <is>
          <t>1 model</t>
        </is>
      </c>
      <c r="G360" s="54" t="inlineStr">
        <is>
          <t>Infantry</t>
        </is>
      </c>
      <c r="H360" s="54" t="str"/>
      <c r="I360" s="54" t="str"/>
      <c r="J360" s="54" t="str"/>
      <c r="K360" s="54" t="str"/>
      <c r="L360" s="55" t="n">
        <v>205</v>
      </c>
      <c r="M360" s="54" t="str"/>
      <c r="N360" s="54" t="inlineStr">
        <is>
          <t>Matched to Munitorum Field Manual v2.3</t>
        </is>
      </c>
      <c r="O360" s="54" t="inlineStr">
        <is>
          <t>Uploaded PDF: Munitorum Field Manual v2.3 / March 2025, p.15</t>
        </is>
      </c>
    </row>
    <row r="361">
      <c r="A361" s="54" t="inlineStr">
        <is>
          <t>Chaos Space Marines</t>
        </is>
      </c>
      <c r="B361" s="54" t="str"/>
      <c r="C361" s="54" t="inlineStr">
        <is>
          <t>Vehicle / Support</t>
        </is>
      </c>
      <c r="D361" s="54" t="inlineStr">
        <is>
          <t>Walker / Battlesuit</t>
        </is>
      </c>
      <c r="E361" s="54" t="inlineStr">
        <is>
          <t>Helbrute</t>
        </is>
      </c>
      <c r="F361" s="54" t="inlineStr">
        <is>
          <t>1 model</t>
        </is>
      </c>
      <c r="G361" s="54" t="inlineStr">
        <is>
          <t>Walker / Battlesuit</t>
        </is>
      </c>
      <c r="H361" s="54" t="str"/>
      <c r="I361" s="54" t="str"/>
      <c r="J361" s="54" t="str"/>
      <c r="K361" s="54" t="str"/>
      <c r="L361" s="55" t="n">
        <v>130</v>
      </c>
      <c r="M361" s="54" t="str"/>
      <c r="N361" s="54" t="inlineStr">
        <is>
          <t>Matched to Munitorum Field Manual v2.3</t>
        </is>
      </c>
      <c r="O361" s="54" t="inlineStr">
        <is>
          <t>Uploaded PDF: Munitorum Field Manual v2.3 / March 2025, p.15</t>
        </is>
      </c>
    </row>
    <row r="362">
      <c r="A362" s="54" t="inlineStr">
        <is>
          <t>Chaos Space Marines</t>
        </is>
      </c>
      <c r="B362" s="54" t="str"/>
      <c r="C362" s="54" t="inlineStr">
        <is>
          <t>Infantry / Other</t>
        </is>
      </c>
      <c r="D362" s="54" t="inlineStr">
        <is>
          <t>Infantry</t>
        </is>
      </c>
      <c r="E362" s="54" t="inlineStr">
        <is>
          <t>Heretic Astartes Daemon Prince</t>
        </is>
      </c>
      <c r="F362" s="54" t="inlineStr">
        <is>
          <t>1 model</t>
        </is>
      </c>
      <c r="G362" s="54" t="inlineStr">
        <is>
          <t>Infantry</t>
        </is>
      </c>
      <c r="H362" s="54" t="str"/>
      <c r="I362" s="54" t="str"/>
      <c r="J362" s="54" t="str"/>
      <c r="K362" s="54" t="str"/>
      <c r="L362" s="55" t="n">
        <v>165</v>
      </c>
      <c r="M362" s="54" t="inlineStr">
        <is>
          <t>Points options: 1 model = 165 pts; with Wings 1 model = 180 pts</t>
        </is>
      </c>
      <c r="N362" s="54" t="inlineStr">
        <is>
          <t>Matched to Munitorum Field Manual v2.3</t>
        </is>
      </c>
      <c r="O362" s="54" t="inlineStr">
        <is>
          <t>Uploaded PDF: Munitorum Field Manual v2.3 / March 2025, p.15</t>
        </is>
      </c>
    </row>
    <row r="363">
      <c r="A363" s="54" t="inlineStr">
        <is>
          <t>Chaos Space Marines</t>
        </is>
      </c>
      <c r="B363" s="54" t="str"/>
      <c r="C363" s="54" t="inlineStr">
        <is>
          <t>Infantry / Other</t>
        </is>
      </c>
      <c r="D363" s="54" t="inlineStr">
        <is>
          <t>Infantry</t>
        </is>
      </c>
      <c r="E363" s="54" t="inlineStr">
        <is>
          <t>Heretic Astartes Daemon Prince with Wings</t>
        </is>
      </c>
      <c r="F363" s="54" t="n"/>
      <c r="G363" s="54" t="inlineStr">
        <is>
          <t>Infantry</t>
        </is>
      </c>
      <c r="H363" s="54" t="str"/>
      <c r="I363" s="54" t="str"/>
      <c r="J363" s="54" t="str"/>
      <c r="K363" s="54" t="str"/>
      <c r="L363" s="55" t="n"/>
      <c r="M363" s="54" t="inlineStr">
        <is>
          <t>No matching points entry found in uploaded PDF; verify unit name/current support.</t>
        </is>
      </c>
      <c r="N363" s="54" t="inlineStr">
        <is>
          <t>Not found in uploaded PDF</t>
        </is>
      </c>
      <c r="O363" s="54" t="inlineStr">
        <is>
          <t>Uploaded PDF: Munitorum Field Manual v2.3 / March 2025</t>
        </is>
      </c>
    </row>
    <row r="364">
      <c r="A364" s="54" t="inlineStr">
        <is>
          <t>Chaos Space Marines</t>
        </is>
      </c>
      <c r="B364" s="54" t="str"/>
      <c r="C364" s="54" t="inlineStr">
        <is>
          <t>Infantry / Other</t>
        </is>
      </c>
      <c r="D364" s="54" t="inlineStr">
        <is>
          <t>Infantry</t>
        </is>
      </c>
      <c r="E364" s="54" t="inlineStr">
        <is>
          <t>Huron Blackheart</t>
        </is>
      </c>
      <c r="F364" s="54" t="inlineStr">
        <is>
          <t>1 model</t>
        </is>
      </c>
      <c r="G364" s="54" t="inlineStr">
        <is>
          <t>Infantry</t>
        </is>
      </c>
      <c r="H364" s="54" t="str"/>
      <c r="I364" s="54" t="str"/>
      <c r="J364" s="54" t="str"/>
      <c r="K364" s="54" t="str"/>
      <c r="L364" s="55" t="n">
        <v>80</v>
      </c>
      <c r="M364" s="54" t="str"/>
      <c r="N364" s="54" t="inlineStr">
        <is>
          <t>Matched to Munitorum Field Manual v2.3</t>
        </is>
      </c>
      <c r="O364" s="54" t="inlineStr">
        <is>
          <t>Uploaded PDF: Munitorum Field Manual v2.3 / March 2025, p.15</t>
        </is>
      </c>
    </row>
    <row r="365">
      <c r="A365" s="54" t="inlineStr">
        <is>
          <t>Chaos Space Marines</t>
        </is>
      </c>
      <c r="B365" s="54" t="str"/>
      <c r="C365" s="54" t="inlineStr">
        <is>
          <t>Vehicle / Support</t>
        </is>
      </c>
      <c r="D365" s="54" t="inlineStr">
        <is>
          <t>Super-heavy Vehicle/Monster</t>
        </is>
      </c>
      <c r="E365" s="54" t="inlineStr">
        <is>
          <t>Khorne Lord of Skulls</t>
        </is>
      </c>
      <c r="F365" s="54" t="inlineStr">
        <is>
          <t>1 model</t>
        </is>
      </c>
      <c r="G365" s="54" t="inlineStr">
        <is>
          <t>Super-heavy Vehicle/Monster</t>
        </is>
      </c>
      <c r="H365" s="54" t="str"/>
      <c r="I365" s="54" t="str"/>
      <c r="J365" s="54" t="str"/>
      <c r="K365" s="54" t="str"/>
      <c r="L365" s="55" t="n">
        <v>450</v>
      </c>
      <c r="M365" s="54" t="str"/>
      <c r="N365" s="54" t="inlineStr">
        <is>
          <t>Matched to Munitorum Field Manual v2.3</t>
        </is>
      </c>
      <c r="O365" s="54" t="inlineStr">
        <is>
          <t>Uploaded PDF: Munitorum Field Manual v2.3 / March 2025, p.15</t>
        </is>
      </c>
    </row>
    <row r="366">
      <c r="A366" s="54" t="inlineStr">
        <is>
          <t>Chaos Space Marines</t>
        </is>
      </c>
      <c r="B366" s="54" t="str"/>
      <c r="C366" s="54" t="inlineStr">
        <is>
          <t>Battleline / Core</t>
        </is>
      </c>
      <c r="D366" s="54" t="inlineStr">
        <is>
          <t>Infantry</t>
        </is>
      </c>
      <c r="E366" s="54" t="inlineStr">
        <is>
          <t>Legionaries</t>
        </is>
      </c>
      <c r="F366" s="54" t="inlineStr">
        <is>
          <t>5 models</t>
        </is>
      </c>
      <c r="G366" s="54" t="inlineStr">
        <is>
          <t>Infantry</t>
        </is>
      </c>
      <c r="H366" s="54" t="str"/>
      <c r="I366" s="54" t="str"/>
      <c r="J366" s="54" t="str"/>
      <c r="K366" s="54" t="str"/>
      <c r="L366" s="55" t="n">
        <v>90</v>
      </c>
      <c r="M366" s="54" t="inlineStr">
        <is>
          <t>Points options: 5 models = 90 pts; 10 models = 170 pts</t>
        </is>
      </c>
      <c r="N366" s="54" t="inlineStr">
        <is>
          <t>Matched to Munitorum Field Manual v2.3</t>
        </is>
      </c>
      <c r="O366" s="54" t="inlineStr">
        <is>
          <t>Uploaded PDF: Munitorum Field Manual v2.3 / March 2025, p.15</t>
        </is>
      </c>
    </row>
    <row r="367">
      <c r="A367" s="54" t="inlineStr">
        <is>
          <t>Chaos Space Marines</t>
        </is>
      </c>
      <c r="B367" s="54" t="str"/>
      <c r="C367" s="54" t="inlineStr">
        <is>
          <t>Character</t>
        </is>
      </c>
      <c r="D367" s="54" t="inlineStr">
        <is>
          <t>Character</t>
        </is>
      </c>
      <c r="E367" s="54" t="inlineStr">
        <is>
          <t>Lord Discordant on Helstalker</t>
        </is>
      </c>
      <c r="F367" s="54" t="inlineStr">
        <is>
          <t>1 model</t>
        </is>
      </c>
      <c r="G367" s="54" t="inlineStr">
        <is>
          <t>Character</t>
        </is>
      </c>
      <c r="H367" s="54" t="str"/>
      <c r="I367" s="54" t="str"/>
      <c r="J367" s="54" t="str"/>
      <c r="K367" s="54" t="str"/>
      <c r="L367" s="55" t="n">
        <v>160</v>
      </c>
      <c r="M367" s="54" t="str"/>
      <c r="N367" s="54" t="inlineStr">
        <is>
          <t>Matched to Munitorum Field Manual v2.3</t>
        </is>
      </c>
      <c r="O367" s="54" t="inlineStr">
        <is>
          <t>Uploaded PDF: Munitorum Field Manual v2.3 / March 2025, p.15</t>
        </is>
      </c>
    </row>
    <row r="368">
      <c r="A368" s="54" t="inlineStr">
        <is>
          <t>Chaos Space Marines</t>
        </is>
      </c>
      <c r="B368" s="54" t="str"/>
      <c r="C368" s="54" t="inlineStr">
        <is>
          <t>Character</t>
        </is>
      </c>
      <c r="D368" s="54" t="inlineStr">
        <is>
          <t>Character</t>
        </is>
      </c>
      <c r="E368" s="54" t="inlineStr">
        <is>
          <t>Master of Executions</t>
        </is>
      </c>
      <c r="F368" s="54" t="inlineStr">
        <is>
          <t>1 model</t>
        </is>
      </c>
      <c r="G368" s="54" t="inlineStr">
        <is>
          <t>Character</t>
        </is>
      </c>
      <c r="H368" s="54" t="str"/>
      <c r="I368" s="54" t="str"/>
      <c r="J368" s="54" t="str"/>
      <c r="K368" s="54" t="str"/>
      <c r="L368" s="55" t="n">
        <v>80</v>
      </c>
      <c r="M368" s="54" t="str"/>
      <c r="N368" s="54" t="inlineStr">
        <is>
          <t>Matched to Munitorum Field Manual v2.3</t>
        </is>
      </c>
      <c r="O368" s="54" t="inlineStr">
        <is>
          <t>Uploaded PDF: Munitorum Field Manual v2.3 / March 2025, p.15</t>
        </is>
      </c>
    </row>
    <row r="369">
      <c r="A369" s="54" t="inlineStr">
        <is>
          <t>Chaos Space Marines</t>
        </is>
      </c>
      <c r="B369" s="54" t="str"/>
      <c r="C369" s="54" t="inlineStr">
        <is>
          <t>Character</t>
        </is>
      </c>
      <c r="D369" s="54" t="inlineStr">
        <is>
          <t>Character</t>
        </is>
      </c>
      <c r="E369" s="54" t="inlineStr">
        <is>
          <t>Master of Possession</t>
        </is>
      </c>
      <c r="F369" s="54" t="inlineStr">
        <is>
          <t>1 model</t>
        </is>
      </c>
      <c r="G369" s="54" t="inlineStr">
        <is>
          <t>Character</t>
        </is>
      </c>
      <c r="H369" s="54" t="str"/>
      <c r="I369" s="54" t="str"/>
      <c r="J369" s="54" t="str"/>
      <c r="K369" s="54" t="str"/>
      <c r="L369" s="55" t="n">
        <v>70</v>
      </c>
      <c r="M369" s="54" t="str"/>
      <c r="N369" s="54" t="inlineStr">
        <is>
          <t>Matched to Munitorum Field Manual v2.3</t>
        </is>
      </c>
      <c r="O369" s="54" t="inlineStr">
        <is>
          <t>Uploaded PDF: Munitorum Field Manual v2.3 / March 2025, p.15</t>
        </is>
      </c>
    </row>
    <row r="370">
      <c r="A370" s="54" t="inlineStr">
        <is>
          <t>Chaos Space Marines</t>
        </is>
      </c>
      <c r="B370" s="54" t="str"/>
      <c r="C370" s="54" t="inlineStr">
        <is>
          <t>Vehicle / Support</t>
        </is>
      </c>
      <c r="D370" s="54" t="inlineStr">
        <is>
          <t>Walker / Battlesuit</t>
        </is>
      </c>
      <c r="E370" s="54" t="inlineStr">
        <is>
          <t>Maulerfiend</t>
        </is>
      </c>
      <c r="F370" s="54" t="inlineStr">
        <is>
          <t>1 model</t>
        </is>
      </c>
      <c r="G370" s="54" t="inlineStr">
        <is>
          <t>Walker / Battlesuit</t>
        </is>
      </c>
      <c r="H370" s="54" t="str"/>
      <c r="I370" s="54" t="str"/>
      <c r="J370" s="54" t="str"/>
      <c r="K370" s="54" t="str"/>
      <c r="L370" s="55" t="n">
        <v>130</v>
      </c>
      <c r="M370" s="54" t="str"/>
      <c r="N370" s="54" t="inlineStr">
        <is>
          <t>Matched to Munitorum Field Manual v2.3</t>
        </is>
      </c>
      <c r="O370" s="54" t="inlineStr">
        <is>
          <t>Uploaded PDF: Munitorum Field Manual v2.3 / March 2025, p.15</t>
        </is>
      </c>
    </row>
    <row r="371">
      <c r="A371" s="54" t="inlineStr">
        <is>
          <t>Chaos Space Marines</t>
        </is>
      </c>
      <c r="B371" s="54" t="str"/>
      <c r="C371" s="54" t="inlineStr">
        <is>
          <t>Infantry / Other</t>
        </is>
      </c>
      <c r="D371" s="54" t="inlineStr">
        <is>
          <t>Infantry</t>
        </is>
      </c>
      <c r="E371" s="54" t="inlineStr">
        <is>
          <t>Nemesis Claw</t>
        </is>
      </c>
      <c r="F371" s="54" t="inlineStr">
        <is>
          <t>5 models</t>
        </is>
      </c>
      <c r="G371" s="54" t="inlineStr">
        <is>
          <t>Infantry</t>
        </is>
      </c>
      <c r="H371" s="54" t="str"/>
      <c r="I371" s="54" t="str"/>
      <c r="J371" s="54" t="str"/>
      <c r="K371" s="54" t="str"/>
      <c r="L371" s="55" t="n">
        <v>110</v>
      </c>
      <c r="M371" s="54" t="inlineStr">
        <is>
          <t>Points options: 5 models = 110 pts; 10 models = 190 pts</t>
        </is>
      </c>
      <c r="N371" s="54" t="inlineStr">
        <is>
          <t>Matched to Munitorum Field Manual v2.3</t>
        </is>
      </c>
      <c r="O371" s="54" t="inlineStr">
        <is>
          <t>Uploaded PDF: Munitorum Field Manual v2.3 / March 2025, p.15</t>
        </is>
      </c>
    </row>
    <row r="372">
      <c r="A372" s="54" t="inlineStr">
        <is>
          <t>Chaos Space Marines</t>
        </is>
      </c>
      <c r="B372" s="54" t="str"/>
      <c r="C372" s="54" t="inlineStr">
        <is>
          <t>Infantry / Other</t>
        </is>
      </c>
      <c r="D372" s="54" t="inlineStr">
        <is>
          <t>Infantry</t>
        </is>
      </c>
      <c r="E372" s="54" t="inlineStr">
        <is>
          <t>Noise Marines</t>
        </is>
      </c>
      <c r="F372" s="54" t="n"/>
      <c r="G372" s="54" t="inlineStr">
        <is>
          <t>Infantry</t>
        </is>
      </c>
      <c r="H372" s="54" t="str"/>
      <c r="I372" s="54" t="str"/>
      <c r="J372" s="54" t="str"/>
      <c r="K372" s="54" t="str"/>
      <c r="L372" s="55" t="n"/>
      <c r="M372" s="54" t="inlineStr">
        <is>
          <t>No matching points entry found in uploaded PDF; verify unit name/current support.</t>
        </is>
      </c>
      <c r="N372" s="54" t="inlineStr">
        <is>
          <t>Not found in uploaded PDF</t>
        </is>
      </c>
      <c r="O372" s="54" t="inlineStr">
        <is>
          <t>Uploaded PDF: Munitorum Field Manual v2.3 / March 2025</t>
        </is>
      </c>
    </row>
    <row r="373">
      <c r="A373" s="54" t="inlineStr">
        <is>
          <t>Chaos Space Marines</t>
        </is>
      </c>
      <c r="B373" s="54" t="str"/>
      <c r="C373" s="54" t="inlineStr">
        <is>
          <t>Infantry / Other</t>
        </is>
      </c>
      <c r="D373" s="54" t="inlineStr">
        <is>
          <t>Infantry</t>
        </is>
      </c>
      <c r="E373" s="54" t="inlineStr">
        <is>
          <t>Obliterators</t>
        </is>
      </c>
      <c r="F373" s="54" t="inlineStr">
        <is>
          <t>2 models</t>
        </is>
      </c>
      <c r="G373" s="54" t="inlineStr">
        <is>
          <t>Infantry</t>
        </is>
      </c>
      <c r="H373" s="54" t="str"/>
      <c r="I373" s="54" t="str"/>
      <c r="J373" s="54" t="str"/>
      <c r="K373" s="54" t="str"/>
      <c r="L373" s="55" t="n">
        <v>160</v>
      </c>
      <c r="M373" s="54" t="str"/>
      <c r="N373" s="54" t="inlineStr">
        <is>
          <t>Matched to Munitorum Field Manual v2.3</t>
        </is>
      </c>
      <c r="O373" s="54" t="inlineStr">
        <is>
          <t>Uploaded PDF: Munitorum Field Manual v2.3 / March 2025, p.15</t>
        </is>
      </c>
    </row>
    <row r="374">
      <c r="A374" s="54" t="inlineStr">
        <is>
          <t>Chaos Space Marines</t>
        </is>
      </c>
      <c r="B374" s="54" t="str"/>
      <c r="C374" s="54" t="inlineStr">
        <is>
          <t>Infantry / Other</t>
        </is>
      </c>
      <c r="D374" s="54" t="inlineStr">
        <is>
          <t>Infantry</t>
        </is>
      </c>
      <c r="E374" s="54" t="inlineStr">
        <is>
          <t>Possessed</t>
        </is>
      </c>
      <c r="F374" s="54" t="inlineStr">
        <is>
          <t>5 models</t>
        </is>
      </c>
      <c r="G374" s="54" t="inlineStr">
        <is>
          <t>Infantry</t>
        </is>
      </c>
      <c r="H374" s="54" t="str"/>
      <c r="I374" s="54" t="str"/>
      <c r="J374" s="54" t="str"/>
      <c r="K374" s="54" t="str"/>
      <c r="L374" s="55" t="n">
        <v>120</v>
      </c>
      <c r="M374" s="54" t="inlineStr">
        <is>
          <t>Points options: 5 models = 120 pts; 10 models = 240 pts</t>
        </is>
      </c>
      <c r="N374" s="54" t="inlineStr">
        <is>
          <t>Matched to Munitorum Field Manual v2.3</t>
        </is>
      </c>
      <c r="O374" s="54" t="inlineStr">
        <is>
          <t>Uploaded PDF: Munitorum Field Manual v2.3 / March 2025, p.15</t>
        </is>
      </c>
    </row>
    <row r="375">
      <c r="A375" s="54" t="inlineStr">
        <is>
          <t>Chaos Space Marines</t>
        </is>
      </c>
      <c r="B375" s="54" t="str"/>
      <c r="C375" s="54" t="inlineStr">
        <is>
          <t>Infantry / Other</t>
        </is>
      </c>
      <c r="D375" s="54" t="inlineStr">
        <is>
          <t>Infantry</t>
        </is>
      </c>
      <c r="E375" s="54" t="inlineStr">
        <is>
          <t>Raptors</t>
        </is>
      </c>
      <c r="F375" s="54" t="inlineStr">
        <is>
          <t>5 models</t>
        </is>
      </c>
      <c r="G375" s="54" t="inlineStr">
        <is>
          <t>Infantry</t>
        </is>
      </c>
      <c r="H375" s="54" t="str"/>
      <c r="I375" s="54" t="str"/>
      <c r="J375" s="54" t="str"/>
      <c r="K375" s="54" t="str"/>
      <c r="L375" s="55" t="n">
        <v>90</v>
      </c>
      <c r="M375" s="54" t="inlineStr">
        <is>
          <t>Points options: 5 models = 90 pts; 10 models = 170 pts</t>
        </is>
      </c>
      <c r="N375" s="54" t="inlineStr">
        <is>
          <t>Matched to Munitorum Field Manual v2.3</t>
        </is>
      </c>
      <c r="O375" s="54" t="inlineStr">
        <is>
          <t>Uploaded PDF: Munitorum Field Manual v2.3 / March 2025, p.15</t>
        </is>
      </c>
    </row>
    <row r="376">
      <c r="A376" s="54" t="inlineStr">
        <is>
          <t>Chaos Space Marines</t>
        </is>
      </c>
      <c r="B376" s="54" t="str"/>
      <c r="C376" s="54" t="inlineStr">
        <is>
          <t>Infantry / Other</t>
        </is>
      </c>
      <c r="D376" s="54" t="inlineStr">
        <is>
          <t>Infantry</t>
        </is>
      </c>
      <c r="E376" s="54" t="inlineStr">
        <is>
          <t>Sorcerer</t>
        </is>
      </c>
      <c r="F376" s="54" t="inlineStr">
        <is>
          <t>1 model</t>
        </is>
      </c>
      <c r="G376" s="54" t="inlineStr">
        <is>
          <t>Infantry, Psyker</t>
        </is>
      </c>
      <c r="H376" s="54" t="str"/>
      <c r="I376" s="54" t="str"/>
      <c r="J376" s="54" t="str"/>
      <c r="K376" s="54" t="str"/>
      <c r="L376" s="55" t="n">
        <v>60</v>
      </c>
      <c r="M376" s="54" t="str"/>
      <c r="N376" s="54" t="inlineStr">
        <is>
          <t>Matched to Munitorum Field Manual v2.3</t>
        </is>
      </c>
      <c r="O376" s="54" t="inlineStr">
        <is>
          <t>Uploaded PDF: Munitorum Field Manual v2.3 / March 2025, p.15</t>
        </is>
      </c>
    </row>
    <row r="377">
      <c r="A377" s="54" t="inlineStr">
        <is>
          <t>Chaos Space Marines</t>
        </is>
      </c>
      <c r="B377" s="54" t="str"/>
      <c r="C377" s="54" t="inlineStr">
        <is>
          <t>Infantry / Other</t>
        </is>
      </c>
      <c r="D377" s="54" t="inlineStr">
        <is>
          <t>Infantry</t>
        </is>
      </c>
      <c r="E377" s="54" t="inlineStr">
        <is>
          <t>Sorcerer in Terminator Armour</t>
        </is>
      </c>
      <c r="F377" s="54" t="inlineStr">
        <is>
          <t>1 model</t>
        </is>
      </c>
      <c r="G377" s="54" t="inlineStr">
        <is>
          <t>Infantry, Psyker</t>
        </is>
      </c>
      <c r="H377" s="54" t="str"/>
      <c r="I377" s="54" t="str"/>
      <c r="J377" s="54" t="str"/>
      <c r="K377" s="54" t="str"/>
      <c r="L377" s="55" t="n">
        <v>80</v>
      </c>
      <c r="M377" s="54" t="str"/>
      <c r="N377" s="54" t="inlineStr">
        <is>
          <t>Matched to Munitorum Field Manual v2.3</t>
        </is>
      </c>
      <c r="O377" s="54" t="inlineStr">
        <is>
          <t>Uploaded PDF: Munitorum Field Manual v2.3 / March 2025, p.15</t>
        </is>
      </c>
    </row>
    <row r="378">
      <c r="A378" s="54" t="inlineStr">
        <is>
          <t>Chaos Space Marines</t>
        </is>
      </c>
      <c r="B378" s="54" t="str"/>
      <c r="C378" s="54" t="inlineStr">
        <is>
          <t>Infantry / Other</t>
        </is>
      </c>
      <c r="D378" s="54" t="inlineStr">
        <is>
          <t>Infantry</t>
        </is>
      </c>
      <c r="E378" s="54" t="inlineStr">
        <is>
          <t>Traitor Guardsmen Squad</t>
        </is>
      </c>
      <c r="F378" s="54" t="inlineStr">
        <is>
          <t>10 models</t>
        </is>
      </c>
      <c r="G378" s="54" t="inlineStr">
        <is>
          <t>Infantry</t>
        </is>
      </c>
      <c r="H378" s="54" t="str"/>
      <c r="I378" s="54" t="str"/>
      <c r="J378" s="54" t="str"/>
      <c r="K378" s="54" t="str"/>
      <c r="L378" s="55" t="n">
        <v>70</v>
      </c>
      <c r="M378" s="54" t="str"/>
      <c r="N378" s="54" t="inlineStr">
        <is>
          <t>Matched to Munitorum Field Manual v2.3</t>
        </is>
      </c>
      <c r="O378" s="54" t="inlineStr">
        <is>
          <t>Uploaded PDF: Munitorum Field Manual v2.3 / March 2025, p.15</t>
        </is>
      </c>
    </row>
    <row r="379">
      <c r="A379" s="54" t="inlineStr">
        <is>
          <t>Chaos Space Marines</t>
        </is>
      </c>
      <c r="B379" s="54" t="str"/>
      <c r="C379" s="54" t="inlineStr">
        <is>
          <t>Infantry / Other</t>
        </is>
      </c>
      <c r="D379" s="54" t="inlineStr">
        <is>
          <t>Infantry</t>
        </is>
      </c>
      <c r="E379" s="54" t="inlineStr">
        <is>
          <t>Vashtorr the Arkifane</t>
        </is>
      </c>
      <c r="F379" s="54" t="inlineStr">
        <is>
          <t>1 model</t>
        </is>
      </c>
      <c r="G379" s="54" t="inlineStr">
        <is>
          <t>Infantry</t>
        </is>
      </c>
      <c r="H379" s="54" t="str"/>
      <c r="I379" s="54" t="str"/>
      <c r="J379" s="54" t="str"/>
      <c r="K379" s="54" t="str"/>
      <c r="L379" s="55" t="n">
        <v>175</v>
      </c>
      <c r="M379" s="54" t="str"/>
      <c r="N379" s="54" t="inlineStr">
        <is>
          <t>Matched to Munitorum Field Manual v2.3</t>
        </is>
      </c>
      <c r="O379" s="54" t="inlineStr">
        <is>
          <t>Uploaded PDF: Munitorum Field Manual v2.3 / March 2025, p.15</t>
        </is>
      </c>
    </row>
    <row r="380">
      <c r="A380" s="54" t="inlineStr">
        <is>
          <t>Chaos Space Marines</t>
        </is>
      </c>
      <c r="B380" s="54" t="str"/>
      <c r="C380" s="54" t="inlineStr">
        <is>
          <t>Vehicle / Support</t>
        </is>
      </c>
      <c r="D380" s="54" t="inlineStr">
        <is>
          <t>Walker / Battlesuit</t>
        </is>
      </c>
      <c r="E380" s="54" t="inlineStr">
        <is>
          <t>Venomcrawler</t>
        </is>
      </c>
      <c r="F380" s="54" t="inlineStr">
        <is>
          <t>1 model</t>
        </is>
      </c>
      <c r="G380" s="54" t="inlineStr">
        <is>
          <t>Walker / Battlesuit</t>
        </is>
      </c>
      <c r="H380" s="54" t="str"/>
      <c r="I380" s="54" t="str"/>
      <c r="J380" s="54" t="str"/>
      <c r="K380" s="54" t="str"/>
      <c r="L380" s="55" t="n">
        <v>120</v>
      </c>
      <c r="M380" s="54" t="str"/>
      <c r="N380" s="54" t="inlineStr">
        <is>
          <t>Matched to Munitorum Field Manual v2.3</t>
        </is>
      </c>
      <c r="O380" s="54" t="inlineStr">
        <is>
          <t>Uploaded PDF: Munitorum Field Manual v2.3 / March 2025, p.15</t>
        </is>
      </c>
    </row>
    <row r="381">
      <c r="A381" s="54" t="inlineStr">
        <is>
          <t>Chaos Space Marines</t>
        </is>
      </c>
      <c r="B381" s="54" t="str"/>
      <c r="C381" s="54" t="inlineStr">
        <is>
          <t>Infantry / Other</t>
        </is>
      </c>
      <c r="D381" s="54" t="inlineStr">
        <is>
          <t>Infantry</t>
        </is>
      </c>
      <c r="E381" s="54" t="inlineStr">
        <is>
          <t>Warp Talons</t>
        </is>
      </c>
      <c r="F381" s="54" t="inlineStr">
        <is>
          <t>5 models</t>
        </is>
      </c>
      <c r="G381" s="54" t="inlineStr">
        <is>
          <t>Infantry</t>
        </is>
      </c>
      <c r="H381" s="54" t="str"/>
      <c r="I381" s="54" t="str"/>
      <c r="J381" s="54" t="str"/>
      <c r="K381" s="54" t="str"/>
      <c r="L381" s="55" t="n">
        <v>125</v>
      </c>
      <c r="M381" s="54" t="inlineStr">
        <is>
          <t>Points options: 5 models = 125 pts; 10 models = 270 pts</t>
        </is>
      </c>
      <c r="N381" s="54" t="inlineStr">
        <is>
          <t>Matched to Munitorum Field Manual v2.3</t>
        </is>
      </c>
      <c r="O381" s="54" t="inlineStr">
        <is>
          <t>Uploaded PDF: Munitorum Field Manual v2.3 / March 2025, p.15</t>
        </is>
      </c>
    </row>
    <row r="382">
      <c r="A382" s="54" t="inlineStr">
        <is>
          <t>Chaos Space Marines</t>
        </is>
      </c>
      <c r="B382" s="54" t="str"/>
      <c r="C382" s="54" t="inlineStr">
        <is>
          <t>Infantry / Other</t>
        </is>
      </c>
      <c r="D382" s="54" t="inlineStr">
        <is>
          <t>Infantry</t>
        </is>
      </c>
      <c r="E382" s="54" t="inlineStr">
        <is>
          <t>Warpsmith</t>
        </is>
      </c>
      <c r="F382" s="54" t="inlineStr">
        <is>
          <t>1 model</t>
        </is>
      </c>
      <c r="G382" s="54" t="inlineStr">
        <is>
          <t>Infantry</t>
        </is>
      </c>
      <c r="H382" s="54" t="str"/>
      <c r="I382" s="54" t="str"/>
      <c r="J382" s="54" t="str"/>
      <c r="K382" s="54" t="str"/>
      <c r="L382" s="55" t="n">
        <v>70</v>
      </c>
      <c r="M382" s="54" t="str"/>
      <c r="N382" s="54" t="inlineStr">
        <is>
          <t>Matched to Munitorum Field Manual v2.3</t>
        </is>
      </c>
      <c r="O382" s="54" t="inlineStr">
        <is>
          <t>Uploaded PDF: Munitorum Field Manual v2.3 / March 2025, p.15</t>
        </is>
      </c>
    </row>
    <row r="383">
      <c r="A383" s="54" t="inlineStr">
        <is>
          <t>Emperor's Children</t>
        </is>
      </c>
      <c r="B383" s="54" t="inlineStr">
        <is>
          <t>Emperor's Children</t>
        </is>
      </c>
      <c r="C383" s="54" t="inlineStr">
        <is>
          <t>Infantry / Other</t>
        </is>
      </c>
      <c r="D383" s="54" t="inlineStr">
        <is>
          <t>Infantry</t>
        </is>
      </c>
      <c r="E383" s="54" t="inlineStr">
        <is>
          <t>Daemon Prince of Slaanesh</t>
        </is>
      </c>
      <c r="F383" s="54" t="inlineStr">
        <is>
          <t>1 model</t>
        </is>
      </c>
      <c r="G383" s="54" t="inlineStr">
        <is>
          <t>Infantry</t>
        </is>
      </c>
      <c r="H383" s="54" t="str"/>
      <c r="I383" s="54" t="str"/>
      <c r="J383" s="54" t="str"/>
      <c r="K383" s="54" t="str"/>
      <c r="L383" s="55" t="n">
        <v>195</v>
      </c>
      <c r="M383" s="54" t="str"/>
      <c r="N383" s="54" t="inlineStr">
        <is>
          <t>Matched to Munitorum Field Manual v2.3</t>
        </is>
      </c>
      <c r="O383" s="54" t="inlineStr">
        <is>
          <t>Uploaded PDF: Munitorum Field Manual v2.3 / March 2025, p.21</t>
        </is>
      </c>
    </row>
    <row r="384">
      <c r="A384" s="54" t="inlineStr">
        <is>
          <t>Emperor's Children</t>
        </is>
      </c>
      <c r="B384" s="54" t="inlineStr">
        <is>
          <t>Emperor's Children</t>
        </is>
      </c>
      <c r="C384" s="54" t="inlineStr">
        <is>
          <t>Infantry / Other</t>
        </is>
      </c>
      <c r="D384" s="54" t="inlineStr">
        <is>
          <t>Infantry</t>
        </is>
      </c>
      <c r="E384" s="54" t="inlineStr">
        <is>
          <t>Daemon Prince of Slaanesh with Wings</t>
        </is>
      </c>
      <c r="F384" s="54" t="inlineStr">
        <is>
          <t>1 model</t>
        </is>
      </c>
      <c r="G384" s="54" t="inlineStr">
        <is>
          <t>Infantry</t>
        </is>
      </c>
      <c r="H384" s="54" t="str"/>
      <c r="I384" s="54" t="str"/>
      <c r="J384" s="54" t="str"/>
      <c r="K384" s="54" t="str"/>
      <c r="L384" s="55" t="n">
        <v>180</v>
      </c>
      <c r="M384" s="54" t="str"/>
      <c r="N384" s="54" t="inlineStr">
        <is>
          <t>Matched to Munitorum Field Manual v2.3</t>
        </is>
      </c>
      <c r="O384" s="54" t="inlineStr">
        <is>
          <t>Uploaded PDF: Munitorum Field Manual v2.3 / March 2025, p.21</t>
        </is>
      </c>
    </row>
    <row r="385">
      <c r="A385" s="54" t="inlineStr">
        <is>
          <t>Emperor's Children</t>
        </is>
      </c>
      <c r="B385" s="54" t="inlineStr">
        <is>
          <t>Emperor's Children</t>
        </is>
      </c>
      <c r="C385" s="54" t="inlineStr">
        <is>
          <t>Character</t>
        </is>
      </c>
      <c r="D385" s="54" t="inlineStr">
        <is>
          <t>Character</t>
        </is>
      </c>
      <c r="E385" s="54" t="inlineStr">
        <is>
          <t>Emperor's Children Lord Exultant</t>
        </is>
      </c>
      <c r="F385" s="54" t="n"/>
      <c r="G385" s="54" t="inlineStr">
        <is>
          <t>Character</t>
        </is>
      </c>
      <c r="H385" s="54" t="str"/>
      <c r="I385" s="54" t="str"/>
      <c r="J385" s="54" t="str"/>
      <c r="K385" s="54" t="str"/>
      <c r="L385" s="55" t="n"/>
      <c r="M385" s="54" t="inlineStr">
        <is>
          <t>No matching points entry found in uploaded PDF; verify unit name/current support.</t>
        </is>
      </c>
      <c r="N385" s="54" t="inlineStr">
        <is>
          <t>Not found in uploaded PDF</t>
        </is>
      </c>
      <c r="O385" s="54" t="inlineStr">
        <is>
          <t>Uploaded PDF: Munitorum Field Manual v2.3 / March 2025</t>
        </is>
      </c>
    </row>
    <row r="386">
      <c r="A386" s="54" t="inlineStr">
        <is>
          <t>Emperor's Children</t>
        </is>
      </c>
      <c r="B386" s="54" t="inlineStr">
        <is>
          <t>Emperor's Children</t>
        </is>
      </c>
      <c r="C386" s="54" t="inlineStr">
        <is>
          <t>Monster / Heavy Support</t>
        </is>
      </c>
      <c r="D386" s="54" t="inlineStr">
        <is>
          <t>Monster</t>
        </is>
      </c>
      <c r="E386" s="54" t="inlineStr">
        <is>
          <t>Fulgrim</t>
        </is>
      </c>
      <c r="F386" s="54" t="inlineStr">
        <is>
          <t>1 model</t>
        </is>
      </c>
      <c r="G386" s="54" t="inlineStr">
        <is>
          <t>Monster, Epic Hero</t>
        </is>
      </c>
      <c r="H386" s="54" t="str"/>
      <c r="I386" s="54" t="str"/>
      <c r="J386" s="54" t="str"/>
      <c r="K386" s="54" t="str"/>
      <c r="L386" s="55" t="n">
        <v>385</v>
      </c>
      <c r="M386" s="54" t="str"/>
      <c r="N386" s="54" t="inlineStr">
        <is>
          <t>Matched to Munitorum Field Manual v2.3</t>
        </is>
      </c>
      <c r="O386" s="54" t="inlineStr">
        <is>
          <t>Uploaded PDF: Munitorum Field Manual v2.3 / March 2025, p.21</t>
        </is>
      </c>
    </row>
    <row r="387">
      <c r="A387" s="54" t="inlineStr">
        <is>
          <t>Emperor's Children</t>
        </is>
      </c>
      <c r="B387" s="54" t="inlineStr">
        <is>
          <t>Emperor's Children</t>
        </is>
      </c>
      <c r="C387" s="54" t="inlineStr">
        <is>
          <t>Infantry / Other</t>
        </is>
      </c>
      <c r="D387" s="54" t="inlineStr">
        <is>
          <t>Infantry</t>
        </is>
      </c>
      <c r="E387" s="54" t="inlineStr">
        <is>
          <t>Infractors</t>
        </is>
      </c>
      <c r="F387" s="54" t="inlineStr">
        <is>
          <t>5 models</t>
        </is>
      </c>
      <c r="G387" s="54" t="inlineStr">
        <is>
          <t>Infantry</t>
        </is>
      </c>
      <c r="H387" s="54" t="str"/>
      <c r="I387" s="54" t="str"/>
      <c r="J387" s="54" t="str"/>
      <c r="K387" s="54" t="str"/>
      <c r="L387" s="55" t="n">
        <v>85</v>
      </c>
      <c r="M387" s="54" t="inlineStr">
        <is>
          <t>Points options: 5 models = 85 pts; 10 models = 160 pts</t>
        </is>
      </c>
      <c r="N387" s="54" t="inlineStr">
        <is>
          <t>Matched to Munitorum Field Manual v2.3</t>
        </is>
      </c>
      <c r="O387" s="54" t="inlineStr">
        <is>
          <t>Uploaded PDF: Munitorum Field Manual v2.3 / March 2025, p.21</t>
        </is>
      </c>
    </row>
    <row r="388">
      <c r="A388" s="54" t="inlineStr">
        <is>
          <t>Emperor's Children</t>
        </is>
      </c>
      <c r="B388" s="54" t="inlineStr">
        <is>
          <t>Emperor's Children</t>
        </is>
      </c>
      <c r="C388" s="54" t="inlineStr">
        <is>
          <t>Character</t>
        </is>
      </c>
      <c r="D388" s="54" t="inlineStr">
        <is>
          <t>Character</t>
        </is>
      </c>
      <c r="E388" s="54" t="inlineStr">
        <is>
          <t>Lord Kakophonist</t>
        </is>
      </c>
      <c r="F388" s="54" t="inlineStr">
        <is>
          <t>1 model</t>
        </is>
      </c>
      <c r="G388" s="54" t="inlineStr">
        <is>
          <t>Character</t>
        </is>
      </c>
      <c r="H388" s="54" t="str"/>
      <c r="I388" s="54" t="str"/>
      <c r="J388" s="54" t="str"/>
      <c r="K388" s="54" t="str"/>
      <c r="L388" s="55" t="n">
        <v>60</v>
      </c>
      <c r="M388" s="54" t="str"/>
      <c r="N388" s="54" t="inlineStr">
        <is>
          <t>Matched to Munitorum Field Manual v2.3</t>
        </is>
      </c>
      <c r="O388" s="54" t="inlineStr">
        <is>
          <t>Uploaded PDF: Munitorum Field Manual v2.3 / March 2025, p.21</t>
        </is>
      </c>
    </row>
    <row r="389">
      <c r="A389" s="54" t="inlineStr">
        <is>
          <t>Emperor's Children</t>
        </is>
      </c>
      <c r="B389" s="54" t="inlineStr">
        <is>
          <t>Emperor's Children</t>
        </is>
      </c>
      <c r="C389" s="54" t="inlineStr">
        <is>
          <t>Infantry / Other</t>
        </is>
      </c>
      <c r="D389" s="54" t="inlineStr">
        <is>
          <t>Infantry</t>
        </is>
      </c>
      <c r="E389" s="54" t="inlineStr">
        <is>
          <t>Lucius the Eternal</t>
        </is>
      </c>
      <c r="F389" s="54" t="inlineStr">
        <is>
          <t>1 model</t>
        </is>
      </c>
      <c r="G389" s="54" t="inlineStr">
        <is>
          <t>Infantry</t>
        </is>
      </c>
      <c r="H389" s="54" t="str"/>
      <c r="I389" s="54" t="str"/>
      <c r="J389" s="54" t="str"/>
      <c r="K389" s="54" t="str"/>
      <c r="L389" s="55" t="n">
        <v>140</v>
      </c>
      <c r="M389" s="54" t="inlineStr">
        <is>
          <t>Points options: 1 model = 140 pts; 1 model = 95 pts</t>
        </is>
      </c>
      <c r="N389" s="54" t="inlineStr">
        <is>
          <t>Matched to Munitorum Field Manual v2.3</t>
        </is>
      </c>
      <c r="O389" s="54" t="inlineStr">
        <is>
          <t>Uploaded PDF: Munitorum Field Manual v2.3 / March 2025, p.21</t>
        </is>
      </c>
    </row>
    <row r="390">
      <c r="A390" s="54" t="inlineStr">
        <is>
          <t>Emperor's Children</t>
        </is>
      </c>
      <c r="B390" s="54" t="inlineStr">
        <is>
          <t>Emperor's Children</t>
        </is>
      </c>
      <c r="C390" s="54" t="inlineStr">
        <is>
          <t>Infantry / Other</t>
        </is>
      </c>
      <c r="D390" s="54" t="inlineStr">
        <is>
          <t>Infantry</t>
        </is>
      </c>
      <c r="E390" s="54" t="inlineStr">
        <is>
          <t>Noise Marines</t>
        </is>
      </c>
      <c r="F390" s="54" t="inlineStr">
        <is>
          <t>6 models</t>
        </is>
      </c>
      <c r="G390" s="54" t="inlineStr">
        <is>
          <t>Infantry</t>
        </is>
      </c>
      <c r="H390" s="54" t="str"/>
      <c r="I390" s="54" t="str"/>
      <c r="J390" s="54" t="str"/>
      <c r="K390" s="54" t="str"/>
      <c r="L390" s="55" t="n">
        <v>135</v>
      </c>
      <c r="M390" s="54" t="inlineStr">
        <is>
          <t>Points options: 6 models = 135 pts; 5 models = 85 pts; 10 models = 170 pts</t>
        </is>
      </c>
      <c r="N390" s="54" t="inlineStr">
        <is>
          <t>Matched to Munitorum Field Manual v2.3</t>
        </is>
      </c>
      <c r="O390" s="54" t="inlineStr">
        <is>
          <t>Uploaded PDF: Munitorum Field Manual v2.3 / March 2025, p.21</t>
        </is>
      </c>
    </row>
    <row r="391">
      <c r="A391" s="54" t="inlineStr">
        <is>
          <t>Emperor's Children</t>
        </is>
      </c>
      <c r="B391" s="54" t="inlineStr">
        <is>
          <t>Emperor's Children</t>
        </is>
      </c>
      <c r="C391" s="54" t="inlineStr">
        <is>
          <t>Infantry / Other</t>
        </is>
      </c>
      <c r="D391" s="54" t="inlineStr">
        <is>
          <t>Infantry</t>
        </is>
      </c>
      <c r="E391" s="54" t="inlineStr">
        <is>
          <t>Tormentors</t>
        </is>
      </c>
      <c r="F391" s="54" t="inlineStr">
        <is>
          <t>5 models</t>
        </is>
      </c>
      <c r="G391" s="54" t="inlineStr">
        <is>
          <t>Infantry</t>
        </is>
      </c>
      <c r="H391" s="54" t="str"/>
      <c r="I391" s="54" t="str"/>
      <c r="J391" s="54" t="str"/>
      <c r="K391" s="54" t="str"/>
      <c r="L391" s="55" t="n">
        <v>85</v>
      </c>
      <c r="M391" s="54" t="inlineStr">
        <is>
          <t>Points options: 5 models = 85 pts; 10 models = 170 pts</t>
        </is>
      </c>
      <c r="N391" s="54" t="inlineStr">
        <is>
          <t>Matched to Munitorum Field Manual v2.3</t>
        </is>
      </c>
      <c r="O391" s="54" t="inlineStr">
        <is>
          <t>Uploaded PDF: Munitorum Field Manual v2.3 / March 2025, p.21</t>
        </is>
      </c>
    </row>
    <row r="392">
      <c r="A392" s="54" t="inlineStr">
        <is>
          <t>Death Guard</t>
        </is>
      </c>
      <c r="B392" s="54" t="str"/>
      <c r="C392" s="54" t="inlineStr">
        <is>
          <t>Infantry / Other</t>
        </is>
      </c>
      <c r="D392" s="54" t="inlineStr">
        <is>
          <t>Infantry</t>
        </is>
      </c>
      <c r="E392" s="54" t="inlineStr">
        <is>
          <t>Biologus Putrifier</t>
        </is>
      </c>
      <c r="F392" s="54" t="inlineStr">
        <is>
          <t>1 model</t>
        </is>
      </c>
      <c r="G392" s="54" t="inlineStr">
        <is>
          <t>Infantry</t>
        </is>
      </c>
      <c r="H392" s="54" t="str"/>
      <c r="I392" s="54" t="str"/>
      <c r="J392" s="54" t="str"/>
      <c r="K392" s="54" t="str"/>
      <c r="L392" s="55" t="n">
        <v>50</v>
      </c>
      <c r="M392" s="54" t="str"/>
      <c r="N392" s="54" t="inlineStr">
        <is>
          <t>Matched to Munitorum Field Manual v2.3</t>
        </is>
      </c>
      <c r="O392" s="54" t="inlineStr">
        <is>
          <t>Uploaded PDF: Munitorum Field Manual v2.3 / March 2025, p.18</t>
        </is>
      </c>
    </row>
    <row r="393">
      <c r="A393" s="54" t="inlineStr">
        <is>
          <t>Death Guard</t>
        </is>
      </c>
      <c r="B393" s="54" t="str"/>
      <c r="C393" s="54" t="inlineStr">
        <is>
          <t>Character</t>
        </is>
      </c>
      <c r="D393" s="54" t="inlineStr">
        <is>
          <t>Character</t>
        </is>
      </c>
      <c r="E393" s="54" t="inlineStr">
        <is>
          <t>Blightlord Terminators</t>
        </is>
      </c>
      <c r="F393" s="54" t="inlineStr">
        <is>
          <t>5 models</t>
        </is>
      </c>
      <c r="G393" s="54" t="inlineStr">
        <is>
          <t>Character</t>
        </is>
      </c>
      <c r="H393" s="54" t="str"/>
      <c r="I393" s="54" t="str"/>
      <c r="J393" s="54" t="str"/>
      <c r="K393" s="54" t="str"/>
      <c r="L393" s="55" t="n">
        <v>155</v>
      </c>
      <c r="M393" s="54" t="inlineStr">
        <is>
          <t>Points options: 5 models = 155 pts; 10 models = 310 pts</t>
        </is>
      </c>
      <c r="N393" s="54" t="inlineStr">
        <is>
          <t>Matched to Munitorum Field Manual v2.3</t>
        </is>
      </c>
      <c r="O393" s="54" t="inlineStr">
        <is>
          <t>Uploaded PDF: Munitorum Field Manual v2.3 / March 2025, p.18</t>
        </is>
      </c>
    </row>
    <row r="394">
      <c r="A394" s="54" t="inlineStr">
        <is>
          <t>Death Guard</t>
        </is>
      </c>
      <c r="B394" s="54" t="str"/>
      <c r="C394" s="54" t="inlineStr">
        <is>
          <t>Character</t>
        </is>
      </c>
      <c r="D394" s="54" t="inlineStr">
        <is>
          <t>Character</t>
        </is>
      </c>
      <c r="E394" s="54" t="inlineStr">
        <is>
          <t>Death Guard Chaos Lord</t>
        </is>
      </c>
      <c r="F394" s="54" t="inlineStr">
        <is>
          <t>1 model</t>
        </is>
      </c>
      <c r="G394" s="54" t="inlineStr">
        <is>
          <t>Character</t>
        </is>
      </c>
      <c r="H394" s="54" t="str"/>
      <c r="I394" s="54" t="str"/>
      <c r="J394" s="54" t="str"/>
      <c r="K394" s="54" t="str"/>
      <c r="L394" s="55" t="n">
        <v>65</v>
      </c>
      <c r="M394" s="54" t="str"/>
      <c r="N394" s="54" t="inlineStr">
        <is>
          <t>Matched to Munitorum Field Manual v2.3</t>
        </is>
      </c>
      <c r="O394" s="54" t="inlineStr">
        <is>
          <t>Uploaded PDF: Munitorum Field Manual v2.3 / March 2025, p.18</t>
        </is>
      </c>
    </row>
    <row r="395">
      <c r="A395" s="54" t="inlineStr">
        <is>
          <t>Death Guard</t>
        </is>
      </c>
      <c r="B395" s="54" t="str"/>
      <c r="C395" s="54" t="inlineStr">
        <is>
          <t>Character</t>
        </is>
      </c>
      <c r="D395" s="54" t="inlineStr">
        <is>
          <t>Character</t>
        </is>
      </c>
      <c r="E395" s="54" t="inlineStr">
        <is>
          <t>Death Guard Chaos Lord in Terminator Armour</t>
        </is>
      </c>
      <c r="F395" s="54" t="inlineStr">
        <is>
          <t>1 model</t>
        </is>
      </c>
      <c r="G395" s="54" t="inlineStr">
        <is>
          <t>Character</t>
        </is>
      </c>
      <c r="H395" s="54" t="str"/>
      <c r="I395" s="54" t="str"/>
      <c r="J395" s="54" t="str"/>
      <c r="K395" s="54" t="str"/>
      <c r="L395" s="55" t="n">
        <v>85</v>
      </c>
      <c r="M395" s="54" t="str"/>
      <c r="N395" s="54" t="inlineStr">
        <is>
          <t>Matched to Munitorum Field Manual v2.3</t>
        </is>
      </c>
      <c r="O395" s="54" t="inlineStr">
        <is>
          <t>Uploaded PDF: Munitorum Field Manual v2.3 / March 2025, p.18</t>
        </is>
      </c>
    </row>
    <row r="396">
      <c r="A396" s="54" t="inlineStr">
        <is>
          <t>Death Guard</t>
        </is>
      </c>
      <c r="B396" s="54" t="str"/>
      <c r="C396" s="54" t="inlineStr">
        <is>
          <t>Infantry / Other</t>
        </is>
      </c>
      <c r="D396" s="54" t="inlineStr">
        <is>
          <t>Infantry</t>
        </is>
      </c>
      <c r="E396" s="54" t="inlineStr">
        <is>
          <t>Death Guard Cultists</t>
        </is>
      </c>
      <c r="F396" s="54" t="inlineStr">
        <is>
          <t>10 models</t>
        </is>
      </c>
      <c r="G396" s="54" t="inlineStr">
        <is>
          <t>Infantry</t>
        </is>
      </c>
      <c r="H396" s="54" t="str"/>
      <c r="I396" s="54" t="str"/>
      <c r="J396" s="54" t="str"/>
      <c r="K396" s="54" t="str"/>
      <c r="L396" s="55" t="n">
        <v>50</v>
      </c>
      <c r="M396" s="54" t="inlineStr">
        <is>
          <t>Points options: 10 models = 50 pts; 20 models = 100 pts</t>
        </is>
      </c>
      <c r="N396" s="54" t="inlineStr">
        <is>
          <t>Matched to Munitorum Field Manual v2.3</t>
        </is>
      </c>
      <c r="O396" s="54" t="inlineStr">
        <is>
          <t>Uploaded PDF: Munitorum Field Manual v2.3 / March 2025, p.18</t>
        </is>
      </c>
    </row>
    <row r="397">
      <c r="A397" s="54" t="inlineStr">
        <is>
          <t>Death Guard</t>
        </is>
      </c>
      <c r="B397" s="54" t="str"/>
      <c r="C397" s="54" t="inlineStr">
        <is>
          <t>Infantry / Other</t>
        </is>
      </c>
      <c r="D397" s="54" t="inlineStr">
        <is>
          <t>Infantry</t>
        </is>
      </c>
      <c r="E397" s="54" t="inlineStr">
        <is>
          <t>Death Guard Daemon Prince</t>
        </is>
      </c>
      <c r="F397" s="54" t="inlineStr">
        <is>
          <t>1 model</t>
        </is>
      </c>
      <c r="G397" s="54" t="inlineStr">
        <is>
          <t>Infantry</t>
        </is>
      </c>
      <c r="H397" s="54" t="str"/>
      <c r="I397" s="54" t="str"/>
      <c r="J397" s="54" t="str"/>
      <c r="K397" s="54" t="str"/>
      <c r="L397" s="55" t="n">
        <v>160</v>
      </c>
      <c r="M397" s="54" t="str"/>
      <c r="N397" s="54" t="inlineStr">
        <is>
          <t>Matched to Munitorum Field Manual v2.3</t>
        </is>
      </c>
      <c r="O397" s="54" t="inlineStr">
        <is>
          <t>Uploaded PDF: Munitorum Field Manual v2.3 / March 2025, p.18</t>
        </is>
      </c>
    </row>
    <row r="398">
      <c r="A398" s="54" t="inlineStr">
        <is>
          <t>Death Guard</t>
        </is>
      </c>
      <c r="B398" s="54" t="str"/>
      <c r="C398" s="54" t="inlineStr">
        <is>
          <t>Infantry / Other</t>
        </is>
      </c>
      <c r="D398" s="54" t="inlineStr">
        <is>
          <t>Infantry</t>
        </is>
      </c>
      <c r="E398" s="54" t="inlineStr">
        <is>
          <t>Death Guard Daemon Prince with Wings</t>
        </is>
      </c>
      <c r="F398" s="54" t="inlineStr">
        <is>
          <t>1 model</t>
        </is>
      </c>
      <c r="G398" s="54" t="inlineStr">
        <is>
          <t>Infantry</t>
        </is>
      </c>
      <c r="H398" s="54" t="str"/>
      <c r="I398" s="54" t="str"/>
      <c r="J398" s="54" t="str"/>
      <c r="K398" s="54" t="str"/>
      <c r="L398" s="55" t="n">
        <v>195</v>
      </c>
      <c r="M398" s="54" t="str"/>
      <c r="N398" s="54" t="inlineStr">
        <is>
          <t>Matched to Munitorum Field Manual v2.3</t>
        </is>
      </c>
      <c r="O398" s="54" t="inlineStr">
        <is>
          <t>Uploaded PDF: Munitorum Field Manual v2.3 / March 2025, p.18</t>
        </is>
      </c>
    </row>
    <row r="399">
      <c r="A399" s="54" t="inlineStr">
        <is>
          <t>Death Guard</t>
        </is>
      </c>
      <c r="B399" s="54" t="str"/>
      <c r="C399" s="54" t="inlineStr">
        <is>
          <t>Vehicle / Support</t>
        </is>
      </c>
      <c r="D399" s="54" t="inlineStr">
        <is>
          <t>Walker / Battlesuit</t>
        </is>
      </c>
      <c r="E399" s="54" t="inlineStr">
        <is>
          <t>Death Guard Defiler</t>
        </is>
      </c>
      <c r="F399" s="54" t="inlineStr">
        <is>
          <t>1 model</t>
        </is>
      </c>
      <c r="G399" s="54" t="inlineStr">
        <is>
          <t>Walker / Battlesuit</t>
        </is>
      </c>
      <c r="H399" s="54" t="str"/>
      <c r="I399" s="54" t="str"/>
      <c r="J399" s="54" t="str"/>
      <c r="K399" s="54" t="str"/>
      <c r="L399" s="55" t="n">
        <v>190</v>
      </c>
      <c r="M399" s="54" t="str"/>
      <c r="N399" s="54" t="inlineStr">
        <is>
          <t>Matched to Munitorum Field Manual v2.3</t>
        </is>
      </c>
      <c r="O399" s="54" t="inlineStr">
        <is>
          <t>Uploaded PDF: Munitorum Field Manual v2.3 / March 2025, p.18</t>
        </is>
      </c>
    </row>
    <row r="400">
      <c r="A400" s="54" t="inlineStr">
        <is>
          <t>Death Guard</t>
        </is>
      </c>
      <c r="B400" s="54" t="str"/>
      <c r="C400" s="54" t="inlineStr">
        <is>
          <t>Vehicle / Support</t>
        </is>
      </c>
      <c r="D400" s="54" t="inlineStr">
        <is>
          <t>Walker / Battlesuit</t>
        </is>
      </c>
      <c r="E400" s="54" t="inlineStr">
        <is>
          <t>Death Guard Helbrute</t>
        </is>
      </c>
      <c r="F400" s="54" t="inlineStr">
        <is>
          <t>1 model</t>
        </is>
      </c>
      <c r="G400" s="54" t="inlineStr">
        <is>
          <t>Walker / Battlesuit</t>
        </is>
      </c>
      <c r="H400" s="54" t="str"/>
      <c r="I400" s="54" t="str"/>
      <c r="J400" s="54" t="str"/>
      <c r="K400" s="54" t="str"/>
      <c r="L400" s="55" t="n">
        <v>130</v>
      </c>
      <c r="M400" s="54" t="str"/>
      <c r="N400" s="54" t="inlineStr">
        <is>
          <t>Matched to Munitorum Field Manual v2.3</t>
        </is>
      </c>
      <c r="O400" s="54" t="inlineStr">
        <is>
          <t>Uploaded PDF: Munitorum Field Manual v2.3 / March 2025, p.18</t>
        </is>
      </c>
    </row>
    <row r="401">
      <c r="A401" s="54" t="inlineStr">
        <is>
          <t>Death Guard</t>
        </is>
      </c>
      <c r="B401" s="54" t="str"/>
      <c r="C401" s="54" t="inlineStr">
        <is>
          <t>Infantry / Other</t>
        </is>
      </c>
      <c r="D401" s="54" t="inlineStr">
        <is>
          <t>Infantry</t>
        </is>
      </c>
      <c r="E401" s="54" t="inlineStr">
        <is>
          <t>Death Guard Icon Bearer</t>
        </is>
      </c>
      <c r="F401" s="54" t="inlineStr">
        <is>
          <t>1 model</t>
        </is>
      </c>
      <c r="G401" s="54" t="inlineStr">
        <is>
          <t>Infantry</t>
        </is>
      </c>
      <c r="H401" s="54" t="str"/>
      <c r="I401" s="54" t="str"/>
      <c r="J401" s="54" t="str"/>
      <c r="K401" s="54" t="str"/>
      <c r="L401" s="55" t="n">
        <v>45</v>
      </c>
      <c r="M401" s="54" t="str"/>
      <c r="N401" s="54" t="inlineStr">
        <is>
          <t>Matched to Munitorum Field Manual v2.3</t>
        </is>
      </c>
      <c r="O401" s="54" t="inlineStr">
        <is>
          <t>Uploaded PDF: Munitorum Field Manual v2.3 / March 2025, p.18</t>
        </is>
      </c>
    </row>
    <row r="402">
      <c r="A402" s="54" t="inlineStr">
        <is>
          <t>Death Guard</t>
        </is>
      </c>
      <c r="B402" s="54" t="str"/>
      <c r="C402" s="54" t="inlineStr">
        <is>
          <t>Vehicle / Support</t>
        </is>
      </c>
      <c r="D402" s="54" t="inlineStr">
        <is>
          <t>Vehicle</t>
        </is>
      </c>
      <c r="E402" s="54" t="inlineStr">
        <is>
          <t>Death Guard Land Raider</t>
        </is>
      </c>
      <c r="F402" s="54" t="inlineStr">
        <is>
          <t>1 model</t>
        </is>
      </c>
      <c r="G402" s="54" t="inlineStr">
        <is>
          <t>Vehicle</t>
        </is>
      </c>
      <c r="H402" s="54" t="str"/>
      <c r="I402" s="54" t="str"/>
      <c r="J402" s="54" t="str"/>
      <c r="K402" s="54" t="str"/>
      <c r="L402" s="55" t="n">
        <v>240</v>
      </c>
      <c r="M402" s="54" t="str"/>
      <c r="N402" s="54" t="inlineStr">
        <is>
          <t>Matched to Munitorum Field Manual v2.3</t>
        </is>
      </c>
      <c r="O402" s="54" t="inlineStr">
        <is>
          <t>Uploaded PDF: Munitorum Field Manual v2.3 / March 2025, p.18</t>
        </is>
      </c>
    </row>
    <row r="403">
      <c r="A403" s="54" t="inlineStr">
        <is>
          <t>Death Guard</t>
        </is>
      </c>
      <c r="B403" s="54" t="str"/>
      <c r="C403" s="54" t="inlineStr">
        <is>
          <t>Vehicle / Support</t>
        </is>
      </c>
      <c r="D403" s="54" t="inlineStr">
        <is>
          <t>Vehicle</t>
        </is>
      </c>
      <c r="E403" s="54" t="inlineStr">
        <is>
          <t>Death Guard Predator Annihilator</t>
        </is>
      </c>
      <c r="F403" s="54" t="inlineStr">
        <is>
          <t>1 model</t>
        </is>
      </c>
      <c r="G403" s="54" t="inlineStr">
        <is>
          <t>Vehicle</t>
        </is>
      </c>
      <c r="H403" s="54" t="str"/>
      <c r="I403" s="54" t="str"/>
      <c r="J403" s="54" t="str"/>
      <c r="K403" s="54" t="str"/>
      <c r="L403" s="55" t="n">
        <v>135</v>
      </c>
      <c r="M403" s="54" t="str"/>
      <c r="N403" s="54" t="inlineStr">
        <is>
          <t>Matched to Munitorum Field Manual v2.3</t>
        </is>
      </c>
      <c r="O403" s="54" t="inlineStr">
        <is>
          <t>Uploaded PDF: Munitorum Field Manual v2.3 / March 2025, p.18</t>
        </is>
      </c>
    </row>
    <row r="404">
      <c r="A404" s="54" t="inlineStr">
        <is>
          <t>Death Guard</t>
        </is>
      </c>
      <c r="B404" s="54" t="str"/>
      <c r="C404" s="54" t="inlineStr">
        <is>
          <t>Vehicle / Support</t>
        </is>
      </c>
      <c r="D404" s="54" t="inlineStr">
        <is>
          <t>Vehicle</t>
        </is>
      </c>
      <c r="E404" s="54" t="inlineStr">
        <is>
          <t>Death Guard Predator Destructor</t>
        </is>
      </c>
      <c r="F404" s="54" t="inlineStr">
        <is>
          <t>1 model</t>
        </is>
      </c>
      <c r="G404" s="54" t="inlineStr">
        <is>
          <t>Vehicle</t>
        </is>
      </c>
      <c r="H404" s="54" t="str"/>
      <c r="I404" s="54" t="str"/>
      <c r="J404" s="54" t="str"/>
      <c r="K404" s="54" t="str"/>
      <c r="L404" s="55" t="n">
        <v>140</v>
      </c>
      <c r="M404" s="54" t="str"/>
      <c r="N404" s="54" t="inlineStr">
        <is>
          <t>Matched to Munitorum Field Manual v2.3</t>
        </is>
      </c>
      <c r="O404" s="54" t="inlineStr">
        <is>
          <t>Uploaded PDF: Munitorum Field Manual v2.3 / March 2025, p.18</t>
        </is>
      </c>
    </row>
    <row r="405">
      <c r="A405" s="54" t="inlineStr">
        <is>
          <t>Death Guard</t>
        </is>
      </c>
      <c r="B405" s="54" t="str"/>
      <c r="C405" s="54" t="inlineStr">
        <is>
          <t>Vehicle / Support</t>
        </is>
      </c>
      <c r="D405" s="54" t="inlineStr">
        <is>
          <t>Vehicle</t>
        </is>
      </c>
      <c r="E405" s="54" t="inlineStr">
        <is>
          <t>Death Guard Rhino</t>
        </is>
      </c>
      <c r="F405" s="54" t="inlineStr">
        <is>
          <t>1 model</t>
        </is>
      </c>
      <c r="G405" s="54" t="inlineStr">
        <is>
          <t>Vehicle</t>
        </is>
      </c>
      <c r="H405" s="54" t="str"/>
      <c r="I405" s="54" t="str"/>
      <c r="J405" s="54" t="str"/>
      <c r="K405" s="54" t="str"/>
      <c r="L405" s="55" t="n">
        <v>75</v>
      </c>
      <c r="M405" s="54" t="str"/>
      <c r="N405" s="54" t="inlineStr">
        <is>
          <t>Matched to Munitorum Field Manual v2.3</t>
        </is>
      </c>
      <c r="O405" s="54" t="inlineStr">
        <is>
          <t>Uploaded PDF: Munitorum Field Manual v2.3 / March 2025, p.18</t>
        </is>
      </c>
    </row>
    <row r="406">
      <c r="A406" s="54" t="inlineStr">
        <is>
          <t>Death Guard</t>
        </is>
      </c>
      <c r="B406" s="54" t="str"/>
      <c r="C406" s="54" t="inlineStr">
        <is>
          <t>Infantry / Other</t>
        </is>
      </c>
      <c r="D406" s="54" t="inlineStr">
        <is>
          <t>Infantry</t>
        </is>
      </c>
      <c r="E406" s="54" t="inlineStr">
        <is>
          <t>Death Guard Sorcerer in Terminator Armour</t>
        </is>
      </c>
      <c r="F406" s="54" t="inlineStr">
        <is>
          <t>1 model</t>
        </is>
      </c>
      <c r="G406" s="54" t="inlineStr">
        <is>
          <t>Infantry, Psyker</t>
        </is>
      </c>
      <c r="H406" s="54" t="str"/>
      <c r="I406" s="54" t="str"/>
      <c r="J406" s="54" t="str"/>
      <c r="K406" s="54" t="str"/>
      <c r="L406" s="55" t="n">
        <v>70</v>
      </c>
      <c r="M406" s="54" t="str"/>
      <c r="N406" s="54" t="inlineStr">
        <is>
          <t>Matched to Munitorum Field Manual v2.3</t>
        </is>
      </c>
      <c r="O406" s="54" t="inlineStr">
        <is>
          <t>Uploaded PDF: Munitorum Field Manual v2.3 / March 2025, p.18</t>
        </is>
      </c>
    </row>
    <row r="407">
      <c r="A407" s="54" t="inlineStr">
        <is>
          <t>Death Guard</t>
        </is>
      </c>
      <c r="B407" s="54" t="str"/>
      <c r="C407" s="54" t="inlineStr">
        <is>
          <t>Infantry / Other</t>
        </is>
      </c>
      <c r="D407" s="54" t="inlineStr">
        <is>
          <t>Infantry</t>
        </is>
      </c>
      <c r="E407" s="54" t="inlineStr">
        <is>
          <t>Deathshroud Terminators</t>
        </is>
      </c>
      <c r="F407" s="54" t="inlineStr">
        <is>
          <t>3 models</t>
        </is>
      </c>
      <c r="G407" s="54" t="inlineStr">
        <is>
          <t>Infantry</t>
        </is>
      </c>
      <c r="H407" s="54" t="str"/>
      <c r="I407" s="54" t="str"/>
      <c r="J407" s="54" t="str"/>
      <c r="K407" s="54" t="str"/>
      <c r="L407" s="55" t="n">
        <v>110</v>
      </c>
      <c r="M407" s="54" t="inlineStr">
        <is>
          <t>Points options: 3 models = 110 pts; 6 models = 220 pts</t>
        </is>
      </c>
      <c r="N407" s="54" t="inlineStr">
        <is>
          <t>Matched to Munitorum Field Manual v2.3</t>
        </is>
      </c>
      <c r="O407" s="54" t="inlineStr">
        <is>
          <t>Uploaded PDF: Munitorum Field Manual v2.3 / March 2025, p.18</t>
        </is>
      </c>
    </row>
    <row r="408">
      <c r="A408" s="54" t="inlineStr">
        <is>
          <t>Death Guard</t>
        </is>
      </c>
      <c r="B408" s="54" t="str"/>
      <c r="C408" s="54" t="inlineStr">
        <is>
          <t>Vehicle / Support</t>
        </is>
      </c>
      <c r="D408" s="54" t="inlineStr">
        <is>
          <t>Walker / Battlesuit</t>
        </is>
      </c>
      <c r="E408" s="54" t="inlineStr">
        <is>
          <t>Foetid Bloat-drone</t>
        </is>
      </c>
      <c r="F408" s="54" t="inlineStr">
        <is>
          <t>1 model</t>
        </is>
      </c>
      <c r="G408" s="54" t="inlineStr">
        <is>
          <t>Walker / Battlesuit</t>
        </is>
      </c>
      <c r="H408" s="54" t="str"/>
      <c r="I408" s="54" t="str"/>
      <c r="J408" s="54" t="str"/>
      <c r="K408" s="54" t="str"/>
      <c r="L408" s="55" t="n">
        <v>90</v>
      </c>
      <c r="M408" s="54" t="str"/>
      <c r="N408" s="54" t="inlineStr">
        <is>
          <t>Matched to Munitorum Field Manual v2.3</t>
        </is>
      </c>
      <c r="O408" s="54" t="inlineStr">
        <is>
          <t>Uploaded PDF: Munitorum Field Manual v2.3 / March 2025, p.18</t>
        </is>
      </c>
    </row>
    <row r="409">
      <c r="A409" s="54" t="inlineStr">
        <is>
          <t>Death Guard</t>
        </is>
      </c>
      <c r="B409" s="54" t="str"/>
      <c r="C409" s="54" t="inlineStr">
        <is>
          <t>Infantry / Other</t>
        </is>
      </c>
      <c r="D409" s="54" t="inlineStr">
        <is>
          <t>Infantry</t>
        </is>
      </c>
      <c r="E409" s="54" t="inlineStr">
        <is>
          <t>Foul Blightspawn</t>
        </is>
      </c>
      <c r="F409" s="54" t="inlineStr">
        <is>
          <t>1 model</t>
        </is>
      </c>
      <c r="G409" s="54" t="inlineStr">
        <is>
          <t>Infantry</t>
        </is>
      </c>
      <c r="H409" s="54" t="str"/>
      <c r="I409" s="54" t="str"/>
      <c r="J409" s="54" t="str"/>
      <c r="K409" s="54" t="str"/>
      <c r="L409" s="55" t="n">
        <v>60</v>
      </c>
      <c r="M409" s="54" t="str"/>
      <c r="N409" s="54" t="inlineStr">
        <is>
          <t>Matched to Munitorum Field Manual v2.3</t>
        </is>
      </c>
      <c r="O409" s="54" t="inlineStr">
        <is>
          <t>Uploaded PDF: Munitorum Field Manual v2.3 / March 2025, p.18</t>
        </is>
      </c>
    </row>
    <row r="410">
      <c r="A410" s="54" t="inlineStr">
        <is>
          <t>Death Guard</t>
        </is>
      </c>
      <c r="B410" s="54" t="str"/>
      <c r="C410" s="54" t="inlineStr">
        <is>
          <t>Character</t>
        </is>
      </c>
      <c r="D410" s="54" t="inlineStr">
        <is>
          <t>Character</t>
        </is>
      </c>
      <c r="E410" s="54" t="inlineStr">
        <is>
          <t>Lord of Contagion</t>
        </is>
      </c>
      <c r="F410" s="54" t="inlineStr">
        <is>
          <t>1 model</t>
        </is>
      </c>
      <c r="G410" s="54" t="inlineStr">
        <is>
          <t>Character</t>
        </is>
      </c>
      <c r="H410" s="54" t="str"/>
      <c r="I410" s="54" t="str"/>
      <c r="J410" s="54" t="str"/>
      <c r="K410" s="54" t="str"/>
      <c r="L410" s="55" t="n">
        <v>80</v>
      </c>
      <c r="M410" s="54" t="str"/>
      <c r="N410" s="54" t="inlineStr">
        <is>
          <t>Matched to Munitorum Field Manual v2.3</t>
        </is>
      </c>
      <c r="O410" s="54" t="inlineStr">
        <is>
          <t>Uploaded PDF: Munitorum Field Manual v2.3 / March 2025, p.18</t>
        </is>
      </c>
    </row>
    <row r="411">
      <c r="A411" s="54" t="inlineStr">
        <is>
          <t>Death Guard</t>
        </is>
      </c>
      <c r="B411" s="54" t="str"/>
      <c r="C411" s="54" t="inlineStr">
        <is>
          <t>Character</t>
        </is>
      </c>
      <c r="D411" s="54" t="inlineStr">
        <is>
          <t>Character</t>
        </is>
      </c>
      <c r="E411" s="54" t="inlineStr">
        <is>
          <t>Lord of Virulence</t>
        </is>
      </c>
      <c r="F411" s="54" t="inlineStr">
        <is>
          <t>1 model</t>
        </is>
      </c>
      <c r="G411" s="54" t="inlineStr">
        <is>
          <t>Character</t>
        </is>
      </c>
      <c r="H411" s="54" t="str"/>
      <c r="I411" s="54" t="str"/>
      <c r="J411" s="54" t="str"/>
      <c r="K411" s="54" t="str"/>
      <c r="L411" s="55" t="n">
        <v>80</v>
      </c>
      <c r="M411" s="54" t="str"/>
      <c r="N411" s="54" t="inlineStr">
        <is>
          <t>Matched to Munitorum Field Manual v2.3</t>
        </is>
      </c>
      <c r="O411" s="54" t="inlineStr">
        <is>
          <t>Uploaded PDF: Munitorum Field Manual v2.3 / March 2025, p.18</t>
        </is>
      </c>
    </row>
    <row r="412">
      <c r="A412" s="54" t="inlineStr">
        <is>
          <t>Death Guard</t>
        </is>
      </c>
      <c r="B412" s="54" t="str"/>
      <c r="C412" s="54" t="inlineStr">
        <is>
          <t>Infantry / Other</t>
        </is>
      </c>
      <c r="D412" s="54" t="inlineStr">
        <is>
          <t>Infantry</t>
        </is>
      </c>
      <c r="E412" s="54" t="inlineStr">
        <is>
          <t>Malignant Plaguecaster</t>
        </is>
      </c>
      <c r="F412" s="54" t="inlineStr">
        <is>
          <t>1 model</t>
        </is>
      </c>
      <c r="G412" s="54" t="inlineStr">
        <is>
          <t>Infantry</t>
        </is>
      </c>
      <c r="H412" s="54" t="str"/>
      <c r="I412" s="54" t="str"/>
      <c r="J412" s="54" t="str"/>
      <c r="K412" s="54" t="str"/>
      <c r="L412" s="55" t="n">
        <v>65</v>
      </c>
      <c r="M412" s="54" t="str"/>
      <c r="N412" s="54" t="inlineStr">
        <is>
          <t>Matched to Munitorum Field Manual v2.3</t>
        </is>
      </c>
      <c r="O412" s="54" t="inlineStr">
        <is>
          <t>Uploaded PDF: Munitorum Field Manual v2.3 / March 2025, p.18</t>
        </is>
      </c>
    </row>
    <row r="413">
      <c r="A413" s="54" t="inlineStr">
        <is>
          <t>Death Guard</t>
        </is>
      </c>
      <c r="B413" s="54" t="str"/>
      <c r="C413" s="54" t="inlineStr">
        <is>
          <t>Monster / Heavy Support</t>
        </is>
      </c>
      <c r="D413" s="54" t="inlineStr">
        <is>
          <t>Monster</t>
        </is>
      </c>
      <c r="E413" s="54" t="inlineStr">
        <is>
          <t>Mortarion</t>
        </is>
      </c>
      <c r="F413" s="54" t="inlineStr">
        <is>
          <t>1 model</t>
        </is>
      </c>
      <c r="G413" s="54" t="inlineStr">
        <is>
          <t>Monster, Epic Hero</t>
        </is>
      </c>
      <c r="H413" s="54" t="str"/>
      <c r="I413" s="54" t="str"/>
      <c r="J413" s="54" t="str"/>
      <c r="K413" s="54" t="str"/>
      <c r="L413" s="55" t="n">
        <v>300</v>
      </c>
      <c r="M413" s="54" t="str"/>
      <c r="N413" s="54" t="inlineStr">
        <is>
          <t>Matched to Munitorum Field Manual v2.3</t>
        </is>
      </c>
      <c r="O413" s="54" t="inlineStr">
        <is>
          <t>Uploaded PDF: Munitorum Field Manual v2.3 / March 2025, p.18</t>
        </is>
      </c>
    </row>
    <row r="414">
      <c r="A414" s="54" t="inlineStr">
        <is>
          <t>Death Guard</t>
        </is>
      </c>
      <c r="B414" s="54" t="str"/>
      <c r="C414" s="54" t="inlineStr">
        <is>
          <t>Infantry / Other</t>
        </is>
      </c>
      <c r="D414" s="54" t="inlineStr">
        <is>
          <t>Infantry</t>
        </is>
      </c>
      <c r="E414" s="54" t="inlineStr">
        <is>
          <t>Miasmic Malignifier</t>
        </is>
      </c>
      <c r="F414" s="54" t="inlineStr">
        <is>
          <t>1 model</t>
        </is>
      </c>
      <c r="G414" s="54" t="inlineStr">
        <is>
          <t>Infantry</t>
        </is>
      </c>
      <c r="H414" s="54" t="str"/>
      <c r="I414" s="54" t="str"/>
      <c r="J414" s="54" t="str"/>
      <c r="K414" s="54" t="str"/>
      <c r="L414" s="55" t="n">
        <v>115</v>
      </c>
      <c r="M414" s="54" t="str"/>
      <c r="N414" s="54" t="inlineStr">
        <is>
          <t>Matched to Munitorum Field Manual v2.3</t>
        </is>
      </c>
      <c r="O414" s="54" t="inlineStr">
        <is>
          <t>Uploaded PDF: Munitorum Field Manual v2.3 / March 2025, p.18</t>
        </is>
      </c>
    </row>
    <row r="415">
      <c r="A415" s="54" t="inlineStr">
        <is>
          <t>Death Guard</t>
        </is>
      </c>
      <c r="B415" s="54" t="str"/>
      <c r="C415" s="54" t="inlineStr">
        <is>
          <t>Vehicle / Support</t>
        </is>
      </c>
      <c r="D415" s="54" t="inlineStr">
        <is>
          <t>Walker / Battlesuit</t>
        </is>
      </c>
      <c r="E415" s="54" t="inlineStr">
        <is>
          <t>Myphitic Blight-haulers</t>
        </is>
      </c>
      <c r="F415" s="54" t="inlineStr">
        <is>
          <t>1 model</t>
        </is>
      </c>
      <c r="G415" s="54" t="inlineStr">
        <is>
          <t>Walker / Battlesuit</t>
        </is>
      </c>
      <c r="H415" s="54" t="str"/>
      <c r="I415" s="54" t="str"/>
      <c r="J415" s="54" t="str"/>
      <c r="K415" s="54" t="str"/>
      <c r="L415" s="55" t="n">
        <v>85</v>
      </c>
      <c r="M415" s="54" t="inlineStr">
        <is>
          <t>Points options: 1 model = 85 pts; 2 models = 170 pts; 3 models = 255 pts</t>
        </is>
      </c>
      <c r="N415" s="54" t="inlineStr">
        <is>
          <t>Matched to Munitorum Field Manual v2.3</t>
        </is>
      </c>
      <c r="O415" s="54" t="inlineStr">
        <is>
          <t>Uploaded PDF: Munitorum Field Manual v2.3 / March 2025, p.18</t>
        </is>
      </c>
    </row>
    <row r="416">
      <c r="A416" s="54" t="inlineStr">
        <is>
          <t>Death Guard</t>
        </is>
      </c>
      <c r="B416" s="54" t="str"/>
      <c r="C416" s="54" t="inlineStr">
        <is>
          <t>Infantry / Other</t>
        </is>
      </c>
      <c r="D416" s="54" t="inlineStr">
        <is>
          <t>Infantry</t>
        </is>
      </c>
      <c r="E416" s="54" t="inlineStr">
        <is>
          <t>Noxious Blightbringer</t>
        </is>
      </c>
      <c r="F416" s="54" t="inlineStr">
        <is>
          <t>1 model</t>
        </is>
      </c>
      <c r="G416" s="54" t="inlineStr">
        <is>
          <t>Infantry</t>
        </is>
      </c>
      <c r="H416" s="54" t="str"/>
      <c r="I416" s="54" t="str"/>
      <c r="J416" s="54" t="str"/>
      <c r="K416" s="54" t="str"/>
      <c r="L416" s="55" t="n">
        <v>45</v>
      </c>
      <c r="M416" s="54" t="str"/>
      <c r="N416" s="54" t="inlineStr">
        <is>
          <t>Matched to Munitorum Field Manual v2.3</t>
        </is>
      </c>
      <c r="O416" s="54" t="inlineStr">
        <is>
          <t>Uploaded PDF: Munitorum Field Manual v2.3 / March 2025, p.18</t>
        </is>
      </c>
    </row>
    <row r="417">
      <c r="A417" s="54" t="inlineStr">
        <is>
          <t>Death Guard</t>
        </is>
      </c>
      <c r="B417" s="54" t="str"/>
      <c r="C417" s="54" t="inlineStr">
        <is>
          <t>Battleline / Core</t>
        </is>
      </c>
      <c r="D417" s="54" t="inlineStr">
        <is>
          <t>Infantry</t>
        </is>
      </c>
      <c r="E417" s="54" t="inlineStr">
        <is>
          <t>Plague Marines</t>
        </is>
      </c>
      <c r="F417" s="54" t="inlineStr">
        <is>
          <t>5 models</t>
        </is>
      </c>
      <c r="G417" s="54" t="inlineStr">
        <is>
          <t>Infantry</t>
        </is>
      </c>
      <c r="H417" s="54" t="str"/>
      <c r="I417" s="54" t="str"/>
      <c r="J417" s="54" t="str"/>
      <c r="K417" s="54" t="str"/>
      <c r="L417" s="55" t="n">
        <v>90</v>
      </c>
      <c r="M417" s="54" t="inlineStr">
        <is>
          <t>Points options: 5 models = 90 pts; 7 models = 125 pts; 10 models = 180 pts</t>
        </is>
      </c>
      <c r="N417" s="54" t="inlineStr">
        <is>
          <t>Matched to Munitorum Field Manual v2.3</t>
        </is>
      </c>
      <c r="O417" s="54" t="inlineStr">
        <is>
          <t>Uploaded PDF: Munitorum Field Manual v2.3 / March 2025, p.18</t>
        </is>
      </c>
    </row>
    <row r="418">
      <c r="A418" s="54" t="inlineStr">
        <is>
          <t>Death Guard</t>
        </is>
      </c>
      <c r="B418" s="54" t="str"/>
      <c r="C418" s="54" t="inlineStr">
        <is>
          <t>Infantry / Other</t>
        </is>
      </c>
      <c r="D418" s="54" t="inlineStr">
        <is>
          <t>Infantry</t>
        </is>
      </c>
      <c r="E418" s="54" t="inlineStr">
        <is>
          <t>Plague Surgeon</t>
        </is>
      </c>
      <c r="F418" s="54" t="inlineStr">
        <is>
          <t>1 model</t>
        </is>
      </c>
      <c r="G418" s="54" t="inlineStr">
        <is>
          <t>Infantry</t>
        </is>
      </c>
      <c r="H418" s="54" t="str"/>
      <c r="I418" s="54" t="str"/>
      <c r="J418" s="54" t="str"/>
      <c r="K418" s="54" t="str"/>
      <c r="L418" s="55" t="n">
        <v>50</v>
      </c>
      <c r="M418" s="54" t="str"/>
      <c r="N418" s="54" t="inlineStr">
        <is>
          <t>Matched to Munitorum Field Manual v2.3</t>
        </is>
      </c>
      <c r="O418" s="54" t="inlineStr">
        <is>
          <t>Uploaded PDF: Munitorum Field Manual v2.3 / March 2025, p.18</t>
        </is>
      </c>
    </row>
    <row r="419">
      <c r="A419" s="54" t="inlineStr">
        <is>
          <t>Death Guard</t>
        </is>
      </c>
      <c r="B419" s="54" t="str"/>
      <c r="C419" s="54" t="inlineStr">
        <is>
          <t>Vehicle / Support</t>
        </is>
      </c>
      <c r="D419" s="54" t="inlineStr">
        <is>
          <t>Walker / Battlesuit</t>
        </is>
      </c>
      <c r="E419" s="54" t="inlineStr">
        <is>
          <t>Plagueburst Crawler</t>
        </is>
      </c>
      <c r="F419" s="54" t="inlineStr">
        <is>
          <t>1 model</t>
        </is>
      </c>
      <c r="G419" s="54" t="inlineStr">
        <is>
          <t>Walker / Battlesuit</t>
        </is>
      </c>
      <c r="H419" s="54" t="str"/>
      <c r="I419" s="54" t="str"/>
      <c r="J419" s="54" t="str"/>
      <c r="K419" s="54" t="str"/>
      <c r="L419" s="55" t="n">
        <v>180</v>
      </c>
      <c r="M419" s="54" t="str"/>
      <c r="N419" s="54" t="inlineStr">
        <is>
          <t>Matched to Munitorum Field Manual v2.3</t>
        </is>
      </c>
      <c r="O419" s="54" t="inlineStr">
        <is>
          <t>Uploaded PDF: Munitorum Field Manual v2.3 / March 2025, p.18</t>
        </is>
      </c>
    </row>
    <row r="420">
      <c r="A420" s="54" t="inlineStr">
        <is>
          <t>Death Guard</t>
        </is>
      </c>
      <c r="B420" s="54" t="str"/>
      <c r="C420" s="54" t="inlineStr">
        <is>
          <t>Infantry / Other</t>
        </is>
      </c>
      <c r="D420" s="54" t="inlineStr">
        <is>
          <t>Infantry</t>
        </is>
      </c>
      <c r="E420" s="54" t="inlineStr">
        <is>
          <t>Poxwalkers</t>
        </is>
      </c>
      <c r="F420" s="54" t="inlineStr">
        <is>
          <t>10 models</t>
        </is>
      </c>
      <c r="G420" s="54" t="inlineStr">
        <is>
          <t>Infantry</t>
        </is>
      </c>
      <c r="H420" s="54" t="str"/>
      <c r="I420" s="54" t="str"/>
      <c r="J420" s="54" t="str"/>
      <c r="K420" s="54" t="str"/>
      <c r="L420" s="55" t="n">
        <v>50</v>
      </c>
      <c r="M420" s="54" t="inlineStr">
        <is>
          <t>Points options: 10 models = 50 pts; 20 models = 100 pts</t>
        </is>
      </c>
      <c r="N420" s="54" t="inlineStr">
        <is>
          <t>Matched to Munitorum Field Manual v2.3</t>
        </is>
      </c>
      <c r="O420" s="54" t="inlineStr">
        <is>
          <t>Uploaded PDF: Munitorum Field Manual v2.3 / March 2025, p.18</t>
        </is>
      </c>
    </row>
    <row r="421">
      <c r="A421" s="54" t="inlineStr">
        <is>
          <t>Death Guard</t>
        </is>
      </c>
      <c r="B421" s="54" t="str"/>
      <c r="C421" s="54" t="inlineStr">
        <is>
          <t>Infantry / Other</t>
        </is>
      </c>
      <c r="D421" s="54" t="inlineStr">
        <is>
          <t>Infantry</t>
        </is>
      </c>
      <c r="E421" s="54" t="inlineStr">
        <is>
          <t>Tallyman</t>
        </is>
      </c>
      <c r="F421" s="54" t="inlineStr">
        <is>
          <t>1 model</t>
        </is>
      </c>
      <c r="G421" s="54" t="inlineStr">
        <is>
          <t>Infantry</t>
        </is>
      </c>
      <c r="H421" s="54" t="str"/>
      <c r="I421" s="54" t="str"/>
      <c r="J421" s="54" t="str"/>
      <c r="K421" s="54" t="str"/>
      <c r="L421" s="55" t="n">
        <v>45</v>
      </c>
      <c r="M421" s="54" t="str"/>
      <c r="N421" s="54" t="inlineStr">
        <is>
          <t>Matched to Munitorum Field Manual v2.3</t>
        </is>
      </c>
      <c r="O421" s="54" t="inlineStr">
        <is>
          <t>Uploaded PDF: Munitorum Field Manual v2.3 / March 2025, p.18</t>
        </is>
      </c>
    </row>
    <row r="422">
      <c r="A422" s="54" t="inlineStr">
        <is>
          <t>Death Guard</t>
        </is>
      </c>
      <c r="B422" s="54" t="str"/>
      <c r="C422" s="54" t="inlineStr">
        <is>
          <t>Infantry / Other</t>
        </is>
      </c>
      <c r="D422" s="54" t="inlineStr">
        <is>
          <t>Infantry</t>
        </is>
      </c>
      <c r="E422" s="54" t="inlineStr">
        <is>
          <t>Typhus</t>
        </is>
      </c>
      <c r="F422" s="54" t="inlineStr">
        <is>
          <t>1 model</t>
        </is>
      </c>
      <c r="G422" s="54" t="inlineStr">
        <is>
          <t>Infantry</t>
        </is>
      </c>
      <c r="H422" s="54" t="str"/>
      <c r="I422" s="54" t="str"/>
      <c r="J422" s="54" t="str"/>
      <c r="K422" s="54" t="str"/>
      <c r="L422" s="55" t="n">
        <v>80</v>
      </c>
      <c r="M422" s="54" t="str"/>
      <c r="N422" s="54" t="inlineStr">
        <is>
          <t>Matched to Munitorum Field Manual v2.3</t>
        </is>
      </c>
      <c r="O422" s="54" t="inlineStr">
        <is>
          <t>Uploaded PDF: Munitorum Field Manual v2.3 / March 2025, p.18</t>
        </is>
      </c>
    </row>
    <row r="423">
      <c r="A423" s="54" t="inlineStr">
        <is>
          <t>Thousand Sons</t>
        </is>
      </c>
      <c r="B423" s="54" t="str"/>
      <c r="C423" s="54" t="inlineStr">
        <is>
          <t>Infantry / Other</t>
        </is>
      </c>
      <c r="D423" s="54" t="inlineStr">
        <is>
          <t>Infantry</t>
        </is>
      </c>
      <c r="E423" s="54" t="inlineStr">
        <is>
          <t>Ahriman</t>
        </is>
      </c>
      <c r="F423" s="54" t="inlineStr">
        <is>
          <t>1 model</t>
        </is>
      </c>
      <c r="G423" s="54" t="inlineStr">
        <is>
          <t>Infantry</t>
        </is>
      </c>
      <c r="H423" s="54" t="str"/>
      <c r="I423" s="54" t="str"/>
      <c r="J423" s="54" t="str"/>
      <c r="K423" s="54" t="str"/>
      <c r="L423" s="55" t="n">
        <v>140</v>
      </c>
      <c r="M423" s="54" t="str"/>
      <c r="N423" s="54" t="inlineStr">
        <is>
          <t>Matched to Munitorum Field Manual v2.3</t>
        </is>
      </c>
      <c r="O423" s="54" t="inlineStr">
        <is>
          <t>Uploaded PDF: Munitorum Field Manual v2.3 / March 2025, p.35</t>
        </is>
      </c>
    </row>
    <row r="424">
      <c r="A424" s="54" t="inlineStr">
        <is>
          <t>Thousand Sons</t>
        </is>
      </c>
      <c r="B424" s="54" t="str"/>
      <c r="C424" s="54" t="inlineStr">
        <is>
          <t>Infantry / Other</t>
        </is>
      </c>
      <c r="D424" s="54" t="inlineStr">
        <is>
          <t>Mounted / Bike</t>
        </is>
      </c>
      <c r="E424" s="54" t="inlineStr">
        <is>
          <t>Ahriman on Disc of Tzeentch</t>
        </is>
      </c>
      <c r="F424" s="54" t="inlineStr">
        <is>
          <t>1 model</t>
        </is>
      </c>
      <c r="G424" s="54" t="inlineStr">
        <is>
          <t>Mounted / Bike, Psyker</t>
        </is>
      </c>
      <c r="H424" s="54" t="str"/>
      <c r="I424" s="54" t="str"/>
      <c r="J424" s="54" t="str"/>
      <c r="K424" s="54" t="str"/>
      <c r="L424" s="55" t="n">
        <v>150</v>
      </c>
      <c r="M424" s="54" t="str"/>
      <c r="N424" s="54" t="inlineStr">
        <is>
          <t>Matched to Munitorum Field Manual v2.3</t>
        </is>
      </c>
      <c r="O424" s="54" t="inlineStr">
        <is>
          <t>Uploaded PDF: Munitorum Field Manual v2.3 / March 2025, p.35</t>
        </is>
      </c>
    </row>
    <row r="425">
      <c r="A425" s="54" t="inlineStr">
        <is>
          <t>Thousand Sons</t>
        </is>
      </c>
      <c r="B425" s="54" t="str"/>
      <c r="C425" s="54" t="inlineStr">
        <is>
          <t>Infantry / Other</t>
        </is>
      </c>
      <c r="D425" s="54" t="inlineStr">
        <is>
          <t>Infantry</t>
        </is>
      </c>
      <c r="E425" s="54" t="inlineStr">
        <is>
          <t>Exalted Sorcerer</t>
        </is>
      </c>
      <c r="F425" s="54" t="inlineStr">
        <is>
          <t>1 model</t>
        </is>
      </c>
      <c r="G425" s="54" t="inlineStr">
        <is>
          <t>Infantry, Psyker</t>
        </is>
      </c>
      <c r="H425" s="54" t="str"/>
      <c r="I425" s="54" t="str"/>
      <c r="J425" s="54" t="str"/>
      <c r="K425" s="54" t="str"/>
      <c r="L425" s="55" t="n">
        <v>110</v>
      </c>
      <c r="M425" s="54" t="str"/>
      <c r="N425" s="54" t="inlineStr">
        <is>
          <t>Matched to Munitorum Field Manual v2.3</t>
        </is>
      </c>
      <c r="O425" s="54" t="inlineStr">
        <is>
          <t>Uploaded PDF: Munitorum Field Manual v2.3 / March 2025, p.35</t>
        </is>
      </c>
    </row>
    <row r="426">
      <c r="A426" s="54" t="inlineStr">
        <is>
          <t>Thousand Sons</t>
        </is>
      </c>
      <c r="B426" s="54" t="str"/>
      <c r="C426" s="54" t="inlineStr">
        <is>
          <t>Infantry / Other</t>
        </is>
      </c>
      <c r="D426" s="54" t="inlineStr">
        <is>
          <t>Mounted / Bike</t>
        </is>
      </c>
      <c r="E426" s="54" t="inlineStr">
        <is>
          <t>Exalted Sorcerer on Disc of Tzeentch</t>
        </is>
      </c>
      <c r="F426" s="54" t="inlineStr">
        <is>
          <t>1 model</t>
        </is>
      </c>
      <c r="G426" s="54" t="inlineStr">
        <is>
          <t>Mounted / Bike, Psyker</t>
        </is>
      </c>
      <c r="H426" s="54" t="str"/>
      <c r="I426" s="54" t="str"/>
      <c r="J426" s="54" t="str"/>
      <c r="K426" s="54" t="str"/>
      <c r="L426" s="55" t="n">
        <v>115</v>
      </c>
      <c r="M426" s="54" t="str"/>
      <c r="N426" s="54" t="inlineStr">
        <is>
          <t>Matched to Munitorum Field Manual v2.3</t>
        </is>
      </c>
      <c r="O426" s="54" t="inlineStr">
        <is>
          <t>Uploaded PDF: Munitorum Field Manual v2.3 / March 2025, p.35</t>
        </is>
      </c>
    </row>
    <row r="427">
      <c r="A427" s="54" t="inlineStr">
        <is>
          <t>Thousand Sons</t>
        </is>
      </c>
      <c r="B427" s="54" t="str"/>
      <c r="C427" s="54" t="inlineStr">
        <is>
          <t>Character</t>
        </is>
      </c>
      <c r="D427" s="54" t="inlineStr">
        <is>
          <t>Character</t>
        </is>
      </c>
      <c r="E427" s="54" t="inlineStr">
        <is>
          <t>Infernal Master</t>
        </is>
      </c>
      <c r="F427" s="54" t="inlineStr">
        <is>
          <t>1 model</t>
        </is>
      </c>
      <c r="G427" s="54" t="inlineStr">
        <is>
          <t>Character</t>
        </is>
      </c>
      <c r="H427" s="54" t="str"/>
      <c r="I427" s="54" t="str"/>
      <c r="J427" s="54" t="str"/>
      <c r="K427" s="54" t="str"/>
      <c r="L427" s="55" t="n">
        <v>105</v>
      </c>
      <c r="M427" s="54" t="str"/>
      <c r="N427" s="54" t="inlineStr">
        <is>
          <t>Matched to Munitorum Field Manual v2.3</t>
        </is>
      </c>
      <c r="O427" s="54" t="inlineStr">
        <is>
          <t>Uploaded PDF: Munitorum Field Manual v2.3 / March 2025, p.35</t>
        </is>
      </c>
    </row>
    <row r="428">
      <c r="A428" s="54" t="inlineStr">
        <is>
          <t>Thousand Sons</t>
        </is>
      </c>
      <c r="B428" s="54" t="str"/>
      <c r="C428" s="54" t="inlineStr">
        <is>
          <t>Monster / Heavy Support</t>
        </is>
      </c>
      <c r="D428" s="54" t="inlineStr">
        <is>
          <t>Monster</t>
        </is>
      </c>
      <c r="E428" s="54" t="inlineStr">
        <is>
          <t>Magnus the Red</t>
        </is>
      </c>
      <c r="F428" s="54" t="inlineStr">
        <is>
          <t>1 model</t>
        </is>
      </c>
      <c r="G428" s="54" t="inlineStr">
        <is>
          <t>Monster, Epic Hero</t>
        </is>
      </c>
      <c r="H428" s="54" t="str"/>
      <c r="I428" s="54" t="str"/>
      <c r="J428" s="54" t="str"/>
      <c r="K428" s="54" t="str"/>
      <c r="L428" s="55" t="n">
        <v>465</v>
      </c>
      <c r="M428" s="54" t="str"/>
      <c r="N428" s="54" t="inlineStr">
        <is>
          <t>Matched to Munitorum Field Manual v2.3</t>
        </is>
      </c>
      <c r="O428" s="54" t="inlineStr">
        <is>
          <t>Uploaded PDF: Munitorum Field Manual v2.3 / March 2025, p.35</t>
        </is>
      </c>
    </row>
    <row r="429">
      <c r="A429" s="54" t="inlineStr">
        <is>
          <t>Thousand Sons</t>
        </is>
      </c>
      <c r="B429" s="54" t="str"/>
      <c r="C429" s="54" t="inlineStr">
        <is>
          <t>Monster / Heavy Support</t>
        </is>
      </c>
      <c r="D429" s="54" t="inlineStr">
        <is>
          <t>Monster</t>
        </is>
      </c>
      <c r="E429" s="54" t="inlineStr">
        <is>
          <t>Mutalith Vortex Beast</t>
        </is>
      </c>
      <c r="F429" s="54" t="inlineStr">
        <is>
          <t>1 model</t>
        </is>
      </c>
      <c r="G429" s="54" t="inlineStr">
        <is>
          <t>Monster</t>
        </is>
      </c>
      <c r="H429" s="54" t="str"/>
      <c r="I429" s="54" t="str"/>
      <c r="J429" s="54" t="str"/>
      <c r="K429" s="54" t="str"/>
      <c r="L429" s="55" t="n">
        <v>165</v>
      </c>
      <c r="M429" s="54" t="str"/>
      <c r="N429" s="54" t="inlineStr">
        <is>
          <t>Matched to Munitorum Field Manual v2.3</t>
        </is>
      </c>
      <c r="O429" s="54" t="inlineStr">
        <is>
          <t>Uploaded PDF: Munitorum Field Manual v2.3 / March 2025, p.35</t>
        </is>
      </c>
    </row>
    <row r="430">
      <c r="A430" s="54" t="inlineStr">
        <is>
          <t>Thousand Sons</t>
        </is>
      </c>
      <c r="B430" s="54" t="str"/>
      <c r="C430" s="54" t="inlineStr">
        <is>
          <t>Battleline / Core</t>
        </is>
      </c>
      <c r="D430" s="54" t="inlineStr">
        <is>
          <t>Infantry</t>
        </is>
      </c>
      <c r="E430" s="54" t="inlineStr">
        <is>
          <t>Rubric Marines</t>
        </is>
      </c>
      <c r="F430" s="54" t="inlineStr">
        <is>
          <t>5 models</t>
        </is>
      </c>
      <c r="G430" s="54" t="inlineStr">
        <is>
          <t>Infantry</t>
        </is>
      </c>
      <c r="H430" s="54" t="str"/>
      <c r="I430" s="54" t="str"/>
      <c r="J430" s="54" t="str"/>
      <c r="K430" s="54" t="str"/>
      <c r="L430" s="55" t="n">
        <v>110</v>
      </c>
      <c r="M430" s="54" t="inlineStr">
        <is>
          <t>Points options: 5 models = 110 pts; 10 models = 200 pts</t>
        </is>
      </c>
      <c r="N430" s="54" t="inlineStr">
        <is>
          <t>Matched to Munitorum Field Manual v2.3</t>
        </is>
      </c>
      <c r="O430" s="54" t="inlineStr">
        <is>
          <t>Uploaded PDF: Munitorum Field Manual v2.3 / March 2025, p.35</t>
        </is>
      </c>
    </row>
    <row r="431">
      <c r="A431" s="54" t="inlineStr">
        <is>
          <t>Thousand Sons</t>
        </is>
      </c>
      <c r="B431" s="54" t="str"/>
      <c r="C431" s="54" t="inlineStr">
        <is>
          <t>Infantry / Other</t>
        </is>
      </c>
      <c r="D431" s="54" t="inlineStr">
        <is>
          <t>Beast / Swarm</t>
        </is>
      </c>
      <c r="E431" s="54" t="inlineStr">
        <is>
          <t>Scarab Occult Terminators</t>
        </is>
      </c>
      <c r="F431" s="54" t="inlineStr">
        <is>
          <t>5 models</t>
        </is>
      </c>
      <c r="G431" s="54" t="inlineStr">
        <is>
          <t>Beast / Swarm</t>
        </is>
      </c>
      <c r="H431" s="54" t="str"/>
      <c r="I431" s="54" t="str"/>
      <c r="J431" s="54" t="str"/>
      <c r="K431" s="54" t="str"/>
      <c r="L431" s="55" t="n">
        <v>180</v>
      </c>
      <c r="M431" s="54" t="inlineStr">
        <is>
          <t>Points options: 5 models = 180 pts; 10 models = 360 pts</t>
        </is>
      </c>
      <c r="N431" s="54" t="inlineStr">
        <is>
          <t>Matched to Munitorum Field Manual v2.3</t>
        </is>
      </c>
      <c r="O431" s="54" t="inlineStr">
        <is>
          <t>Uploaded PDF: Munitorum Field Manual v2.3 / March 2025, p.35</t>
        </is>
      </c>
    </row>
    <row r="432">
      <c r="A432" s="54" t="inlineStr">
        <is>
          <t>Thousand Sons</t>
        </is>
      </c>
      <c r="B432" s="54" t="str"/>
      <c r="C432" s="54" t="inlineStr">
        <is>
          <t>Infantry / Other</t>
        </is>
      </c>
      <c r="D432" s="54" t="inlineStr">
        <is>
          <t>Infantry</t>
        </is>
      </c>
      <c r="E432" s="54" t="inlineStr">
        <is>
          <t>Thousand Sons Chaos Spawn</t>
        </is>
      </c>
      <c r="F432" s="54" t="inlineStr">
        <is>
          <t>2 models</t>
        </is>
      </c>
      <c r="G432" s="54" t="inlineStr">
        <is>
          <t>Infantry, Psyker</t>
        </is>
      </c>
      <c r="H432" s="54" t="str"/>
      <c r="I432" s="54" t="str"/>
      <c r="J432" s="54" t="str"/>
      <c r="K432" s="54" t="str"/>
      <c r="L432" s="55" t="n">
        <v>65</v>
      </c>
      <c r="M432" s="54" t="str"/>
      <c r="N432" s="54" t="inlineStr">
        <is>
          <t>Matched to Munitorum Field Manual v2.3</t>
        </is>
      </c>
      <c r="O432" s="54" t="inlineStr">
        <is>
          <t>Uploaded PDF: Munitorum Field Manual v2.3 / March 2025, p.35</t>
        </is>
      </c>
    </row>
    <row r="433">
      <c r="A433" s="54" t="inlineStr">
        <is>
          <t>Thousand Sons</t>
        </is>
      </c>
      <c r="B433" s="54" t="str"/>
      <c r="C433" s="54" t="inlineStr">
        <is>
          <t>Infantry / Other</t>
        </is>
      </c>
      <c r="D433" s="54" t="inlineStr">
        <is>
          <t>Infantry</t>
        </is>
      </c>
      <c r="E433" s="54" t="inlineStr">
        <is>
          <t>Thousand Sons Daemon Prince</t>
        </is>
      </c>
      <c r="F433" s="54" t="inlineStr">
        <is>
          <t>1 model</t>
        </is>
      </c>
      <c r="G433" s="54" t="inlineStr">
        <is>
          <t>Infantry, Psyker</t>
        </is>
      </c>
      <c r="H433" s="54" t="str"/>
      <c r="I433" s="54" t="str"/>
      <c r="J433" s="54" t="str"/>
      <c r="K433" s="54" t="str"/>
      <c r="L433" s="55" t="n">
        <v>170</v>
      </c>
      <c r="M433" s="54" t="str"/>
      <c r="N433" s="54" t="inlineStr">
        <is>
          <t>Matched to Munitorum Field Manual v2.3</t>
        </is>
      </c>
      <c r="O433" s="54" t="inlineStr">
        <is>
          <t>Uploaded PDF: Munitorum Field Manual v2.3 / March 2025, p.35</t>
        </is>
      </c>
    </row>
    <row r="434">
      <c r="A434" s="54" t="inlineStr">
        <is>
          <t>Thousand Sons</t>
        </is>
      </c>
      <c r="B434" s="54" t="str"/>
      <c r="C434" s="54" t="inlineStr">
        <is>
          <t>Infantry / Other</t>
        </is>
      </c>
      <c r="D434" s="54" t="inlineStr">
        <is>
          <t>Infantry</t>
        </is>
      </c>
      <c r="E434" s="54" t="inlineStr">
        <is>
          <t>Thousand Sons Daemon Prince with Wings</t>
        </is>
      </c>
      <c r="F434" s="54" t="inlineStr">
        <is>
          <t>1 model</t>
        </is>
      </c>
      <c r="G434" s="54" t="inlineStr">
        <is>
          <t>Infantry, Psyker</t>
        </is>
      </c>
      <c r="H434" s="54" t="str"/>
      <c r="I434" s="54" t="str"/>
      <c r="J434" s="54" t="str"/>
      <c r="K434" s="54" t="str"/>
      <c r="L434" s="55" t="n">
        <v>180</v>
      </c>
      <c r="M434" s="54" t="str"/>
      <c r="N434" s="54" t="inlineStr">
        <is>
          <t>Matched to Munitorum Field Manual v2.3</t>
        </is>
      </c>
      <c r="O434" s="54" t="inlineStr">
        <is>
          <t>Uploaded PDF: Munitorum Field Manual v2.3 / March 2025, p.35</t>
        </is>
      </c>
    </row>
    <row r="435">
      <c r="A435" s="54" t="inlineStr">
        <is>
          <t>Thousand Sons</t>
        </is>
      </c>
      <c r="B435" s="54" t="str"/>
      <c r="C435" s="54" t="inlineStr">
        <is>
          <t>Vehicle / Support</t>
        </is>
      </c>
      <c r="D435" s="54" t="inlineStr">
        <is>
          <t>Walker / Battlesuit</t>
        </is>
      </c>
      <c r="E435" s="54" t="inlineStr">
        <is>
          <t>Thousand Sons Defiler</t>
        </is>
      </c>
      <c r="F435" s="54" t="inlineStr">
        <is>
          <t>1 model</t>
        </is>
      </c>
      <c r="G435" s="54" t="inlineStr">
        <is>
          <t>Walker / Battlesuit, Psyker</t>
        </is>
      </c>
      <c r="H435" s="54" t="str"/>
      <c r="I435" s="54" t="str"/>
      <c r="J435" s="54" t="str"/>
      <c r="K435" s="54" t="str"/>
      <c r="L435" s="55" t="n">
        <v>190</v>
      </c>
      <c r="M435" s="54" t="str"/>
      <c r="N435" s="54" t="inlineStr">
        <is>
          <t>Matched to Munitorum Field Manual v2.3</t>
        </is>
      </c>
      <c r="O435" s="54" t="inlineStr">
        <is>
          <t>Uploaded PDF: Munitorum Field Manual v2.3 / March 2025, p.35</t>
        </is>
      </c>
    </row>
    <row r="436">
      <c r="A436" s="54" t="inlineStr">
        <is>
          <t>Thousand Sons</t>
        </is>
      </c>
      <c r="B436" s="54" t="str"/>
      <c r="C436" s="54" t="inlineStr">
        <is>
          <t>Vehicle / Support</t>
        </is>
      </c>
      <c r="D436" s="54" t="inlineStr">
        <is>
          <t>Walker / Battlesuit</t>
        </is>
      </c>
      <c r="E436" s="54" t="inlineStr">
        <is>
          <t>Thousand Sons Forgefiend</t>
        </is>
      </c>
      <c r="F436" s="54" t="inlineStr">
        <is>
          <t>1 model</t>
        </is>
      </c>
      <c r="G436" s="54" t="inlineStr">
        <is>
          <t>Walker / Battlesuit, Psyker</t>
        </is>
      </c>
      <c r="H436" s="54" t="str"/>
      <c r="I436" s="54" t="str"/>
      <c r="J436" s="54" t="str"/>
      <c r="K436" s="54" t="str"/>
      <c r="L436" s="55" t="n">
        <v>145</v>
      </c>
      <c r="M436" s="54" t="str"/>
      <c r="N436" s="54" t="inlineStr">
        <is>
          <t>Matched to Munitorum Field Manual v2.3</t>
        </is>
      </c>
      <c r="O436" s="54" t="inlineStr">
        <is>
          <t>Uploaded PDF: Munitorum Field Manual v2.3 / March 2025, p.35</t>
        </is>
      </c>
    </row>
    <row r="437">
      <c r="A437" s="54" t="inlineStr">
        <is>
          <t>Thousand Sons</t>
        </is>
      </c>
      <c r="B437" s="54" t="str"/>
      <c r="C437" s="54" t="inlineStr">
        <is>
          <t>Vehicle / Support</t>
        </is>
      </c>
      <c r="D437" s="54" t="inlineStr">
        <is>
          <t>Walker / Battlesuit</t>
        </is>
      </c>
      <c r="E437" s="54" t="inlineStr">
        <is>
          <t>Thousand Sons Helbrute</t>
        </is>
      </c>
      <c r="F437" s="54" t="inlineStr">
        <is>
          <t>1 model</t>
        </is>
      </c>
      <c r="G437" s="54" t="inlineStr">
        <is>
          <t>Walker / Battlesuit, Psyker</t>
        </is>
      </c>
      <c r="H437" s="54" t="str"/>
      <c r="I437" s="54" t="str"/>
      <c r="J437" s="54" t="str"/>
      <c r="K437" s="54" t="str"/>
      <c r="L437" s="55" t="n">
        <v>130</v>
      </c>
      <c r="M437" s="54" t="str"/>
      <c r="N437" s="54" t="inlineStr">
        <is>
          <t>Matched to Munitorum Field Manual v2.3</t>
        </is>
      </c>
      <c r="O437" s="54" t="inlineStr">
        <is>
          <t>Uploaded PDF: Munitorum Field Manual v2.3 / March 2025, p.35</t>
        </is>
      </c>
    </row>
    <row r="438">
      <c r="A438" s="54" t="inlineStr">
        <is>
          <t>Thousand Sons</t>
        </is>
      </c>
      <c r="B438" s="54" t="str"/>
      <c r="C438" s="54" t="inlineStr">
        <is>
          <t>Vehicle / Support</t>
        </is>
      </c>
      <c r="D438" s="54" t="inlineStr">
        <is>
          <t>Vehicle</t>
        </is>
      </c>
      <c r="E438" s="54" t="inlineStr">
        <is>
          <t>Thousand Sons Land Raider</t>
        </is>
      </c>
      <c r="F438" s="54" t="inlineStr">
        <is>
          <t>1 model</t>
        </is>
      </c>
      <c r="G438" s="54" t="inlineStr">
        <is>
          <t>Vehicle, Psyker</t>
        </is>
      </c>
      <c r="H438" s="54" t="str"/>
      <c r="I438" s="54" t="str"/>
      <c r="J438" s="54" t="str"/>
      <c r="K438" s="54" t="str"/>
      <c r="L438" s="55" t="n">
        <v>240</v>
      </c>
      <c r="M438" s="54" t="str"/>
      <c r="N438" s="54" t="inlineStr">
        <is>
          <t>Matched to Munitorum Field Manual v2.3</t>
        </is>
      </c>
      <c r="O438" s="54" t="inlineStr">
        <is>
          <t>Uploaded PDF: Munitorum Field Manual v2.3 / March 2025, p.35</t>
        </is>
      </c>
    </row>
    <row r="439">
      <c r="A439" s="54" t="inlineStr">
        <is>
          <t>Thousand Sons</t>
        </is>
      </c>
      <c r="B439" s="54" t="str"/>
      <c r="C439" s="54" t="inlineStr">
        <is>
          <t>Vehicle / Support</t>
        </is>
      </c>
      <c r="D439" s="54" t="inlineStr">
        <is>
          <t>Vehicle</t>
        </is>
      </c>
      <c r="E439" s="54" t="inlineStr">
        <is>
          <t>Thousand Sons Predator Annihilator</t>
        </is>
      </c>
      <c r="F439" s="54" t="inlineStr">
        <is>
          <t>1 model</t>
        </is>
      </c>
      <c r="G439" s="54" t="inlineStr">
        <is>
          <t>Vehicle, Psyker</t>
        </is>
      </c>
      <c r="H439" s="54" t="str"/>
      <c r="I439" s="54" t="str"/>
      <c r="J439" s="54" t="str"/>
      <c r="K439" s="54" t="str"/>
      <c r="L439" s="55" t="n">
        <v>135</v>
      </c>
      <c r="M439" s="54" t="str"/>
      <c r="N439" s="54" t="inlineStr">
        <is>
          <t>Matched to Munitorum Field Manual v2.3</t>
        </is>
      </c>
      <c r="O439" s="54" t="inlineStr">
        <is>
          <t>Uploaded PDF: Munitorum Field Manual v2.3 / March 2025, p.35</t>
        </is>
      </c>
    </row>
    <row r="440">
      <c r="A440" s="54" t="inlineStr">
        <is>
          <t>Thousand Sons</t>
        </is>
      </c>
      <c r="B440" s="54" t="str"/>
      <c r="C440" s="54" t="inlineStr">
        <is>
          <t>Vehicle / Support</t>
        </is>
      </c>
      <c r="D440" s="54" t="inlineStr">
        <is>
          <t>Vehicle</t>
        </is>
      </c>
      <c r="E440" s="54" t="inlineStr">
        <is>
          <t>Thousand Sons Predator Destructor</t>
        </is>
      </c>
      <c r="F440" s="54" t="inlineStr">
        <is>
          <t>1 model</t>
        </is>
      </c>
      <c r="G440" s="54" t="inlineStr">
        <is>
          <t>Vehicle, Psyker</t>
        </is>
      </c>
      <c r="H440" s="54" t="str"/>
      <c r="I440" s="54" t="str"/>
      <c r="J440" s="54" t="str"/>
      <c r="K440" s="54" t="str"/>
      <c r="L440" s="55" t="n">
        <v>140</v>
      </c>
      <c r="M440" s="54" t="str"/>
      <c r="N440" s="54" t="inlineStr">
        <is>
          <t>Matched to Munitorum Field Manual v2.3</t>
        </is>
      </c>
      <c r="O440" s="54" t="inlineStr">
        <is>
          <t>Uploaded PDF: Munitorum Field Manual v2.3 / March 2025, p.35</t>
        </is>
      </c>
    </row>
    <row r="441">
      <c r="A441" s="54" t="inlineStr">
        <is>
          <t>Thousand Sons</t>
        </is>
      </c>
      <c r="B441" s="54" t="str"/>
      <c r="C441" s="54" t="inlineStr">
        <is>
          <t>Vehicle / Support</t>
        </is>
      </c>
      <c r="D441" s="54" t="inlineStr">
        <is>
          <t>Vehicle</t>
        </is>
      </c>
      <c r="E441" s="54" t="inlineStr">
        <is>
          <t>Thousand Sons Rhino</t>
        </is>
      </c>
      <c r="F441" s="54" t="inlineStr">
        <is>
          <t>1 model</t>
        </is>
      </c>
      <c r="G441" s="54" t="inlineStr">
        <is>
          <t>Vehicle, Psyker</t>
        </is>
      </c>
      <c r="H441" s="54" t="str"/>
      <c r="I441" s="54" t="str"/>
      <c r="J441" s="54" t="str"/>
      <c r="K441" s="54" t="str"/>
      <c r="L441" s="55" t="n">
        <v>75</v>
      </c>
      <c r="M441" s="54" t="str"/>
      <c r="N441" s="54" t="inlineStr">
        <is>
          <t>Matched to Munitorum Field Manual v2.3</t>
        </is>
      </c>
      <c r="O441" s="54" t="inlineStr">
        <is>
          <t>Uploaded PDF: Munitorum Field Manual v2.3 / March 2025, p.35</t>
        </is>
      </c>
    </row>
    <row r="442">
      <c r="A442" s="54" t="inlineStr">
        <is>
          <t>Thousand Sons</t>
        </is>
      </c>
      <c r="B442" s="54" t="str"/>
      <c r="C442" s="54" t="inlineStr">
        <is>
          <t>Infantry / Other</t>
        </is>
      </c>
      <c r="D442" s="54" t="inlineStr">
        <is>
          <t>Mounted / Bike</t>
        </is>
      </c>
      <c r="E442" s="54" t="inlineStr">
        <is>
          <t>Tzaangor Enlightened</t>
        </is>
      </c>
      <c r="F442" s="54" t="inlineStr">
        <is>
          <t>3 models</t>
        </is>
      </c>
      <c r="G442" s="54" t="inlineStr">
        <is>
          <t>Mounted / Bike</t>
        </is>
      </c>
      <c r="H442" s="54" t="str"/>
      <c r="I442" s="54" t="str"/>
      <c r="J442" s="54" t="str"/>
      <c r="K442" s="54" t="str"/>
      <c r="L442" s="55" t="n">
        <v>50</v>
      </c>
      <c r="M442" s="54" t="inlineStr">
        <is>
          <t>Points options: 3 models = 50 pts; 6 models = 80 pts</t>
        </is>
      </c>
      <c r="N442" s="54" t="inlineStr">
        <is>
          <t>Matched to Munitorum Field Manual v2.3</t>
        </is>
      </c>
      <c r="O442" s="54" t="inlineStr">
        <is>
          <t>Uploaded PDF: Munitorum Field Manual v2.3 / March 2025, p.35</t>
        </is>
      </c>
    </row>
    <row r="443">
      <c r="A443" s="54" t="inlineStr">
        <is>
          <t>Thousand Sons</t>
        </is>
      </c>
      <c r="B443" s="54" t="str"/>
      <c r="C443" s="54" t="inlineStr">
        <is>
          <t>Infantry / Other</t>
        </is>
      </c>
      <c r="D443" s="54" t="inlineStr">
        <is>
          <t>Infantry</t>
        </is>
      </c>
      <c r="E443" s="54" t="inlineStr">
        <is>
          <t>Tzaangor Shaman</t>
        </is>
      </c>
      <c r="F443" s="54" t="inlineStr">
        <is>
          <t>1 model</t>
        </is>
      </c>
      <c r="G443" s="54" t="inlineStr">
        <is>
          <t>Infantry</t>
        </is>
      </c>
      <c r="H443" s="54" t="str"/>
      <c r="I443" s="54" t="str"/>
      <c r="J443" s="54" t="str"/>
      <c r="K443" s="54" t="str"/>
      <c r="L443" s="55" t="n">
        <v>60</v>
      </c>
      <c r="M443" s="54" t="str"/>
      <c r="N443" s="54" t="inlineStr">
        <is>
          <t>Matched to Munitorum Field Manual v2.3</t>
        </is>
      </c>
      <c r="O443" s="54" t="inlineStr">
        <is>
          <t>Uploaded PDF: Munitorum Field Manual v2.3 / March 2025, p.35</t>
        </is>
      </c>
    </row>
    <row r="444">
      <c r="A444" s="54" t="inlineStr">
        <is>
          <t>Thousand Sons</t>
        </is>
      </c>
      <c r="B444" s="54" t="str"/>
      <c r="C444" s="54" t="inlineStr">
        <is>
          <t>Infantry / Other</t>
        </is>
      </c>
      <c r="D444" s="54" t="inlineStr">
        <is>
          <t>Infantry</t>
        </is>
      </c>
      <c r="E444" s="54" t="inlineStr">
        <is>
          <t>Tzaangors</t>
        </is>
      </c>
      <c r="F444" s="54" t="inlineStr">
        <is>
          <t>10 models</t>
        </is>
      </c>
      <c r="G444" s="54" t="inlineStr">
        <is>
          <t>Infantry</t>
        </is>
      </c>
      <c r="H444" s="54" t="str"/>
      <c r="I444" s="54" t="str"/>
      <c r="J444" s="54" t="str"/>
      <c r="K444" s="54" t="str"/>
      <c r="L444" s="55" t="n">
        <v>65</v>
      </c>
      <c r="M444" s="54" t="inlineStr">
        <is>
          <t>Points options: 10 models = 65 pts; 20 models = 120 pts</t>
        </is>
      </c>
      <c r="N444" s="54" t="inlineStr">
        <is>
          <t>Matched to Munitorum Field Manual v2.3</t>
        </is>
      </c>
      <c r="O444" s="54" t="inlineStr">
        <is>
          <t>Uploaded PDF: Munitorum Field Manual v2.3 / March 2025, p.35</t>
        </is>
      </c>
    </row>
    <row r="445">
      <c r="A445" s="54" t="inlineStr">
        <is>
          <t>World Eaters</t>
        </is>
      </c>
      <c r="B445" s="54" t="str"/>
      <c r="C445" s="54" t="inlineStr">
        <is>
          <t>Monster / Heavy Support</t>
        </is>
      </c>
      <c r="D445" s="54" t="inlineStr">
        <is>
          <t>Monster</t>
        </is>
      </c>
      <c r="E445" s="54" t="inlineStr">
        <is>
          <t>Angron</t>
        </is>
      </c>
      <c r="F445" s="54" t="inlineStr">
        <is>
          <t>1 model</t>
        </is>
      </c>
      <c r="G445" s="54" t="inlineStr">
        <is>
          <t>Monster, Epic Hero</t>
        </is>
      </c>
      <c r="H445" s="54" t="str"/>
      <c r="I445" s="54" t="str"/>
      <c r="J445" s="54" t="str"/>
      <c r="K445" s="54" t="str"/>
      <c r="L445" s="55" t="n">
        <v>435</v>
      </c>
      <c r="M445" s="54" t="str"/>
      <c r="N445" s="54" t="inlineStr">
        <is>
          <t>Matched to Munitorum Field Manual v2.3</t>
        </is>
      </c>
      <c r="O445" s="54" t="inlineStr">
        <is>
          <t>Uploaded PDF: Munitorum Field Manual v2.3 / March 2025, p.38</t>
        </is>
      </c>
    </row>
    <row r="446">
      <c r="A446" s="54" t="inlineStr">
        <is>
          <t>World Eaters</t>
        </is>
      </c>
      <c r="B446" s="54" t="str"/>
      <c r="C446" s="54" t="inlineStr">
        <is>
          <t>Infantry / Other</t>
        </is>
      </c>
      <c r="D446" s="54" t="inlineStr">
        <is>
          <t>Infantry</t>
        </is>
      </c>
      <c r="E446" s="54" t="inlineStr">
        <is>
          <t>Eightbound</t>
        </is>
      </c>
      <c r="F446" s="54" t="inlineStr">
        <is>
          <t>3 models</t>
        </is>
      </c>
      <c r="G446" s="54" t="inlineStr">
        <is>
          <t>Infantry</t>
        </is>
      </c>
      <c r="H446" s="54" t="str"/>
      <c r="I446" s="54" t="str"/>
      <c r="J446" s="54" t="str"/>
      <c r="K446" s="54" t="str"/>
      <c r="L446" s="55" t="n">
        <v>140</v>
      </c>
      <c r="M446" s="54" t="inlineStr">
        <is>
          <t>Points options: 3 models = 140 pts; 6 models = 280 pts</t>
        </is>
      </c>
      <c r="N446" s="54" t="inlineStr">
        <is>
          <t>Matched to Munitorum Field Manual v2.3</t>
        </is>
      </c>
      <c r="O446" s="54" t="inlineStr">
        <is>
          <t>Uploaded PDF: Munitorum Field Manual v2.3 / March 2025, p.38</t>
        </is>
      </c>
    </row>
    <row r="447">
      <c r="A447" s="54" t="inlineStr">
        <is>
          <t>World Eaters</t>
        </is>
      </c>
      <c r="B447" s="54" t="str"/>
      <c r="C447" s="54" t="inlineStr">
        <is>
          <t>Infantry / Other</t>
        </is>
      </c>
      <c r="D447" s="54" t="inlineStr">
        <is>
          <t>Infantry</t>
        </is>
      </c>
      <c r="E447" s="54" t="inlineStr">
        <is>
          <t>Exalted Eightbound</t>
        </is>
      </c>
      <c r="F447" s="54" t="inlineStr">
        <is>
          <t>3 models</t>
        </is>
      </c>
      <c r="G447" s="54" t="inlineStr">
        <is>
          <t>Infantry</t>
        </is>
      </c>
      <c r="H447" s="54" t="str"/>
      <c r="I447" s="54" t="str"/>
      <c r="J447" s="54" t="str"/>
      <c r="K447" s="54" t="str"/>
      <c r="L447" s="55" t="n">
        <v>155</v>
      </c>
      <c r="M447" s="54" t="inlineStr">
        <is>
          <t>Points options: 3 models = 155 pts; 6 models = 310 pts</t>
        </is>
      </c>
      <c r="N447" s="54" t="inlineStr">
        <is>
          <t>Matched to Munitorum Field Manual v2.3</t>
        </is>
      </c>
      <c r="O447" s="54" t="inlineStr">
        <is>
          <t>Uploaded PDF: Munitorum Field Manual v2.3 / March 2025, p.38</t>
        </is>
      </c>
    </row>
    <row r="448">
      <c r="A448" s="54" t="inlineStr">
        <is>
          <t>World Eaters</t>
        </is>
      </c>
      <c r="B448" s="54" t="str"/>
      <c r="C448" s="54" t="inlineStr">
        <is>
          <t>Infantry / Other</t>
        </is>
      </c>
      <c r="D448" s="54" t="inlineStr">
        <is>
          <t>Infantry</t>
        </is>
      </c>
      <c r="E448" s="54" t="inlineStr">
        <is>
          <t>Jakhals</t>
        </is>
      </c>
      <c r="F448" s="54" t="inlineStr">
        <is>
          <t>10 models</t>
        </is>
      </c>
      <c r="G448" s="54" t="inlineStr">
        <is>
          <t>Infantry</t>
        </is>
      </c>
      <c r="H448" s="54" t="str"/>
      <c r="I448" s="54" t="str"/>
      <c r="J448" s="54" t="str"/>
      <c r="K448" s="54" t="str"/>
      <c r="L448" s="55" t="n">
        <v>65</v>
      </c>
      <c r="M448" s="54" t="inlineStr">
        <is>
          <t>Points options: 10 models = 65 pts; 20 models = 130 pts</t>
        </is>
      </c>
      <c r="N448" s="54" t="inlineStr">
        <is>
          <t>Matched to Munitorum Field Manual v2.3</t>
        </is>
      </c>
      <c r="O448" s="54" t="inlineStr">
        <is>
          <t>Uploaded PDF: Munitorum Field Manual v2.3 / March 2025, p.38</t>
        </is>
      </c>
    </row>
    <row r="449">
      <c r="A449" s="54" t="inlineStr">
        <is>
          <t>World Eaters</t>
        </is>
      </c>
      <c r="B449" s="54" t="str"/>
      <c r="C449" s="54" t="inlineStr">
        <is>
          <t>Infantry / Other</t>
        </is>
      </c>
      <c r="D449" s="54" t="inlineStr">
        <is>
          <t>Infantry</t>
        </is>
      </c>
      <c r="E449" s="54" t="inlineStr">
        <is>
          <t>Khârn the Betrayer</t>
        </is>
      </c>
      <c r="F449" s="54" t="inlineStr">
        <is>
          <t>1 model</t>
        </is>
      </c>
      <c r="G449" s="54" t="inlineStr">
        <is>
          <t>Infantry</t>
        </is>
      </c>
      <c r="H449" s="54" t="str"/>
      <c r="I449" s="54" t="str"/>
      <c r="J449" s="54" t="str"/>
      <c r="K449" s="54" t="str"/>
      <c r="L449" s="55" t="n">
        <v>100</v>
      </c>
      <c r="M449" s="54" t="str"/>
      <c r="N449" s="54" t="inlineStr">
        <is>
          <t>Matched to Munitorum Field Manual v2.3</t>
        </is>
      </c>
      <c r="O449" s="54" t="inlineStr">
        <is>
          <t>Uploaded PDF: Munitorum Field Manual v2.3 / March 2025, p.38</t>
        </is>
      </c>
    </row>
    <row r="450">
      <c r="A450" s="54" t="inlineStr">
        <is>
          <t>World Eaters</t>
        </is>
      </c>
      <c r="B450" s="54" t="str"/>
      <c r="C450" s="54" t="inlineStr">
        <is>
          <t>Battleline / Core</t>
        </is>
      </c>
      <c r="D450" s="54" t="inlineStr">
        <is>
          <t>Infantry</t>
        </is>
      </c>
      <c r="E450" s="54" t="inlineStr">
        <is>
          <t>Khorne Berzerkers</t>
        </is>
      </c>
      <c r="F450" s="54" t="inlineStr">
        <is>
          <t>5 models</t>
        </is>
      </c>
      <c r="G450" s="54" t="inlineStr">
        <is>
          <t>Infantry</t>
        </is>
      </c>
      <c r="H450" s="54" t="str"/>
      <c r="I450" s="54" t="str"/>
      <c r="J450" s="54" t="str"/>
      <c r="K450" s="54" t="str"/>
      <c r="L450" s="55" t="n">
        <v>90</v>
      </c>
      <c r="M450" s="54" t="inlineStr">
        <is>
          <t>Points options: 5 models = 90 pts; 10 models = 180 pts</t>
        </is>
      </c>
      <c r="N450" s="54" t="inlineStr">
        <is>
          <t>Matched to Munitorum Field Manual v2.3</t>
        </is>
      </c>
      <c r="O450" s="54" t="inlineStr">
        <is>
          <t>Uploaded PDF: Munitorum Field Manual v2.3 / March 2025, p.38</t>
        </is>
      </c>
    </row>
    <row r="451">
      <c r="A451" s="54" t="inlineStr">
        <is>
          <t>World Eaters</t>
        </is>
      </c>
      <c r="B451" s="54" t="str"/>
      <c r="C451" s="54" t="inlineStr">
        <is>
          <t>Vehicle / Support</t>
        </is>
      </c>
      <c r="D451" s="54" t="inlineStr">
        <is>
          <t>Super-heavy Vehicle/Monster</t>
        </is>
      </c>
      <c r="E451" s="54" t="inlineStr">
        <is>
          <t>Khorne Lord of Skulls</t>
        </is>
      </c>
      <c r="F451" s="54" t="inlineStr">
        <is>
          <t>1 model</t>
        </is>
      </c>
      <c r="G451" s="54" t="inlineStr">
        <is>
          <t>Super-heavy Vehicle/Monster</t>
        </is>
      </c>
      <c r="H451" s="54" t="str"/>
      <c r="I451" s="54" t="str"/>
      <c r="J451" s="54" t="str"/>
      <c r="K451" s="54" t="str"/>
      <c r="L451" s="55" t="n">
        <v>450</v>
      </c>
      <c r="M451" s="54" t="str"/>
      <c r="N451" s="54" t="inlineStr">
        <is>
          <t>Matched to Munitorum Field Manual v2.3</t>
        </is>
      </c>
      <c r="O451" s="54" t="inlineStr">
        <is>
          <t>Uploaded PDF: Munitorum Field Manual v2.3 / March 2025, p.38</t>
        </is>
      </c>
    </row>
    <row r="452">
      <c r="A452" s="54" t="inlineStr">
        <is>
          <t>World Eaters</t>
        </is>
      </c>
      <c r="B452" s="54" t="str"/>
      <c r="C452" s="54" t="inlineStr">
        <is>
          <t>Character</t>
        </is>
      </c>
      <c r="D452" s="54" t="inlineStr">
        <is>
          <t>Character</t>
        </is>
      </c>
      <c r="E452" s="54" t="inlineStr">
        <is>
          <t>Lord Invocatus</t>
        </is>
      </c>
      <c r="F452" s="54" t="inlineStr">
        <is>
          <t>1 model</t>
        </is>
      </c>
      <c r="G452" s="54" t="inlineStr">
        <is>
          <t>Character</t>
        </is>
      </c>
      <c r="H452" s="54" t="str"/>
      <c r="I452" s="54" t="str"/>
      <c r="J452" s="54" t="str"/>
      <c r="K452" s="54" t="str"/>
      <c r="L452" s="55" t="n">
        <v>140</v>
      </c>
      <c r="M452" s="54" t="str"/>
      <c r="N452" s="54" t="inlineStr">
        <is>
          <t>Matched to Munitorum Field Manual v2.3</t>
        </is>
      </c>
      <c r="O452" s="54" t="inlineStr">
        <is>
          <t>Uploaded PDF: Munitorum Field Manual v2.3 / March 2025, p.38</t>
        </is>
      </c>
    </row>
    <row r="453">
      <c r="A453" s="54" t="inlineStr">
        <is>
          <t>World Eaters</t>
        </is>
      </c>
      <c r="B453" s="54" t="str"/>
      <c r="C453" s="54" t="inlineStr">
        <is>
          <t>Infantry / Other</t>
        </is>
      </c>
      <c r="D453" s="54" t="inlineStr">
        <is>
          <t>Infantry</t>
        </is>
      </c>
      <c r="E453" s="54" t="inlineStr">
        <is>
          <t>World Eaters Chaos Spawn</t>
        </is>
      </c>
      <c r="F453" s="54" t="inlineStr">
        <is>
          <t>2 models</t>
        </is>
      </c>
      <c r="G453" s="54" t="inlineStr">
        <is>
          <t>Infantry</t>
        </is>
      </c>
      <c r="H453" s="54" t="str"/>
      <c r="I453" s="54" t="str"/>
      <c r="J453" s="54" t="str"/>
      <c r="K453" s="54" t="str"/>
      <c r="L453" s="55" t="n">
        <v>70</v>
      </c>
      <c r="M453" s="54" t="str"/>
      <c r="N453" s="54" t="inlineStr">
        <is>
          <t>Matched to Munitorum Field Manual v2.3</t>
        </is>
      </c>
      <c r="O453" s="54" t="inlineStr">
        <is>
          <t>Uploaded PDF: Munitorum Field Manual v2.3 / March 2025, p.38</t>
        </is>
      </c>
    </row>
    <row r="454">
      <c r="A454" s="54" t="inlineStr">
        <is>
          <t>World Eaters</t>
        </is>
      </c>
      <c r="B454" s="54" t="str"/>
      <c r="C454" s="54" t="inlineStr">
        <is>
          <t>Infantry / Other</t>
        </is>
      </c>
      <c r="D454" s="54" t="inlineStr">
        <is>
          <t>Infantry</t>
        </is>
      </c>
      <c r="E454" s="54" t="inlineStr">
        <is>
          <t>World Eaters Daemon Prince</t>
        </is>
      </c>
      <c r="F454" s="54" t="inlineStr">
        <is>
          <t>1 model</t>
        </is>
      </c>
      <c r="G454" s="54" t="inlineStr">
        <is>
          <t>Infantry</t>
        </is>
      </c>
      <c r="H454" s="54" t="str"/>
      <c r="I454" s="54" t="str"/>
      <c r="J454" s="54" t="str"/>
      <c r="K454" s="54" t="str"/>
      <c r="L454" s="55" t="n">
        <v>185</v>
      </c>
      <c r="M454" s="54" t="str"/>
      <c r="N454" s="54" t="inlineStr">
        <is>
          <t>Matched to Munitorum Field Manual v2.3</t>
        </is>
      </c>
      <c r="O454" s="54" t="inlineStr">
        <is>
          <t>Uploaded PDF: Munitorum Field Manual v2.3 / March 2025, p.38</t>
        </is>
      </c>
    </row>
    <row r="455">
      <c r="A455" s="54" t="inlineStr">
        <is>
          <t>World Eaters</t>
        </is>
      </c>
      <c r="B455" s="54" t="str"/>
      <c r="C455" s="54" t="inlineStr">
        <is>
          <t>Infantry / Other</t>
        </is>
      </c>
      <c r="D455" s="54" t="inlineStr">
        <is>
          <t>Infantry</t>
        </is>
      </c>
      <c r="E455" s="54" t="inlineStr">
        <is>
          <t>World Eaters Daemon Prince with Wings</t>
        </is>
      </c>
      <c r="F455" s="54" t="inlineStr">
        <is>
          <t>1 model</t>
        </is>
      </c>
      <c r="G455" s="54" t="inlineStr">
        <is>
          <t>Infantry</t>
        </is>
      </c>
      <c r="H455" s="54" t="str"/>
      <c r="I455" s="54" t="str"/>
      <c r="J455" s="54" t="str"/>
      <c r="K455" s="54" t="str"/>
      <c r="L455" s="55" t="n">
        <v>155</v>
      </c>
      <c r="M455" s="54" t="str"/>
      <c r="N455" s="54" t="inlineStr">
        <is>
          <t>Matched to Munitorum Field Manual v2.3</t>
        </is>
      </c>
      <c r="O455" s="54" t="inlineStr">
        <is>
          <t>Uploaded PDF: Munitorum Field Manual v2.3 / March 2025, p.38</t>
        </is>
      </c>
    </row>
    <row r="456">
      <c r="A456" s="54" t="inlineStr">
        <is>
          <t>World Eaters</t>
        </is>
      </c>
      <c r="B456" s="54" t="str"/>
      <c r="C456" s="54" t="inlineStr">
        <is>
          <t>Vehicle / Support</t>
        </is>
      </c>
      <c r="D456" s="54" t="inlineStr">
        <is>
          <t>Walker / Battlesuit</t>
        </is>
      </c>
      <c r="E456" s="54" t="inlineStr">
        <is>
          <t>World Eaters Defiler</t>
        </is>
      </c>
      <c r="F456" s="54" t="inlineStr">
        <is>
          <t>1 model</t>
        </is>
      </c>
      <c r="G456" s="54" t="inlineStr">
        <is>
          <t>Walker / Battlesuit</t>
        </is>
      </c>
      <c r="H456" s="54" t="str"/>
      <c r="I456" s="54" t="str"/>
      <c r="J456" s="54" t="str"/>
      <c r="K456" s="54" t="str"/>
      <c r="L456" s="55" t="n">
        <v>190</v>
      </c>
      <c r="M456" s="54" t="str"/>
      <c r="N456" s="54" t="inlineStr">
        <is>
          <t>Matched to Munitorum Field Manual v2.3</t>
        </is>
      </c>
      <c r="O456" s="54" t="inlineStr">
        <is>
          <t>Uploaded PDF: Munitorum Field Manual v2.3 / March 2025, p.38</t>
        </is>
      </c>
    </row>
    <row r="457">
      <c r="A457" s="54" t="inlineStr">
        <is>
          <t>World Eaters</t>
        </is>
      </c>
      <c r="B457" s="54" t="str"/>
      <c r="C457" s="54" t="inlineStr">
        <is>
          <t>Vehicle / Support</t>
        </is>
      </c>
      <c r="D457" s="54" t="inlineStr">
        <is>
          <t>Walker / Battlesuit</t>
        </is>
      </c>
      <c r="E457" s="54" t="inlineStr">
        <is>
          <t>World Eaters Forgefiend</t>
        </is>
      </c>
      <c r="F457" s="54" t="inlineStr">
        <is>
          <t>1 model</t>
        </is>
      </c>
      <c r="G457" s="54" t="inlineStr">
        <is>
          <t>Walker / Battlesuit</t>
        </is>
      </c>
      <c r="H457" s="54" t="str"/>
      <c r="I457" s="54" t="str"/>
      <c r="J457" s="54" t="str"/>
      <c r="K457" s="54" t="str"/>
      <c r="L457" s="55" t="n">
        <v>145</v>
      </c>
      <c r="M457" s="54" t="str"/>
      <c r="N457" s="54" t="inlineStr">
        <is>
          <t>Matched to Munitorum Field Manual v2.3</t>
        </is>
      </c>
      <c r="O457" s="54" t="inlineStr">
        <is>
          <t>Uploaded PDF: Munitorum Field Manual v2.3 / March 2025, p.38</t>
        </is>
      </c>
    </row>
    <row r="458">
      <c r="A458" s="54" t="inlineStr">
        <is>
          <t>World Eaters</t>
        </is>
      </c>
      <c r="B458" s="54" t="str"/>
      <c r="C458" s="54" t="inlineStr">
        <is>
          <t>Vehicle / Support</t>
        </is>
      </c>
      <c r="D458" s="54" t="inlineStr">
        <is>
          <t>Walker / Battlesuit</t>
        </is>
      </c>
      <c r="E458" s="54" t="inlineStr">
        <is>
          <t>World Eaters Helbrute</t>
        </is>
      </c>
      <c r="F458" s="54" t="inlineStr">
        <is>
          <t>1 model</t>
        </is>
      </c>
      <c r="G458" s="54" t="inlineStr">
        <is>
          <t>Walker / Battlesuit</t>
        </is>
      </c>
      <c r="H458" s="54" t="str"/>
      <c r="I458" s="54" t="str"/>
      <c r="J458" s="54" t="str"/>
      <c r="K458" s="54" t="str"/>
      <c r="L458" s="55" t="n">
        <v>130</v>
      </c>
      <c r="M458" s="54" t="str"/>
      <c r="N458" s="54" t="inlineStr">
        <is>
          <t>Matched to Munitorum Field Manual v2.3</t>
        </is>
      </c>
      <c r="O458" s="54" t="inlineStr">
        <is>
          <t>Uploaded PDF: Munitorum Field Manual v2.3 / March 2025, p.38</t>
        </is>
      </c>
    </row>
    <row r="459">
      <c r="A459" s="54" t="inlineStr">
        <is>
          <t>World Eaters</t>
        </is>
      </c>
      <c r="B459" s="54" t="str"/>
      <c r="C459" s="54" t="inlineStr">
        <is>
          <t>Vehicle / Support</t>
        </is>
      </c>
      <c r="D459" s="54" t="inlineStr">
        <is>
          <t>Vehicle</t>
        </is>
      </c>
      <c r="E459" s="54" t="inlineStr">
        <is>
          <t>World Eaters Land Raider</t>
        </is>
      </c>
      <c r="F459" s="54" t="inlineStr">
        <is>
          <t>1 model</t>
        </is>
      </c>
      <c r="G459" s="54" t="inlineStr">
        <is>
          <t>Vehicle</t>
        </is>
      </c>
      <c r="H459" s="54" t="str"/>
      <c r="I459" s="54" t="str"/>
      <c r="J459" s="54" t="str"/>
      <c r="K459" s="54" t="str"/>
      <c r="L459" s="55" t="n">
        <v>240</v>
      </c>
      <c r="M459" s="54" t="str"/>
      <c r="N459" s="54" t="inlineStr">
        <is>
          <t>Matched to Munitorum Field Manual v2.3</t>
        </is>
      </c>
      <c r="O459" s="54" t="inlineStr">
        <is>
          <t>Uploaded PDF: Munitorum Field Manual v2.3 / March 2025, p.38</t>
        </is>
      </c>
    </row>
    <row r="460">
      <c r="A460" s="54" t="inlineStr">
        <is>
          <t>World Eaters</t>
        </is>
      </c>
      <c r="B460" s="54" t="str"/>
      <c r="C460" s="54" t="inlineStr">
        <is>
          <t>Character</t>
        </is>
      </c>
      <c r="D460" s="54" t="inlineStr">
        <is>
          <t>Character</t>
        </is>
      </c>
      <c r="E460" s="54" t="inlineStr">
        <is>
          <t>World Eaters Lord on Juggernaut</t>
        </is>
      </c>
      <c r="F460" s="54" t="inlineStr">
        <is>
          <t>1 model</t>
        </is>
      </c>
      <c r="G460" s="54" t="inlineStr">
        <is>
          <t>Character</t>
        </is>
      </c>
      <c r="H460" s="54" t="str"/>
      <c r="I460" s="54" t="str"/>
      <c r="J460" s="54" t="str"/>
      <c r="K460" s="54" t="str"/>
      <c r="L460" s="55" t="n">
        <v>80</v>
      </c>
      <c r="M460" s="54" t="str"/>
      <c r="N460" s="54" t="inlineStr">
        <is>
          <t>Matched to Munitorum Field Manual v2.3</t>
        </is>
      </c>
      <c r="O460" s="54" t="inlineStr">
        <is>
          <t>Uploaded PDF: Munitorum Field Manual v2.3 / March 2025, p.38</t>
        </is>
      </c>
    </row>
    <row r="461">
      <c r="A461" s="54" t="inlineStr">
        <is>
          <t>World Eaters</t>
        </is>
      </c>
      <c r="B461" s="54" t="str"/>
      <c r="C461" s="54" t="inlineStr">
        <is>
          <t>Character</t>
        </is>
      </c>
      <c r="D461" s="54" t="inlineStr">
        <is>
          <t>Character</t>
        </is>
      </c>
      <c r="E461" s="54" t="inlineStr">
        <is>
          <t>World Eaters Master of Executions</t>
        </is>
      </c>
      <c r="F461" s="54" t="inlineStr">
        <is>
          <t>1 model</t>
        </is>
      </c>
      <c r="G461" s="54" t="inlineStr">
        <is>
          <t>Character</t>
        </is>
      </c>
      <c r="H461" s="54" t="str"/>
      <c r="I461" s="54" t="str"/>
      <c r="J461" s="54" t="str"/>
      <c r="K461" s="54" t="str"/>
      <c r="L461" s="55" t="n">
        <v>110</v>
      </c>
      <c r="M461" s="54" t="str"/>
      <c r="N461" s="54" t="inlineStr">
        <is>
          <t>Matched to Munitorum Field Manual v2.3</t>
        </is>
      </c>
      <c r="O461" s="54" t="inlineStr">
        <is>
          <t>Uploaded PDF: Munitorum Field Manual v2.3 / March 2025, p.38</t>
        </is>
      </c>
    </row>
    <row r="462">
      <c r="A462" s="54" t="inlineStr">
        <is>
          <t>World Eaters</t>
        </is>
      </c>
      <c r="B462" s="54" t="str"/>
      <c r="C462" s="54" t="inlineStr">
        <is>
          <t>Vehicle / Support</t>
        </is>
      </c>
      <c r="D462" s="54" t="inlineStr">
        <is>
          <t>Walker / Battlesuit</t>
        </is>
      </c>
      <c r="E462" s="54" t="inlineStr">
        <is>
          <t>World Eaters Maulerfiend</t>
        </is>
      </c>
      <c r="F462" s="54" t="inlineStr">
        <is>
          <t>1 model</t>
        </is>
      </c>
      <c r="G462" s="54" t="inlineStr">
        <is>
          <t>Walker / Battlesuit</t>
        </is>
      </c>
      <c r="H462" s="54" t="str"/>
      <c r="I462" s="54" t="str"/>
      <c r="J462" s="54" t="str"/>
      <c r="K462" s="54" t="str"/>
      <c r="L462" s="55" t="n">
        <v>140</v>
      </c>
      <c r="M462" s="54" t="str"/>
      <c r="N462" s="54" t="inlineStr">
        <is>
          <t>Matched to Munitorum Field Manual v2.3</t>
        </is>
      </c>
      <c r="O462" s="54" t="inlineStr">
        <is>
          <t>Uploaded PDF: Munitorum Field Manual v2.3 / March 2025, p.38</t>
        </is>
      </c>
    </row>
    <row r="463">
      <c r="A463" s="54" t="inlineStr">
        <is>
          <t>World Eaters</t>
        </is>
      </c>
      <c r="B463" s="54" t="str"/>
      <c r="C463" s="54" t="inlineStr">
        <is>
          <t>Vehicle / Support</t>
        </is>
      </c>
      <c r="D463" s="54" t="inlineStr">
        <is>
          <t>Vehicle</t>
        </is>
      </c>
      <c r="E463" s="54" t="inlineStr">
        <is>
          <t>World Eaters Predator Annihilator</t>
        </is>
      </c>
      <c r="F463" s="54" t="inlineStr">
        <is>
          <t>1 model</t>
        </is>
      </c>
      <c r="G463" s="54" t="inlineStr">
        <is>
          <t>Vehicle</t>
        </is>
      </c>
      <c r="H463" s="54" t="str"/>
      <c r="I463" s="54" t="str"/>
      <c r="J463" s="54" t="str"/>
      <c r="K463" s="54" t="str"/>
      <c r="L463" s="55" t="n">
        <v>135</v>
      </c>
      <c r="M463" s="54" t="str"/>
      <c r="N463" s="54" t="inlineStr">
        <is>
          <t>Matched to Munitorum Field Manual v2.3</t>
        </is>
      </c>
      <c r="O463" s="54" t="inlineStr">
        <is>
          <t>Uploaded PDF: Munitorum Field Manual v2.3 / March 2025, p.38</t>
        </is>
      </c>
    </row>
    <row r="464">
      <c r="A464" s="54" t="inlineStr">
        <is>
          <t>World Eaters</t>
        </is>
      </c>
      <c r="B464" s="54" t="str"/>
      <c r="C464" s="54" t="inlineStr">
        <is>
          <t>Vehicle / Support</t>
        </is>
      </c>
      <c r="D464" s="54" t="inlineStr">
        <is>
          <t>Vehicle</t>
        </is>
      </c>
      <c r="E464" s="54" t="inlineStr">
        <is>
          <t>World Eaters Predator Destructor</t>
        </is>
      </c>
      <c r="F464" s="54" t="inlineStr">
        <is>
          <t>1 model</t>
        </is>
      </c>
      <c r="G464" s="54" t="inlineStr">
        <is>
          <t>Vehicle</t>
        </is>
      </c>
      <c r="H464" s="54" t="str"/>
      <c r="I464" s="54" t="str"/>
      <c r="J464" s="54" t="str"/>
      <c r="K464" s="54" t="str"/>
      <c r="L464" s="55" t="n">
        <v>140</v>
      </c>
      <c r="M464" s="54" t="str"/>
      <c r="N464" s="54" t="inlineStr">
        <is>
          <t>Matched to Munitorum Field Manual v2.3</t>
        </is>
      </c>
      <c r="O464" s="54" t="inlineStr">
        <is>
          <t>Uploaded PDF: Munitorum Field Manual v2.3 / March 2025, p.38</t>
        </is>
      </c>
    </row>
    <row r="465">
      <c r="A465" s="54" t="inlineStr">
        <is>
          <t>World Eaters</t>
        </is>
      </c>
      <c r="B465" s="54" t="str"/>
      <c r="C465" s="54" t="inlineStr">
        <is>
          <t>Vehicle / Support</t>
        </is>
      </c>
      <c r="D465" s="54" t="inlineStr">
        <is>
          <t>Vehicle</t>
        </is>
      </c>
      <c r="E465" s="54" t="inlineStr">
        <is>
          <t>World Eaters Rhino</t>
        </is>
      </c>
      <c r="F465" s="54" t="inlineStr">
        <is>
          <t>1 model</t>
        </is>
      </c>
      <c r="G465" s="54" t="inlineStr">
        <is>
          <t>Vehicle</t>
        </is>
      </c>
      <c r="H465" s="54" t="str"/>
      <c r="I465" s="54" t="str"/>
      <c r="J465" s="54" t="str"/>
      <c r="K465" s="54" t="str"/>
      <c r="L465" s="55" t="n">
        <v>75</v>
      </c>
      <c r="M465" s="54" t="str"/>
      <c r="N465" s="54" t="inlineStr">
        <is>
          <t>Matched to Munitorum Field Manual v2.3</t>
        </is>
      </c>
      <c r="O465" s="54" t="inlineStr">
        <is>
          <t>Uploaded PDF: Munitorum Field Manual v2.3 / March 2025, p.38</t>
        </is>
      </c>
    </row>
    <row r="466">
      <c r="A466" s="54" t="inlineStr">
        <is>
          <t>World Eaters</t>
        </is>
      </c>
      <c r="B466" s="54" t="str"/>
      <c r="C466" s="54" t="inlineStr">
        <is>
          <t>Infantry / Other</t>
        </is>
      </c>
      <c r="D466" s="54" t="inlineStr">
        <is>
          <t>Infantry</t>
        </is>
      </c>
      <c r="E466" s="54" t="inlineStr">
        <is>
          <t>World Eaters Terminator Squad</t>
        </is>
      </c>
      <c r="F466" s="54" t="inlineStr">
        <is>
          <t>5 models</t>
        </is>
      </c>
      <c r="G466" s="54" t="inlineStr">
        <is>
          <t>Infantry</t>
        </is>
      </c>
      <c r="H466" s="54" t="str"/>
      <c r="I466" s="54" t="str"/>
      <c r="J466" s="54" t="str"/>
      <c r="K466" s="54" t="str"/>
      <c r="L466" s="55" t="n">
        <v>180</v>
      </c>
      <c r="M466" s="54" t="inlineStr">
        <is>
          <t>Points options: 5 models = 180 pts; 10 models = 360 pts</t>
        </is>
      </c>
      <c r="N466" s="54" t="inlineStr">
        <is>
          <t>Matched to Munitorum Field Manual v2.3</t>
        </is>
      </c>
      <c r="O466" s="54" t="inlineStr">
        <is>
          <t>Uploaded PDF: Munitorum Field Manual v2.3 / March 2025, p.38</t>
        </is>
      </c>
    </row>
    <row r="467">
      <c r="A467" s="54" t="inlineStr">
        <is>
          <t>Chaos Daemons</t>
        </is>
      </c>
      <c r="B467" s="54" t="str"/>
      <c r="C467" s="54" t="inlineStr">
        <is>
          <t>Monster / Heavy Support</t>
        </is>
      </c>
      <c r="D467" s="54" t="inlineStr">
        <is>
          <t>Monster</t>
        </is>
      </c>
      <c r="E467" s="54" t="inlineStr">
        <is>
          <t>Be'lakor</t>
        </is>
      </c>
      <c r="F467" s="54" t="inlineStr">
        <is>
          <t>1 model</t>
        </is>
      </c>
      <c r="G467" s="54" t="inlineStr">
        <is>
          <t>Monster, Epic Hero</t>
        </is>
      </c>
      <c r="H467" s="54" t="str"/>
      <c r="I467" s="54" t="str"/>
      <c r="J467" s="54" t="str"/>
      <c r="K467" s="54" t="str"/>
      <c r="L467" s="55" t="n">
        <v>375</v>
      </c>
      <c r="M467" s="54" t="str"/>
      <c r="N467" s="54" t="inlineStr">
        <is>
          <t>Matched to Munitorum Field Manual v2.3</t>
        </is>
      </c>
      <c r="O467" s="54" t="inlineStr">
        <is>
          <t>Uploaded PDF: Munitorum Field Manual v2.3 / March 2025, p.12</t>
        </is>
      </c>
    </row>
    <row r="468">
      <c r="A468" s="54" t="inlineStr">
        <is>
          <t>Chaos Daemons</t>
        </is>
      </c>
      <c r="B468" s="54" t="str"/>
      <c r="C468" s="54" t="inlineStr">
        <is>
          <t>Infantry / Other</t>
        </is>
      </c>
      <c r="D468" s="54" t="inlineStr">
        <is>
          <t>Beast / Swarm</t>
        </is>
      </c>
      <c r="E468" s="54" t="inlineStr">
        <is>
          <t>Beasts of Nurgle</t>
        </is>
      </c>
      <c r="F468" s="54" t="inlineStr">
        <is>
          <t>1 model</t>
        </is>
      </c>
      <c r="G468" s="54" t="inlineStr">
        <is>
          <t>Beast / Swarm</t>
        </is>
      </c>
      <c r="H468" s="54" t="str"/>
      <c r="I468" s="54" t="str"/>
      <c r="J468" s="54" t="str"/>
      <c r="K468" s="54" t="str"/>
      <c r="L468" s="55" t="n">
        <v>65</v>
      </c>
      <c r="M468" s="54" t="inlineStr">
        <is>
          <t>Points options: 1 model = 65 pts; 2 models = 130 pts</t>
        </is>
      </c>
      <c r="N468" s="54" t="inlineStr">
        <is>
          <t>Matched to Munitorum Field Manual v2.3</t>
        </is>
      </c>
      <c r="O468" s="54" t="inlineStr">
        <is>
          <t>Uploaded PDF: Munitorum Field Manual v2.3 / March 2025, p.12</t>
        </is>
      </c>
    </row>
    <row r="469">
      <c r="A469" s="54" t="inlineStr">
        <is>
          <t>Chaos Daemons</t>
        </is>
      </c>
      <c r="B469" s="54" t="str"/>
      <c r="C469" s="54" t="inlineStr">
        <is>
          <t>Infantry / Other</t>
        </is>
      </c>
      <c r="D469" s="54" t="inlineStr">
        <is>
          <t>Infantry</t>
        </is>
      </c>
      <c r="E469" s="54" t="inlineStr">
        <is>
          <t>Bloodcrushers</t>
        </is>
      </c>
      <c r="F469" s="54" t="inlineStr">
        <is>
          <t>3 models</t>
        </is>
      </c>
      <c r="G469" s="54" t="inlineStr">
        <is>
          <t>Infantry</t>
        </is>
      </c>
      <c r="H469" s="54" t="str"/>
      <c r="I469" s="54" t="str"/>
      <c r="J469" s="54" t="str"/>
      <c r="K469" s="54" t="str"/>
      <c r="L469" s="55" t="n">
        <v>110</v>
      </c>
      <c r="M469" s="54" t="inlineStr">
        <is>
          <t>Points options: 3 models = 110 pts; 6 models = 220 pts</t>
        </is>
      </c>
      <c r="N469" s="54" t="inlineStr">
        <is>
          <t>Matched to Munitorum Field Manual v2.3</t>
        </is>
      </c>
      <c r="O469" s="54" t="inlineStr">
        <is>
          <t>Uploaded PDF: Munitorum Field Manual v2.3 / March 2025, p.12</t>
        </is>
      </c>
    </row>
    <row r="470">
      <c r="A470" s="54" t="inlineStr">
        <is>
          <t>Chaos Daemons</t>
        </is>
      </c>
      <c r="B470" s="54" t="str"/>
      <c r="C470" s="54" t="inlineStr">
        <is>
          <t>Infantry / Other</t>
        </is>
      </c>
      <c r="D470" s="54" t="inlineStr">
        <is>
          <t>Infantry</t>
        </is>
      </c>
      <c r="E470" s="54" t="inlineStr">
        <is>
          <t>Bloodletters</t>
        </is>
      </c>
      <c r="F470" s="54" t="inlineStr">
        <is>
          <t>10 models</t>
        </is>
      </c>
      <c r="G470" s="54" t="inlineStr">
        <is>
          <t>Infantry</t>
        </is>
      </c>
      <c r="H470" s="54" t="str"/>
      <c r="I470" s="54" t="str"/>
      <c r="J470" s="54" t="str"/>
      <c r="K470" s="54" t="str"/>
      <c r="L470" s="55" t="n">
        <v>110</v>
      </c>
      <c r="M470" s="54" t="str"/>
      <c r="N470" s="54" t="inlineStr">
        <is>
          <t>Matched to Munitorum Field Manual v2.3</t>
        </is>
      </c>
      <c r="O470" s="54" t="inlineStr">
        <is>
          <t>Uploaded PDF: Munitorum Field Manual v2.3 / March 2025, p.12</t>
        </is>
      </c>
    </row>
    <row r="471">
      <c r="A471" s="54" t="inlineStr">
        <is>
          <t>Chaos Daemons</t>
        </is>
      </c>
      <c r="B471" s="54" t="str"/>
      <c r="C471" s="54" t="inlineStr">
        <is>
          <t>Character</t>
        </is>
      </c>
      <c r="D471" s="54" t="inlineStr">
        <is>
          <t>Character</t>
        </is>
      </c>
      <c r="E471" s="54" t="inlineStr">
        <is>
          <t>Bloodmaster</t>
        </is>
      </c>
      <c r="F471" s="54" t="inlineStr">
        <is>
          <t>1 model</t>
        </is>
      </c>
      <c r="G471" s="54" t="inlineStr">
        <is>
          <t>Character</t>
        </is>
      </c>
      <c r="H471" s="54" t="str"/>
      <c r="I471" s="54" t="str"/>
      <c r="J471" s="54" t="str"/>
      <c r="K471" s="54" t="str"/>
      <c r="L471" s="55" t="n">
        <v>65</v>
      </c>
      <c r="M471" s="54" t="str"/>
      <c r="N471" s="54" t="inlineStr">
        <is>
          <t>Matched to Munitorum Field Manual v2.3</t>
        </is>
      </c>
      <c r="O471" s="54" t="inlineStr">
        <is>
          <t>Uploaded PDF: Munitorum Field Manual v2.3 / March 2025, p.12</t>
        </is>
      </c>
    </row>
    <row r="472">
      <c r="A472" s="54" t="inlineStr">
        <is>
          <t>Chaos Daemons</t>
        </is>
      </c>
      <c r="B472" s="54" t="str"/>
      <c r="C472" s="54" t="inlineStr">
        <is>
          <t>Monster / Heavy Support</t>
        </is>
      </c>
      <c r="D472" s="54" t="inlineStr">
        <is>
          <t>Monster</t>
        </is>
      </c>
      <c r="E472" s="54" t="inlineStr">
        <is>
          <t>Bloodthirster</t>
        </is>
      </c>
      <c r="F472" s="54" t="inlineStr">
        <is>
          <t>1 model</t>
        </is>
      </c>
      <c r="G472" s="54" t="inlineStr">
        <is>
          <t>Monster</t>
        </is>
      </c>
      <c r="H472" s="54" t="str"/>
      <c r="I472" s="54" t="str"/>
      <c r="J472" s="54" t="str"/>
      <c r="K472" s="54" t="str"/>
      <c r="L472" s="55" t="n">
        <v>305</v>
      </c>
      <c r="M472" s="54" t="str"/>
      <c r="N472" s="54" t="inlineStr">
        <is>
          <t>Matched to Munitorum Field Manual v2.3</t>
        </is>
      </c>
      <c r="O472" s="54" t="inlineStr">
        <is>
          <t>Uploaded PDF: Munitorum Field Manual v2.3 / March 2025, p.12</t>
        </is>
      </c>
    </row>
    <row r="473">
      <c r="A473" s="54" t="inlineStr">
        <is>
          <t>Chaos Daemons</t>
        </is>
      </c>
      <c r="B473" s="54" t="str"/>
      <c r="C473" s="54" t="inlineStr">
        <is>
          <t>Infantry / Other</t>
        </is>
      </c>
      <c r="D473" s="54" t="inlineStr">
        <is>
          <t>Infantry</t>
        </is>
      </c>
      <c r="E473" s="54" t="inlineStr">
        <is>
          <t>Blue Horrors</t>
        </is>
      </c>
      <c r="F473" s="54" t="inlineStr">
        <is>
          <t>10 models</t>
        </is>
      </c>
      <c r="G473" s="54" t="inlineStr">
        <is>
          <t>Infantry</t>
        </is>
      </c>
      <c r="H473" s="54" t="str"/>
      <c r="I473" s="54" t="str"/>
      <c r="J473" s="54" t="str"/>
      <c r="K473" s="54" t="str"/>
      <c r="L473" s="55" t="n">
        <v>125</v>
      </c>
      <c r="M473" s="54" t="str"/>
      <c r="N473" s="54" t="inlineStr">
        <is>
          <t>Matched to Munitorum Field Manual v2.3</t>
        </is>
      </c>
      <c r="O473" s="54" t="inlineStr">
        <is>
          <t>Uploaded PDF: Munitorum Field Manual v2.3 / March 2025, p.12</t>
        </is>
      </c>
    </row>
    <row r="474">
      <c r="A474" s="54" t="inlineStr">
        <is>
          <t>Chaos Daemons</t>
        </is>
      </c>
      <c r="B474" s="54" t="str"/>
      <c r="C474" s="54" t="inlineStr">
        <is>
          <t>Infantry / Other</t>
        </is>
      </c>
      <c r="D474" s="54" t="inlineStr">
        <is>
          <t>Infantry</t>
        </is>
      </c>
      <c r="E474" s="54" t="inlineStr">
        <is>
          <t>Burning Chariot</t>
        </is>
      </c>
      <c r="F474" s="54" t="inlineStr">
        <is>
          <t>1 model</t>
        </is>
      </c>
      <c r="G474" s="54" t="inlineStr">
        <is>
          <t>Infantry</t>
        </is>
      </c>
      <c r="H474" s="54" t="str"/>
      <c r="I474" s="54" t="str"/>
      <c r="J474" s="54" t="str"/>
      <c r="K474" s="54" t="str"/>
      <c r="L474" s="55" t="n">
        <v>115</v>
      </c>
      <c r="M474" s="54" t="str"/>
      <c r="N474" s="54" t="inlineStr">
        <is>
          <t>Matched to Munitorum Field Manual v2.3</t>
        </is>
      </c>
      <c r="O474" s="54" t="inlineStr">
        <is>
          <t>Uploaded PDF: Munitorum Field Manual v2.3 / March 2025, p.12</t>
        </is>
      </c>
    </row>
    <row r="475">
      <c r="A475" s="54" t="inlineStr">
        <is>
          <t>Chaos Daemons</t>
        </is>
      </c>
      <c r="B475" s="54" t="str"/>
      <c r="C475" s="54" t="inlineStr">
        <is>
          <t>Infantry / Other</t>
        </is>
      </c>
      <c r="D475" s="54" t="inlineStr">
        <is>
          <t>Infantry</t>
        </is>
      </c>
      <c r="E475" s="54" t="inlineStr">
        <is>
          <t>Changecaster</t>
        </is>
      </c>
      <c r="F475" s="54" t="inlineStr">
        <is>
          <t>1 model</t>
        </is>
      </c>
      <c r="G475" s="54" t="inlineStr">
        <is>
          <t>Infantry</t>
        </is>
      </c>
      <c r="H475" s="54" t="str"/>
      <c r="I475" s="54" t="str"/>
      <c r="J475" s="54" t="str"/>
      <c r="K475" s="54" t="str"/>
      <c r="L475" s="55" t="n">
        <v>60</v>
      </c>
      <c r="M475" s="54" t="str"/>
      <c r="N475" s="54" t="inlineStr">
        <is>
          <t>Matched to Munitorum Field Manual v2.3</t>
        </is>
      </c>
      <c r="O475" s="54" t="inlineStr">
        <is>
          <t>Uploaded PDF: Munitorum Field Manual v2.3 / March 2025, p.12</t>
        </is>
      </c>
    </row>
    <row r="476">
      <c r="A476" s="54" t="inlineStr">
        <is>
          <t>Chaos Daemons</t>
        </is>
      </c>
      <c r="B476" s="54" t="str"/>
      <c r="C476" s="54" t="inlineStr">
        <is>
          <t>Infantry / Other</t>
        </is>
      </c>
      <c r="D476" s="54" t="inlineStr">
        <is>
          <t>Infantry</t>
        </is>
      </c>
      <c r="E476" s="54" t="inlineStr">
        <is>
          <t>Contorted Epitome</t>
        </is>
      </c>
      <c r="F476" s="54" t="inlineStr">
        <is>
          <t>1 model</t>
        </is>
      </c>
      <c r="G476" s="54" t="inlineStr">
        <is>
          <t>Infantry</t>
        </is>
      </c>
      <c r="H476" s="54" t="str"/>
      <c r="I476" s="54" t="str"/>
      <c r="J476" s="54" t="str"/>
      <c r="K476" s="54" t="str"/>
      <c r="L476" s="55" t="n">
        <v>100</v>
      </c>
      <c r="M476" s="54" t="str"/>
      <c r="N476" s="54" t="inlineStr">
        <is>
          <t>Matched to Munitorum Field Manual v2.3</t>
        </is>
      </c>
      <c r="O476" s="54" t="inlineStr">
        <is>
          <t>Uploaded PDF: Munitorum Field Manual v2.3 / March 2025, p.12</t>
        </is>
      </c>
    </row>
    <row r="477">
      <c r="A477" s="54" t="inlineStr">
        <is>
          <t>Chaos Daemons</t>
        </is>
      </c>
      <c r="B477" s="54" t="str"/>
      <c r="C477" s="54" t="inlineStr">
        <is>
          <t>Infantry / Other</t>
        </is>
      </c>
      <c r="D477" s="54" t="inlineStr">
        <is>
          <t>Infantry</t>
        </is>
      </c>
      <c r="E477" s="54" t="inlineStr">
        <is>
          <t>Daemonettes</t>
        </is>
      </c>
      <c r="F477" s="54" t="inlineStr">
        <is>
          <t>10 models</t>
        </is>
      </c>
      <c r="G477" s="54" t="inlineStr">
        <is>
          <t>Infantry</t>
        </is>
      </c>
      <c r="H477" s="54" t="str"/>
      <c r="I477" s="54" t="str"/>
      <c r="J477" s="54" t="str"/>
      <c r="K477" s="54" t="str"/>
      <c r="L477" s="55" t="n">
        <v>100</v>
      </c>
      <c r="M477" s="54" t="str"/>
      <c r="N477" s="54" t="inlineStr">
        <is>
          <t>Matched to Munitorum Field Manual v2.3</t>
        </is>
      </c>
      <c r="O477" s="54" t="inlineStr">
        <is>
          <t>Uploaded PDF: Munitorum Field Manual v2.3 / March 2025, p.12</t>
        </is>
      </c>
    </row>
    <row r="478">
      <c r="A478" s="54" t="inlineStr">
        <is>
          <t>Chaos Daemons</t>
        </is>
      </c>
      <c r="B478" s="54" t="str"/>
      <c r="C478" s="54" t="inlineStr">
        <is>
          <t>Infantry / Other</t>
        </is>
      </c>
      <c r="D478" s="54" t="inlineStr">
        <is>
          <t>Infantry</t>
        </is>
      </c>
      <c r="E478" s="54" t="inlineStr">
        <is>
          <t>Epidemius</t>
        </is>
      </c>
      <c r="F478" s="54" t="inlineStr">
        <is>
          <t>1 model</t>
        </is>
      </c>
      <c r="G478" s="54" t="inlineStr">
        <is>
          <t>Infantry</t>
        </is>
      </c>
      <c r="H478" s="54" t="str"/>
      <c r="I478" s="54" t="str"/>
      <c r="J478" s="54" t="str"/>
      <c r="K478" s="54" t="str"/>
      <c r="L478" s="55" t="n">
        <v>80</v>
      </c>
      <c r="M478" s="54" t="str"/>
      <c r="N478" s="54" t="inlineStr">
        <is>
          <t>Matched to Munitorum Field Manual v2.3</t>
        </is>
      </c>
      <c r="O478" s="54" t="inlineStr">
        <is>
          <t>Uploaded PDF: Munitorum Field Manual v2.3 / March 2025, p.12</t>
        </is>
      </c>
    </row>
    <row r="479">
      <c r="A479" s="54" t="inlineStr">
        <is>
          <t>Chaos Daemons</t>
        </is>
      </c>
      <c r="B479" s="54" t="str"/>
      <c r="C479" s="54" t="inlineStr">
        <is>
          <t>Infantry / Other</t>
        </is>
      </c>
      <c r="D479" s="54" t="inlineStr">
        <is>
          <t>Infantry</t>
        </is>
      </c>
      <c r="E479" s="54" t="inlineStr">
        <is>
          <t>Exalted Flamer</t>
        </is>
      </c>
      <c r="F479" s="54" t="inlineStr">
        <is>
          <t>1 model</t>
        </is>
      </c>
      <c r="G479" s="54" t="inlineStr">
        <is>
          <t>Infantry</t>
        </is>
      </c>
      <c r="H479" s="54" t="str"/>
      <c r="I479" s="54" t="str"/>
      <c r="J479" s="54" t="str"/>
      <c r="K479" s="54" t="str"/>
      <c r="L479" s="55" t="n">
        <v>65</v>
      </c>
      <c r="M479" s="54" t="str"/>
      <c r="N479" s="54" t="inlineStr">
        <is>
          <t>Matched to Munitorum Field Manual v2.3</t>
        </is>
      </c>
      <c r="O479" s="54" t="inlineStr">
        <is>
          <t>Uploaded PDF: Munitorum Field Manual v2.3 / March 2025, p.12</t>
        </is>
      </c>
    </row>
    <row r="480">
      <c r="A480" s="54" t="inlineStr">
        <is>
          <t>Chaos Daemons</t>
        </is>
      </c>
      <c r="B480" s="54" t="str"/>
      <c r="C480" s="54" t="inlineStr">
        <is>
          <t>Infantry / Other</t>
        </is>
      </c>
      <c r="D480" s="54" t="inlineStr">
        <is>
          <t>Infantry</t>
        </is>
      </c>
      <c r="E480" s="54" t="inlineStr">
        <is>
          <t>Fateskimmer</t>
        </is>
      </c>
      <c r="F480" s="54" t="inlineStr">
        <is>
          <t>1 model</t>
        </is>
      </c>
      <c r="G480" s="54" t="inlineStr">
        <is>
          <t>Infantry</t>
        </is>
      </c>
      <c r="H480" s="54" t="str"/>
      <c r="I480" s="54" t="str"/>
      <c r="J480" s="54" t="str"/>
      <c r="K480" s="54" t="str"/>
      <c r="L480" s="55" t="n">
        <v>95</v>
      </c>
      <c r="M480" s="54" t="str"/>
      <c r="N480" s="54" t="inlineStr">
        <is>
          <t>Matched to Munitorum Field Manual v2.3</t>
        </is>
      </c>
      <c r="O480" s="54" t="inlineStr">
        <is>
          <t>Uploaded PDF: Munitorum Field Manual v2.3 / March 2025, p.12</t>
        </is>
      </c>
    </row>
    <row r="481">
      <c r="A481" s="54" t="inlineStr">
        <is>
          <t>Chaos Daemons</t>
        </is>
      </c>
      <c r="B481" s="54" t="str"/>
      <c r="C481" s="54" t="inlineStr">
        <is>
          <t>Infantry / Other</t>
        </is>
      </c>
      <c r="D481" s="54" t="inlineStr">
        <is>
          <t>Beast / Swarm</t>
        </is>
      </c>
      <c r="E481" s="54" t="inlineStr">
        <is>
          <t>Flesh Hounds</t>
        </is>
      </c>
      <c r="F481" s="54" t="inlineStr">
        <is>
          <t>5 models</t>
        </is>
      </c>
      <c r="G481" s="54" t="inlineStr">
        <is>
          <t>Beast / Swarm</t>
        </is>
      </c>
      <c r="H481" s="54" t="str"/>
      <c r="I481" s="54" t="str"/>
      <c r="J481" s="54" t="str"/>
      <c r="K481" s="54" t="str"/>
      <c r="L481" s="55" t="n">
        <v>75</v>
      </c>
      <c r="M481" s="54" t="inlineStr">
        <is>
          <t>Points options: 5 models = 75 pts; 10 models = 150 pts</t>
        </is>
      </c>
      <c r="N481" s="54" t="inlineStr">
        <is>
          <t>Matched to Munitorum Field Manual v2.3</t>
        </is>
      </c>
      <c r="O481" s="54" t="inlineStr">
        <is>
          <t>Uploaded PDF: Munitorum Field Manual v2.3 / March 2025, p.12</t>
        </is>
      </c>
    </row>
    <row r="482">
      <c r="A482" s="54" t="inlineStr">
        <is>
          <t>Chaos Daemons</t>
        </is>
      </c>
      <c r="B482" s="54" t="str"/>
      <c r="C482" s="54" t="inlineStr">
        <is>
          <t>Character</t>
        </is>
      </c>
      <c r="D482" s="54" t="inlineStr">
        <is>
          <t>Character</t>
        </is>
      </c>
      <c r="E482" s="54" t="inlineStr">
        <is>
          <t>Fluxmaster</t>
        </is>
      </c>
      <c r="F482" s="54" t="inlineStr">
        <is>
          <t>1 model</t>
        </is>
      </c>
      <c r="G482" s="54" t="inlineStr">
        <is>
          <t>Character</t>
        </is>
      </c>
      <c r="H482" s="54" t="str"/>
      <c r="I482" s="54" t="str"/>
      <c r="J482" s="54" t="str"/>
      <c r="K482" s="54" t="str"/>
      <c r="L482" s="55" t="n">
        <v>60</v>
      </c>
      <c r="M482" s="54" t="str"/>
      <c r="N482" s="54" t="inlineStr">
        <is>
          <t>Matched to Munitorum Field Manual v2.3</t>
        </is>
      </c>
      <c r="O482" s="54" t="inlineStr">
        <is>
          <t>Uploaded PDF: Munitorum Field Manual v2.3 / March 2025, p.12</t>
        </is>
      </c>
    </row>
    <row r="483">
      <c r="A483" s="54" t="inlineStr">
        <is>
          <t>Chaos Daemons</t>
        </is>
      </c>
      <c r="B483" s="54" t="str"/>
      <c r="C483" s="54" t="inlineStr">
        <is>
          <t>Monster / Heavy Support</t>
        </is>
      </c>
      <c r="D483" s="54" t="inlineStr">
        <is>
          <t>Monster</t>
        </is>
      </c>
      <c r="E483" s="54" t="inlineStr">
        <is>
          <t>Great Unclean One</t>
        </is>
      </c>
      <c r="F483" s="54" t="inlineStr">
        <is>
          <t>1 model</t>
        </is>
      </c>
      <c r="G483" s="54" t="inlineStr">
        <is>
          <t>Monster</t>
        </is>
      </c>
      <c r="H483" s="54" t="str"/>
      <c r="I483" s="54" t="str"/>
      <c r="J483" s="54" t="str"/>
      <c r="K483" s="54" t="str"/>
      <c r="L483" s="55" t="n">
        <v>250</v>
      </c>
      <c r="M483" s="54" t="str"/>
      <c r="N483" s="54" t="inlineStr">
        <is>
          <t>Matched to Munitorum Field Manual v2.3</t>
        </is>
      </c>
      <c r="O483" s="54" t="inlineStr">
        <is>
          <t>Uploaded PDF: Munitorum Field Manual v2.3 / March 2025, p.12</t>
        </is>
      </c>
    </row>
    <row r="484">
      <c r="A484" s="54" t="inlineStr">
        <is>
          <t>Chaos Daemons</t>
        </is>
      </c>
      <c r="B484" s="54" t="str"/>
      <c r="C484" s="54" t="inlineStr">
        <is>
          <t>Infantry / Other</t>
        </is>
      </c>
      <c r="D484" s="54" t="inlineStr">
        <is>
          <t>Infantry</t>
        </is>
      </c>
      <c r="E484" s="54" t="inlineStr">
        <is>
          <t>Horticulous Slimux</t>
        </is>
      </c>
      <c r="F484" s="54" t="inlineStr">
        <is>
          <t>1 model</t>
        </is>
      </c>
      <c r="G484" s="54" t="inlineStr">
        <is>
          <t>Infantry</t>
        </is>
      </c>
      <c r="H484" s="54" t="str"/>
      <c r="I484" s="54" t="str"/>
      <c r="J484" s="54" t="str"/>
      <c r="K484" s="54" t="str"/>
      <c r="L484" s="55" t="n">
        <v>120</v>
      </c>
      <c r="M484" s="54" t="str"/>
      <c r="N484" s="54" t="inlineStr">
        <is>
          <t>Matched to Munitorum Field Manual v2.3</t>
        </is>
      </c>
      <c r="O484" s="54" t="inlineStr">
        <is>
          <t>Uploaded PDF: Munitorum Field Manual v2.3 / March 2025, p.12</t>
        </is>
      </c>
    </row>
    <row r="485">
      <c r="A485" s="54" t="inlineStr">
        <is>
          <t>Chaos Daemons</t>
        </is>
      </c>
      <c r="B485" s="54" t="str"/>
      <c r="C485" s="54" t="inlineStr">
        <is>
          <t>Infantry / Other</t>
        </is>
      </c>
      <c r="D485" s="54" t="inlineStr">
        <is>
          <t>Infantry</t>
        </is>
      </c>
      <c r="E485" s="54" t="inlineStr">
        <is>
          <t>Infernal Enrapturess</t>
        </is>
      </c>
      <c r="F485" s="54" t="inlineStr">
        <is>
          <t>1 model</t>
        </is>
      </c>
      <c r="G485" s="54" t="inlineStr">
        <is>
          <t>Infantry</t>
        </is>
      </c>
      <c r="H485" s="54" t="str"/>
      <c r="I485" s="54" t="str"/>
      <c r="J485" s="54" t="str"/>
      <c r="K485" s="54" t="str"/>
      <c r="L485" s="55" t="n">
        <v>60</v>
      </c>
      <c r="M485" s="54" t="str"/>
      <c r="N485" s="54" t="inlineStr">
        <is>
          <t>Matched to Munitorum Field Manual v2.3</t>
        </is>
      </c>
      <c r="O485" s="54" t="inlineStr">
        <is>
          <t>Uploaded PDF: Munitorum Field Manual v2.3 / March 2025, p.12</t>
        </is>
      </c>
    </row>
    <row r="486">
      <c r="A486" s="54" t="inlineStr">
        <is>
          <t>Chaos Daemons</t>
        </is>
      </c>
      <c r="B486" s="54" t="str"/>
      <c r="C486" s="54" t="inlineStr">
        <is>
          <t>Infantry / Other</t>
        </is>
      </c>
      <c r="D486" s="54" t="inlineStr">
        <is>
          <t>Infantry</t>
        </is>
      </c>
      <c r="E486" s="54" t="inlineStr">
        <is>
          <t>Kairos Fateweaver</t>
        </is>
      </c>
      <c r="F486" s="54" t="inlineStr">
        <is>
          <t>1 model</t>
        </is>
      </c>
      <c r="G486" s="54" t="inlineStr">
        <is>
          <t>Infantry</t>
        </is>
      </c>
      <c r="H486" s="54" t="str"/>
      <c r="I486" s="54" t="str"/>
      <c r="J486" s="54" t="str"/>
      <c r="K486" s="54" t="str"/>
      <c r="L486" s="55" t="n">
        <v>270</v>
      </c>
      <c r="M486" s="54" t="str"/>
      <c r="N486" s="54" t="inlineStr">
        <is>
          <t>Matched to Munitorum Field Manual v2.3</t>
        </is>
      </c>
      <c r="O486" s="54" t="inlineStr">
        <is>
          <t>Uploaded PDF: Munitorum Field Manual v2.3 / March 2025, p.12</t>
        </is>
      </c>
    </row>
    <row r="487">
      <c r="A487" s="54" t="inlineStr">
        <is>
          <t>Chaos Daemons</t>
        </is>
      </c>
      <c r="B487" s="54" t="str"/>
      <c r="C487" s="54" t="inlineStr">
        <is>
          <t>Monster / Heavy Support</t>
        </is>
      </c>
      <c r="D487" s="54" t="inlineStr">
        <is>
          <t>Monster</t>
        </is>
      </c>
      <c r="E487" s="54" t="inlineStr">
        <is>
          <t>Keeper of Secrets</t>
        </is>
      </c>
      <c r="F487" s="54" t="inlineStr">
        <is>
          <t>1 model</t>
        </is>
      </c>
      <c r="G487" s="54" t="inlineStr">
        <is>
          <t>Monster</t>
        </is>
      </c>
      <c r="H487" s="54" t="str"/>
      <c r="I487" s="54" t="str"/>
      <c r="J487" s="54" t="str"/>
      <c r="K487" s="54" t="str"/>
      <c r="L487" s="55" t="n">
        <v>290</v>
      </c>
      <c r="M487" s="54" t="str"/>
      <c r="N487" s="54" t="inlineStr">
        <is>
          <t>Matched to Munitorum Field Manual v2.3</t>
        </is>
      </c>
      <c r="O487" s="54" t="inlineStr">
        <is>
          <t>Uploaded PDF: Munitorum Field Manual v2.3 / March 2025, p.12</t>
        </is>
      </c>
    </row>
    <row r="488">
      <c r="A488" s="54" t="inlineStr">
        <is>
          <t>Chaos Daemons</t>
        </is>
      </c>
      <c r="B488" s="54" t="str"/>
      <c r="C488" s="54" t="inlineStr">
        <is>
          <t>Infantry / Other</t>
        </is>
      </c>
      <c r="D488" s="54" t="inlineStr">
        <is>
          <t>Infantry</t>
        </is>
      </c>
      <c r="E488" s="54" t="inlineStr">
        <is>
          <t>Karanak</t>
        </is>
      </c>
      <c r="F488" s="54" t="n"/>
      <c r="G488" s="54" t="inlineStr">
        <is>
          <t>Infantry</t>
        </is>
      </c>
      <c r="H488" s="54" t="str"/>
      <c r="I488" s="54" t="str"/>
      <c r="J488" s="54" t="str"/>
      <c r="K488" s="54" t="str"/>
      <c r="L488" s="55" t="n"/>
      <c r="M488" s="54" t="inlineStr">
        <is>
          <t>No matching points entry found in uploaded PDF; verify unit name/current support.</t>
        </is>
      </c>
      <c r="N488" s="54" t="inlineStr">
        <is>
          <t>Not found in uploaded PDF</t>
        </is>
      </c>
      <c r="O488" s="54" t="inlineStr">
        <is>
          <t>Uploaded PDF: Munitorum Field Manual v2.3 / March 2025</t>
        </is>
      </c>
    </row>
    <row r="489">
      <c r="A489" s="54" t="inlineStr">
        <is>
          <t>Chaos Daemons</t>
        </is>
      </c>
      <c r="B489" s="54" t="str"/>
      <c r="C489" s="54" t="inlineStr">
        <is>
          <t>Character</t>
        </is>
      </c>
      <c r="D489" s="54" t="inlineStr">
        <is>
          <t>Character</t>
        </is>
      </c>
      <c r="E489" s="54" t="inlineStr">
        <is>
          <t>Lord of Change</t>
        </is>
      </c>
      <c r="F489" s="54" t="inlineStr">
        <is>
          <t>1 model</t>
        </is>
      </c>
      <c r="G489" s="54" t="inlineStr">
        <is>
          <t>Character</t>
        </is>
      </c>
      <c r="H489" s="54" t="str"/>
      <c r="I489" s="54" t="str"/>
      <c r="J489" s="54" t="str"/>
      <c r="K489" s="54" t="str"/>
      <c r="L489" s="55" t="n">
        <v>260</v>
      </c>
      <c r="M489" s="54" t="str"/>
      <c r="N489" s="54" t="inlineStr">
        <is>
          <t>Matched to Munitorum Field Manual v2.3</t>
        </is>
      </c>
      <c r="O489" s="54" t="inlineStr">
        <is>
          <t>Uploaded PDF: Munitorum Field Manual v2.3 / March 2025, p.12</t>
        </is>
      </c>
    </row>
    <row r="490">
      <c r="A490" s="54" t="inlineStr">
        <is>
          <t>Chaos Daemons</t>
        </is>
      </c>
      <c r="B490" s="54" t="str"/>
      <c r="C490" s="54" t="inlineStr">
        <is>
          <t>Infantry / Other</t>
        </is>
      </c>
      <c r="D490" s="54" t="inlineStr">
        <is>
          <t>Beast / Swarm</t>
        </is>
      </c>
      <c r="E490" s="54" t="inlineStr">
        <is>
          <t>Nurglings</t>
        </is>
      </c>
      <c r="F490" s="54" t="inlineStr">
        <is>
          <t>3 models</t>
        </is>
      </c>
      <c r="G490" s="54" t="inlineStr">
        <is>
          <t>Beast / Swarm</t>
        </is>
      </c>
      <c r="H490" s="54" t="str"/>
      <c r="I490" s="54" t="str"/>
      <c r="J490" s="54" t="str"/>
      <c r="K490" s="54" t="str"/>
      <c r="L490" s="55" t="n">
        <v>35</v>
      </c>
      <c r="M490" s="54" t="inlineStr">
        <is>
          <t>Points options: 3 models = 35 pts; 6 models = 60 pts; 9 models = 90 pts</t>
        </is>
      </c>
      <c r="N490" s="54" t="inlineStr">
        <is>
          <t>Matched to Munitorum Field Manual v2.3</t>
        </is>
      </c>
      <c r="O490" s="54" t="inlineStr">
        <is>
          <t>Uploaded PDF: Munitorum Field Manual v2.3 / March 2025, p.12</t>
        </is>
      </c>
    </row>
    <row r="491">
      <c r="A491" s="54" t="inlineStr">
        <is>
          <t>Chaos Daemons</t>
        </is>
      </c>
      <c r="B491" s="54" t="str"/>
      <c r="C491" s="54" t="inlineStr">
        <is>
          <t>Infantry / Other</t>
        </is>
      </c>
      <c r="D491" s="54" t="inlineStr">
        <is>
          <t>Infantry</t>
        </is>
      </c>
      <c r="E491" s="54" t="inlineStr">
        <is>
          <t>Pink Horrors</t>
        </is>
      </c>
      <c r="F491" s="54" t="inlineStr">
        <is>
          <t>10 models</t>
        </is>
      </c>
      <c r="G491" s="54" t="inlineStr">
        <is>
          <t>Infantry</t>
        </is>
      </c>
      <c r="H491" s="54" t="str"/>
      <c r="I491" s="54" t="str"/>
      <c r="J491" s="54" t="str"/>
      <c r="K491" s="54" t="str"/>
      <c r="L491" s="55" t="n">
        <v>140</v>
      </c>
      <c r="M491" s="54" t="str"/>
      <c r="N491" s="54" t="inlineStr">
        <is>
          <t>Matched to Munitorum Field Manual v2.3</t>
        </is>
      </c>
      <c r="O491" s="54" t="inlineStr">
        <is>
          <t>Uploaded PDF: Munitorum Field Manual v2.3 / March 2025, p.12</t>
        </is>
      </c>
    </row>
    <row r="492">
      <c r="A492" s="54" t="inlineStr">
        <is>
          <t>Chaos Daemons</t>
        </is>
      </c>
      <c r="B492" s="54" t="str"/>
      <c r="C492" s="54" t="inlineStr">
        <is>
          <t>Infantry / Other</t>
        </is>
      </c>
      <c r="D492" s="54" t="inlineStr">
        <is>
          <t>Infantry</t>
        </is>
      </c>
      <c r="E492" s="54" t="inlineStr">
        <is>
          <t>Plague Drones</t>
        </is>
      </c>
      <c r="F492" s="54" t="inlineStr">
        <is>
          <t>3 models</t>
        </is>
      </c>
      <c r="G492" s="54" t="inlineStr">
        <is>
          <t>Infantry</t>
        </is>
      </c>
      <c r="H492" s="54" t="str"/>
      <c r="I492" s="54" t="str"/>
      <c r="J492" s="54" t="str"/>
      <c r="K492" s="54" t="str"/>
      <c r="L492" s="55" t="n">
        <v>110</v>
      </c>
      <c r="M492" s="54" t="inlineStr">
        <is>
          <t>Points options: 3 models = 110 pts; 6 models = 220 pts</t>
        </is>
      </c>
      <c r="N492" s="54" t="inlineStr">
        <is>
          <t>Matched to Munitorum Field Manual v2.3</t>
        </is>
      </c>
      <c r="O492" s="54" t="inlineStr">
        <is>
          <t>Uploaded PDF: Munitorum Field Manual v2.3 / March 2025, p.12</t>
        </is>
      </c>
    </row>
    <row r="493">
      <c r="A493" s="54" t="inlineStr">
        <is>
          <t>Chaos Daemons</t>
        </is>
      </c>
      <c r="B493" s="54" t="str"/>
      <c r="C493" s="54" t="inlineStr">
        <is>
          <t>Infantry / Other</t>
        </is>
      </c>
      <c r="D493" s="54" t="inlineStr">
        <is>
          <t>Infantry</t>
        </is>
      </c>
      <c r="E493" s="54" t="inlineStr">
        <is>
          <t>Plaguebearers</t>
        </is>
      </c>
      <c r="F493" s="54" t="inlineStr">
        <is>
          <t>10 models</t>
        </is>
      </c>
      <c r="G493" s="54" t="inlineStr">
        <is>
          <t>Infantry</t>
        </is>
      </c>
      <c r="H493" s="54" t="str"/>
      <c r="I493" s="54" t="str"/>
      <c r="J493" s="54" t="str"/>
      <c r="K493" s="54" t="str"/>
      <c r="L493" s="55" t="n">
        <v>110</v>
      </c>
      <c r="M493" s="54" t="str"/>
      <c r="N493" s="54" t="inlineStr">
        <is>
          <t>Matched to Munitorum Field Manual v2.3</t>
        </is>
      </c>
      <c r="O493" s="54" t="inlineStr">
        <is>
          <t>Uploaded PDF: Munitorum Field Manual v2.3 / March 2025, p.12</t>
        </is>
      </c>
    </row>
    <row r="494">
      <c r="A494" s="54" t="inlineStr">
        <is>
          <t>Chaos Daemons</t>
        </is>
      </c>
      <c r="B494" s="54" t="str"/>
      <c r="C494" s="54" t="inlineStr">
        <is>
          <t>Infantry / Other</t>
        </is>
      </c>
      <c r="D494" s="54" t="inlineStr">
        <is>
          <t>Infantry</t>
        </is>
      </c>
      <c r="E494" s="54" t="inlineStr">
        <is>
          <t>Poxbringer</t>
        </is>
      </c>
      <c r="F494" s="54" t="inlineStr">
        <is>
          <t>1 model</t>
        </is>
      </c>
      <c r="G494" s="54" t="inlineStr">
        <is>
          <t>Infantry</t>
        </is>
      </c>
      <c r="H494" s="54" t="str"/>
      <c r="I494" s="54" t="str"/>
      <c r="J494" s="54" t="str"/>
      <c r="K494" s="54" t="str"/>
      <c r="L494" s="55" t="n">
        <v>55</v>
      </c>
      <c r="M494" s="54" t="str"/>
      <c r="N494" s="54" t="inlineStr">
        <is>
          <t>Matched to Munitorum Field Manual v2.3</t>
        </is>
      </c>
      <c r="O494" s="54" t="inlineStr">
        <is>
          <t>Uploaded PDF: Munitorum Field Manual v2.3 / March 2025, p.12</t>
        </is>
      </c>
    </row>
    <row r="495">
      <c r="A495" s="54" t="inlineStr">
        <is>
          <t>Chaos Daemons</t>
        </is>
      </c>
      <c r="B495" s="54" t="str"/>
      <c r="C495" s="54" t="inlineStr">
        <is>
          <t>Character</t>
        </is>
      </c>
      <c r="D495" s="54" t="inlineStr">
        <is>
          <t>Character</t>
        </is>
      </c>
      <c r="E495" s="54" t="inlineStr">
        <is>
          <t>Rendmaster on Blood Throne</t>
        </is>
      </c>
      <c r="F495" s="54" t="inlineStr">
        <is>
          <t>1 model</t>
        </is>
      </c>
      <c r="G495" s="54" t="inlineStr">
        <is>
          <t>Character</t>
        </is>
      </c>
      <c r="H495" s="54" t="str"/>
      <c r="I495" s="54" t="str"/>
      <c r="J495" s="54" t="str"/>
      <c r="K495" s="54" t="str"/>
      <c r="L495" s="55" t="n">
        <v>165</v>
      </c>
      <c r="M495" s="54" t="str"/>
      <c r="N495" s="54" t="inlineStr">
        <is>
          <t>Matched to Munitorum Field Manual v2.3</t>
        </is>
      </c>
      <c r="O495" s="54" t="inlineStr">
        <is>
          <t>Uploaded PDF: Munitorum Field Manual v2.3 / March 2025, p.12</t>
        </is>
      </c>
    </row>
    <row r="496">
      <c r="A496" s="54" t="inlineStr">
        <is>
          <t>Chaos Daemons</t>
        </is>
      </c>
      <c r="B496" s="54" t="str"/>
      <c r="C496" s="54" t="inlineStr">
        <is>
          <t>Monster / Heavy Support</t>
        </is>
      </c>
      <c r="D496" s="54" t="inlineStr">
        <is>
          <t>Monster</t>
        </is>
      </c>
      <c r="E496" s="54" t="inlineStr">
        <is>
          <t>Rotigus</t>
        </is>
      </c>
      <c r="F496" s="54" t="inlineStr">
        <is>
          <t>1 model</t>
        </is>
      </c>
      <c r="G496" s="54" t="inlineStr">
        <is>
          <t>Monster</t>
        </is>
      </c>
      <c r="H496" s="54" t="str"/>
      <c r="I496" s="54" t="str"/>
      <c r="J496" s="54" t="str"/>
      <c r="K496" s="54" t="str"/>
      <c r="L496" s="55" t="n">
        <v>250</v>
      </c>
      <c r="M496" s="54" t="str"/>
      <c r="N496" s="54" t="inlineStr">
        <is>
          <t>Matched to Munitorum Field Manual v2.3</t>
        </is>
      </c>
      <c r="O496" s="54" t="inlineStr">
        <is>
          <t>Uploaded PDF: Munitorum Field Manual v2.3 / March 2025, p.12</t>
        </is>
      </c>
    </row>
    <row r="497">
      <c r="A497" s="54" t="inlineStr">
        <is>
          <t>Chaos Daemons</t>
        </is>
      </c>
      <c r="B497" s="54" t="str"/>
      <c r="C497" s="54" t="inlineStr">
        <is>
          <t>Infantry / Other</t>
        </is>
      </c>
      <c r="D497" s="54" t="inlineStr">
        <is>
          <t>Infantry</t>
        </is>
      </c>
      <c r="E497" s="54" t="inlineStr">
        <is>
          <t>Screamers</t>
        </is>
      </c>
      <c r="F497" s="54" t="inlineStr">
        <is>
          <t>3 models</t>
        </is>
      </c>
      <c r="G497" s="54" t="inlineStr">
        <is>
          <t>Infantry</t>
        </is>
      </c>
      <c r="H497" s="54" t="str"/>
      <c r="I497" s="54" t="str"/>
      <c r="J497" s="54" t="str"/>
      <c r="K497" s="54" t="str"/>
      <c r="L497" s="55" t="n">
        <v>80</v>
      </c>
      <c r="M497" s="54" t="inlineStr">
        <is>
          <t>Points options: 3 models = 80 pts; 6 models = 160 pts</t>
        </is>
      </c>
      <c r="N497" s="54" t="inlineStr">
        <is>
          <t>Matched to Munitorum Field Manual v2.3</t>
        </is>
      </c>
      <c r="O497" s="54" t="inlineStr">
        <is>
          <t>Uploaded PDF: Munitorum Field Manual v2.3 / March 2025, p.12</t>
        </is>
      </c>
    </row>
    <row r="498">
      <c r="A498" s="54" t="inlineStr">
        <is>
          <t>Chaos Daemons</t>
        </is>
      </c>
      <c r="B498" s="54" t="str"/>
      <c r="C498" s="54" t="inlineStr">
        <is>
          <t>Infantry / Other</t>
        </is>
      </c>
      <c r="D498" s="54" t="inlineStr">
        <is>
          <t>Infantry</t>
        </is>
      </c>
      <c r="E498" s="54" t="inlineStr">
        <is>
          <t>Seekers</t>
        </is>
      </c>
      <c r="F498" s="54" t="inlineStr">
        <is>
          <t>5 models</t>
        </is>
      </c>
      <c r="G498" s="54" t="inlineStr">
        <is>
          <t>Infantry</t>
        </is>
      </c>
      <c r="H498" s="54" t="str"/>
      <c r="I498" s="54" t="str"/>
      <c r="J498" s="54" t="str"/>
      <c r="K498" s="54" t="str"/>
      <c r="L498" s="55" t="n">
        <v>80</v>
      </c>
      <c r="M498" s="54" t="inlineStr">
        <is>
          <t>Points options: 5 models = 80 pts; 10 models = 160 pts</t>
        </is>
      </c>
      <c r="N498" s="54" t="inlineStr">
        <is>
          <t>Matched to Munitorum Field Manual v2.3</t>
        </is>
      </c>
      <c r="O498" s="54" t="inlineStr">
        <is>
          <t>Uploaded PDF: Munitorum Field Manual v2.3 / March 2025, p.12</t>
        </is>
      </c>
    </row>
    <row r="499">
      <c r="A499" s="54" t="inlineStr">
        <is>
          <t>Chaos Daemons</t>
        </is>
      </c>
      <c r="B499" s="54" t="str"/>
      <c r="C499" s="54" t="inlineStr">
        <is>
          <t>Infantry / Other</t>
        </is>
      </c>
      <c r="D499" s="54" t="inlineStr">
        <is>
          <t>Infantry</t>
        </is>
      </c>
      <c r="E499" s="54" t="inlineStr">
        <is>
          <t>Shalaxi Helbane</t>
        </is>
      </c>
      <c r="F499" s="54" t="inlineStr">
        <is>
          <t>1 model</t>
        </is>
      </c>
      <c r="G499" s="54" t="inlineStr">
        <is>
          <t>Infantry</t>
        </is>
      </c>
      <c r="H499" s="54" t="str"/>
      <c r="I499" s="54" t="str"/>
      <c r="J499" s="54" t="str"/>
      <c r="K499" s="54" t="str"/>
      <c r="L499" s="55" t="n">
        <v>380</v>
      </c>
      <c r="M499" s="54" t="str"/>
      <c r="N499" s="54" t="inlineStr">
        <is>
          <t>Matched to Munitorum Field Manual v2.3</t>
        </is>
      </c>
      <c r="O499" s="54" t="inlineStr">
        <is>
          <t>Uploaded PDF: Munitorum Field Manual v2.3 / March 2025, p.12</t>
        </is>
      </c>
    </row>
    <row r="500">
      <c r="A500" s="54" t="inlineStr">
        <is>
          <t>Chaos Daemons</t>
        </is>
      </c>
      <c r="B500" s="54" t="str"/>
      <c r="C500" s="54" t="inlineStr">
        <is>
          <t>Infantry / Other</t>
        </is>
      </c>
      <c r="D500" s="54" t="inlineStr">
        <is>
          <t>Infantry</t>
        </is>
      </c>
      <c r="E500" s="54" t="inlineStr">
        <is>
          <t>Skull Cannon</t>
        </is>
      </c>
      <c r="F500" s="54" t="inlineStr">
        <is>
          <t>1 model</t>
        </is>
      </c>
      <c r="G500" s="54" t="inlineStr">
        <is>
          <t>Infantry</t>
        </is>
      </c>
      <c r="H500" s="54" t="str"/>
      <c r="I500" s="54" t="str"/>
      <c r="J500" s="54" t="str"/>
      <c r="K500" s="54" t="str"/>
      <c r="L500" s="55" t="n">
        <v>95</v>
      </c>
      <c r="M500" s="54" t="str"/>
      <c r="N500" s="54" t="inlineStr">
        <is>
          <t>Matched to Munitorum Field Manual v2.3</t>
        </is>
      </c>
      <c r="O500" s="54" t="inlineStr">
        <is>
          <t>Uploaded PDF: Munitorum Field Manual v2.3 / March 2025, p.12</t>
        </is>
      </c>
    </row>
    <row r="501">
      <c r="A501" s="54" t="inlineStr">
        <is>
          <t>Chaos Daemons</t>
        </is>
      </c>
      <c r="B501" s="54" t="str"/>
      <c r="C501" s="54" t="inlineStr">
        <is>
          <t>Character</t>
        </is>
      </c>
      <c r="D501" s="54" t="inlineStr">
        <is>
          <t>Character</t>
        </is>
      </c>
      <c r="E501" s="54" t="inlineStr">
        <is>
          <t>Skullmaster</t>
        </is>
      </c>
      <c r="F501" s="54" t="inlineStr">
        <is>
          <t>1 model</t>
        </is>
      </c>
      <c r="G501" s="54" t="inlineStr">
        <is>
          <t>Character</t>
        </is>
      </c>
      <c r="H501" s="54" t="str"/>
      <c r="I501" s="54" t="str"/>
      <c r="J501" s="54" t="str"/>
      <c r="K501" s="54" t="str"/>
      <c r="L501" s="55" t="n">
        <v>100</v>
      </c>
      <c r="M501" s="54" t="str"/>
      <c r="N501" s="54" t="inlineStr">
        <is>
          <t>Matched to Munitorum Field Manual v2.3</t>
        </is>
      </c>
      <c r="O501" s="54" t="inlineStr">
        <is>
          <t>Uploaded PDF: Munitorum Field Manual v2.3 / March 2025, p.12</t>
        </is>
      </c>
    </row>
    <row r="502">
      <c r="A502" s="54" t="inlineStr">
        <is>
          <t>Chaos Daemons</t>
        </is>
      </c>
      <c r="B502" s="54" t="str"/>
      <c r="C502" s="54" t="inlineStr">
        <is>
          <t>Infantry / Other</t>
        </is>
      </c>
      <c r="D502" s="54" t="inlineStr">
        <is>
          <t>Infantry</t>
        </is>
      </c>
      <c r="E502" s="54" t="inlineStr">
        <is>
          <t>Skulltaker</t>
        </is>
      </c>
      <c r="F502" s="54" t="inlineStr">
        <is>
          <t>1 model</t>
        </is>
      </c>
      <c r="G502" s="54" t="inlineStr">
        <is>
          <t>Infantry</t>
        </is>
      </c>
      <c r="H502" s="54" t="str"/>
      <c r="I502" s="54" t="str"/>
      <c r="J502" s="54" t="str"/>
      <c r="K502" s="54" t="str"/>
      <c r="L502" s="55" t="n">
        <v>85</v>
      </c>
      <c r="M502" s="54" t="str"/>
      <c r="N502" s="54" t="inlineStr">
        <is>
          <t>Matched to Munitorum Field Manual v2.3</t>
        </is>
      </c>
      <c r="O502" s="54" t="inlineStr">
        <is>
          <t>Uploaded PDF: Munitorum Field Manual v2.3 / March 2025, p.12</t>
        </is>
      </c>
    </row>
    <row r="503">
      <c r="A503" s="54" t="inlineStr">
        <is>
          <t>Chaos Daemons</t>
        </is>
      </c>
      <c r="B503" s="54" t="str"/>
      <c r="C503" s="54" t="inlineStr">
        <is>
          <t>Infantry / Other</t>
        </is>
      </c>
      <c r="D503" s="54" t="inlineStr">
        <is>
          <t>Infantry</t>
        </is>
      </c>
      <c r="E503" s="54" t="inlineStr">
        <is>
          <t>Sloppity Bilepiper</t>
        </is>
      </c>
      <c r="F503" s="54" t="inlineStr">
        <is>
          <t>1 model</t>
        </is>
      </c>
      <c r="G503" s="54" t="inlineStr">
        <is>
          <t>Infantry</t>
        </is>
      </c>
      <c r="H503" s="54" t="str"/>
      <c r="I503" s="54" t="str"/>
      <c r="J503" s="54" t="str"/>
      <c r="K503" s="54" t="str"/>
      <c r="L503" s="55" t="n">
        <v>55</v>
      </c>
      <c r="M503" s="54" t="str"/>
      <c r="N503" s="54" t="inlineStr">
        <is>
          <t>Matched to Munitorum Field Manual v2.3</t>
        </is>
      </c>
      <c r="O503" s="54" t="inlineStr">
        <is>
          <t>Uploaded PDF: Munitorum Field Manual v2.3 / March 2025, p.12</t>
        </is>
      </c>
    </row>
    <row r="504">
      <c r="A504" s="54" t="inlineStr">
        <is>
          <t>Chaos Daemons</t>
        </is>
      </c>
      <c r="B504" s="54" t="str"/>
      <c r="C504" s="54" t="inlineStr">
        <is>
          <t>Monster / Heavy Support</t>
        </is>
      </c>
      <c r="D504" s="54" t="inlineStr">
        <is>
          <t>Monster</t>
        </is>
      </c>
      <c r="E504" s="54" t="inlineStr">
        <is>
          <t>Soul Grinder</t>
        </is>
      </c>
      <c r="F504" s="54" t="inlineStr">
        <is>
          <t>1 model</t>
        </is>
      </c>
      <c r="G504" s="54" t="inlineStr">
        <is>
          <t>Monster</t>
        </is>
      </c>
      <c r="H504" s="54" t="str"/>
      <c r="I504" s="54" t="str"/>
      <c r="J504" s="54" t="str"/>
      <c r="K504" s="54" t="str"/>
      <c r="L504" s="55" t="n">
        <v>180</v>
      </c>
      <c r="M504" s="54" t="str"/>
      <c r="N504" s="54" t="inlineStr">
        <is>
          <t>Matched to Munitorum Field Manual v2.3</t>
        </is>
      </c>
      <c r="O504" s="54" t="inlineStr">
        <is>
          <t>Uploaded PDF: Munitorum Field Manual v2.3 / March 2025, p.12</t>
        </is>
      </c>
    </row>
    <row r="505">
      <c r="A505" s="54" t="inlineStr">
        <is>
          <t>Chaos Daemons</t>
        </is>
      </c>
      <c r="B505" s="54" t="str"/>
      <c r="C505" s="54" t="inlineStr">
        <is>
          <t>Infantry / Other</t>
        </is>
      </c>
      <c r="D505" s="54" t="inlineStr">
        <is>
          <t>Infantry</t>
        </is>
      </c>
      <c r="E505" s="54" t="inlineStr">
        <is>
          <t>Spoilpox Scrivener</t>
        </is>
      </c>
      <c r="F505" s="54" t="inlineStr">
        <is>
          <t>1 model</t>
        </is>
      </c>
      <c r="G505" s="54" t="inlineStr">
        <is>
          <t>Infantry</t>
        </is>
      </c>
      <c r="H505" s="54" t="str"/>
      <c r="I505" s="54" t="str"/>
      <c r="J505" s="54" t="str"/>
      <c r="K505" s="54" t="str"/>
      <c r="L505" s="55" t="n">
        <v>60</v>
      </c>
      <c r="M505" s="54" t="str"/>
      <c r="N505" s="54" t="inlineStr">
        <is>
          <t>Matched to Munitorum Field Manual v2.3</t>
        </is>
      </c>
      <c r="O505" s="54" t="inlineStr">
        <is>
          <t>Uploaded PDF: Munitorum Field Manual v2.3 / March 2025, p.12</t>
        </is>
      </c>
    </row>
    <row r="506">
      <c r="A506" s="54" t="inlineStr">
        <is>
          <t>Chaos Daemons</t>
        </is>
      </c>
      <c r="B506" s="54" t="str"/>
      <c r="C506" s="54" t="inlineStr">
        <is>
          <t>Infantry / Other</t>
        </is>
      </c>
      <c r="D506" s="54" t="inlineStr">
        <is>
          <t>Infantry</t>
        </is>
      </c>
      <c r="E506" s="54" t="inlineStr">
        <is>
          <t>Syll'Esske</t>
        </is>
      </c>
      <c r="F506" s="54" t="inlineStr">
        <is>
          <t>1 model</t>
        </is>
      </c>
      <c r="G506" s="54" t="inlineStr">
        <is>
          <t>Infantry</t>
        </is>
      </c>
      <c r="H506" s="54" t="str"/>
      <c r="I506" s="54" t="str"/>
      <c r="J506" s="54" t="str"/>
      <c r="K506" s="54" t="str"/>
      <c r="L506" s="55" t="n">
        <v>120</v>
      </c>
      <c r="M506" s="54" t="str"/>
      <c r="N506" s="54" t="inlineStr">
        <is>
          <t>Matched to Munitorum Field Manual v2.3</t>
        </is>
      </c>
      <c r="O506" s="54" t="inlineStr">
        <is>
          <t>Uploaded PDF: Munitorum Field Manual v2.3 / March 2025, p.12</t>
        </is>
      </c>
    </row>
    <row r="507">
      <c r="A507" s="54" t="inlineStr">
        <is>
          <t>Chaos Daemons</t>
        </is>
      </c>
      <c r="B507" s="54" t="str"/>
      <c r="C507" s="54" t="inlineStr">
        <is>
          <t>Infantry / Other</t>
        </is>
      </c>
      <c r="D507" s="54" t="inlineStr">
        <is>
          <t>Infantry</t>
        </is>
      </c>
      <c r="E507" s="54" t="inlineStr">
        <is>
          <t>The Blue Scribes</t>
        </is>
      </c>
      <c r="F507" s="54" t="inlineStr">
        <is>
          <t>1 model</t>
        </is>
      </c>
      <c r="G507" s="54" t="inlineStr">
        <is>
          <t>Infantry</t>
        </is>
      </c>
      <c r="H507" s="54" t="str"/>
      <c r="I507" s="54" t="str"/>
      <c r="J507" s="54" t="str"/>
      <c r="K507" s="54" t="str"/>
      <c r="L507" s="55" t="n">
        <v>75</v>
      </c>
      <c r="M507" s="54" t="str"/>
      <c r="N507" s="54" t="inlineStr">
        <is>
          <t>Matched to Munitorum Field Manual v2.3</t>
        </is>
      </c>
      <c r="O507" s="54" t="inlineStr">
        <is>
          <t>Uploaded PDF: Munitorum Field Manual v2.3 / March 2025, p.12</t>
        </is>
      </c>
    </row>
    <row r="508">
      <c r="A508" s="54" t="inlineStr">
        <is>
          <t>Chaos Daemons</t>
        </is>
      </c>
      <c r="B508" s="54" t="str"/>
      <c r="C508" s="54" t="inlineStr">
        <is>
          <t>Infantry / Other</t>
        </is>
      </c>
      <c r="D508" s="54" t="inlineStr">
        <is>
          <t>Infantry</t>
        </is>
      </c>
      <c r="E508" s="54" t="inlineStr">
        <is>
          <t>The Changeling</t>
        </is>
      </c>
      <c r="F508" s="54" t="inlineStr">
        <is>
          <t>1 model</t>
        </is>
      </c>
      <c r="G508" s="54" t="inlineStr">
        <is>
          <t>Infantry</t>
        </is>
      </c>
      <c r="H508" s="54" t="str"/>
      <c r="I508" s="54" t="str"/>
      <c r="J508" s="54" t="str"/>
      <c r="K508" s="54" t="str"/>
      <c r="L508" s="55" t="n">
        <v>90</v>
      </c>
      <c r="M508" s="54" t="str"/>
      <c r="N508" s="54" t="inlineStr">
        <is>
          <t>Matched to Munitorum Field Manual v2.3</t>
        </is>
      </c>
      <c r="O508" s="54" t="inlineStr">
        <is>
          <t>Uploaded PDF: Munitorum Field Manual v2.3 / March 2025, p.12</t>
        </is>
      </c>
    </row>
    <row r="509">
      <c r="A509" s="54" t="inlineStr">
        <is>
          <t>Chaos Daemons</t>
        </is>
      </c>
      <c r="B509" s="54" t="str"/>
      <c r="C509" s="54" t="inlineStr">
        <is>
          <t>Infantry / Other</t>
        </is>
      </c>
      <c r="D509" s="54" t="inlineStr">
        <is>
          <t>Infantry</t>
        </is>
      </c>
      <c r="E509" s="54" t="inlineStr">
        <is>
          <t>Tormentbringer on Exalted Seeker Chariot</t>
        </is>
      </c>
      <c r="F509" s="54" t="n"/>
      <c r="G509" s="54" t="inlineStr">
        <is>
          <t>Infantry</t>
        </is>
      </c>
      <c r="H509" s="54" t="str"/>
      <c r="I509" s="54" t="str"/>
      <c r="J509" s="54" t="str"/>
      <c r="K509" s="54" t="str"/>
      <c r="L509" s="55" t="n"/>
      <c r="M509" s="54" t="inlineStr">
        <is>
          <t>No matching points entry found in uploaded PDF; verify unit name/current support.</t>
        </is>
      </c>
      <c r="N509" s="54" t="inlineStr">
        <is>
          <t>Not found in uploaded PDF</t>
        </is>
      </c>
      <c r="O509" s="54" t="inlineStr">
        <is>
          <t>Uploaded PDF: Munitorum Field Manual v2.3 / March 2025</t>
        </is>
      </c>
    </row>
    <row r="510">
      <c r="A510" s="54" t="inlineStr">
        <is>
          <t>Chaos Daemons</t>
        </is>
      </c>
      <c r="B510" s="54" t="str"/>
      <c r="C510" s="54" t="inlineStr">
        <is>
          <t>Infantry / Other</t>
        </is>
      </c>
      <c r="D510" s="54" t="inlineStr">
        <is>
          <t>Infantry</t>
        </is>
      </c>
      <c r="E510" s="54" t="inlineStr">
        <is>
          <t>Tranceweaver</t>
        </is>
      </c>
      <c r="F510" s="54" t="inlineStr">
        <is>
          <t>1 model</t>
        </is>
      </c>
      <c r="G510" s="54" t="inlineStr">
        <is>
          <t>Infantry</t>
        </is>
      </c>
      <c r="H510" s="54" t="str"/>
      <c r="I510" s="54" t="str"/>
      <c r="J510" s="54" t="str"/>
      <c r="K510" s="54" t="str"/>
      <c r="L510" s="55" t="n">
        <v>60</v>
      </c>
      <c r="M510" s="54" t="str"/>
      <c r="N510" s="54" t="inlineStr">
        <is>
          <t>Matched to Munitorum Field Manual v2.3</t>
        </is>
      </c>
      <c r="O510" s="54" t="inlineStr">
        <is>
          <t>Uploaded PDF: Munitorum Field Manual v2.3 / March 2025, p.12</t>
        </is>
      </c>
    </row>
    <row r="511">
      <c r="A511" s="54" t="inlineStr">
        <is>
          <t>Chaos Knights</t>
        </is>
      </c>
      <c r="B511" s="54" t="str"/>
      <c r="C511" s="54" t="inlineStr">
        <is>
          <t>Vehicle / Support</t>
        </is>
      </c>
      <c r="D511" s="54" t="inlineStr">
        <is>
          <t>Super-heavy Vehicle/Monster</t>
        </is>
      </c>
      <c r="E511" s="54" t="inlineStr">
        <is>
          <t>Knight Abominant</t>
        </is>
      </c>
      <c r="F511" s="54" t="inlineStr">
        <is>
          <t>1 model</t>
        </is>
      </c>
      <c r="G511" s="54" t="inlineStr">
        <is>
          <t>Super-heavy Vehicle/Monster</t>
        </is>
      </c>
      <c r="H511" s="54" t="str"/>
      <c r="I511" s="54" t="str"/>
      <c r="J511" s="54" t="str"/>
      <c r="K511" s="54" t="str"/>
      <c r="L511" s="55" t="n">
        <v>365</v>
      </c>
      <c r="M511" s="54" t="str"/>
      <c r="N511" s="54" t="inlineStr">
        <is>
          <t>Matched to Munitorum Field Manual v2.3</t>
        </is>
      </c>
      <c r="O511" s="54" t="inlineStr">
        <is>
          <t>Uploaded PDF: Munitorum Field Manual v2.3 / March 2025, p.14</t>
        </is>
      </c>
    </row>
    <row r="512">
      <c r="A512" s="54" t="inlineStr">
        <is>
          <t>Chaos Knights</t>
        </is>
      </c>
      <c r="B512" s="54" t="str"/>
      <c r="C512" s="54" t="inlineStr">
        <is>
          <t>Vehicle / Support</t>
        </is>
      </c>
      <c r="D512" s="54" t="inlineStr">
        <is>
          <t>Super-heavy Vehicle/Monster</t>
        </is>
      </c>
      <c r="E512" s="54" t="inlineStr">
        <is>
          <t>Knight Desecrator</t>
        </is>
      </c>
      <c r="F512" s="54" t="inlineStr">
        <is>
          <t>1 model</t>
        </is>
      </c>
      <c r="G512" s="54" t="inlineStr">
        <is>
          <t>Super-heavy Vehicle/Monster</t>
        </is>
      </c>
      <c r="H512" s="54" t="str"/>
      <c r="I512" s="54" t="str"/>
      <c r="J512" s="54" t="str"/>
      <c r="K512" s="54" t="str"/>
      <c r="L512" s="55" t="n">
        <v>400</v>
      </c>
      <c r="M512" s="54" t="str"/>
      <c r="N512" s="54" t="inlineStr">
        <is>
          <t>Matched to Munitorum Field Manual v2.3</t>
        </is>
      </c>
      <c r="O512" s="54" t="inlineStr">
        <is>
          <t>Uploaded PDF: Munitorum Field Manual v2.3 / March 2025, p.14</t>
        </is>
      </c>
    </row>
    <row r="513">
      <c r="A513" s="54" t="inlineStr">
        <is>
          <t>Chaos Knights</t>
        </is>
      </c>
      <c r="B513" s="54" t="str"/>
      <c r="C513" s="54" t="inlineStr">
        <is>
          <t>Vehicle / Support</t>
        </is>
      </c>
      <c r="D513" s="54" t="inlineStr">
        <is>
          <t>Super-heavy Vehicle/Monster</t>
        </is>
      </c>
      <c r="E513" s="54" t="inlineStr">
        <is>
          <t>Knight Despoiler</t>
        </is>
      </c>
      <c r="F513" s="54" t="inlineStr">
        <is>
          <t>1 model</t>
        </is>
      </c>
      <c r="G513" s="54" t="inlineStr">
        <is>
          <t>Super-heavy Vehicle/Monster</t>
        </is>
      </c>
      <c r="H513" s="54" t="str"/>
      <c r="I513" s="54" t="str"/>
      <c r="J513" s="54" t="str"/>
      <c r="K513" s="54" t="str"/>
      <c r="L513" s="55" t="n">
        <v>400</v>
      </c>
      <c r="M513" s="54" t="str"/>
      <c r="N513" s="54" t="inlineStr">
        <is>
          <t>Matched to Munitorum Field Manual v2.3</t>
        </is>
      </c>
      <c r="O513" s="54" t="inlineStr">
        <is>
          <t>Uploaded PDF: Munitorum Field Manual v2.3 / March 2025, p.14</t>
        </is>
      </c>
    </row>
    <row r="514">
      <c r="A514" s="54" t="inlineStr">
        <is>
          <t>Chaos Knights</t>
        </is>
      </c>
      <c r="B514" s="54" t="str"/>
      <c r="C514" s="54" t="inlineStr">
        <is>
          <t>Vehicle / Support</t>
        </is>
      </c>
      <c r="D514" s="54" t="inlineStr">
        <is>
          <t>Super-heavy Vehicle/Monster</t>
        </is>
      </c>
      <c r="E514" s="54" t="inlineStr">
        <is>
          <t>Knight Rampager</t>
        </is>
      </c>
      <c r="F514" s="54" t="inlineStr">
        <is>
          <t>1 model</t>
        </is>
      </c>
      <c r="G514" s="54" t="inlineStr">
        <is>
          <t>Super-heavy Vehicle/Monster</t>
        </is>
      </c>
      <c r="H514" s="54" t="str"/>
      <c r="I514" s="54" t="str"/>
      <c r="J514" s="54" t="str"/>
      <c r="K514" s="54" t="str"/>
      <c r="L514" s="55" t="n">
        <v>380</v>
      </c>
      <c r="M514" s="54" t="str"/>
      <c r="N514" s="54" t="inlineStr">
        <is>
          <t>Matched to Munitorum Field Manual v2.3</t>
        </is>
      </c>
      <c r="O514" s="54" t="inlineStr">
        <is>
          <t>Uploaded PDF: Munitorum Field Manual v2.3 / March 2025, p.14</t>
        </is>
      </c>
    </row>
    <row r="515">
      <c r="A515" s="54" t="inlineStr">
        <is>
          <t>Chaos Knights</t>
        </is>
      </c>
      <c r="B515" s="54" t="str"/>
      <c r="C515" s="54" t="inlineStr">
        <is>
          <t>Vehicle / Support</t>
        </is>
      </c>
      <c r="D515" s="54" t="inlineStr">
        <is>
          <t>Super-heavy Vehicle/Monster</t>
        </is>
      </c>
      <c r="E515" s="54" t="inlineStr">
        <is>
          <t>Knight Tyrant</t>
        </is>
      </c>
      <c r="F515" s="54" t="inlineStr">
        <is>
          <t>1 model</t>
        </is>
      </c>
      <c r="G515" s="54" t="inlineStr">
        <is>
          <t>Super-heavy Vehicle/Monster</t>
        </is>
      </c>
      <c r="H515" s="54" t="str"/>
      <c r="I515" s="54" t="str"/>
      <c r="J515" s="54" t="str"/>
      <c r="K515" s="54" t="str"/>
      <c r="L515" s="55" t="n">
        <v>480</v>
      </c>
      <c r="M515" s="54" t="str"/>
      <c r="N515" s="54" t="inlineStr">
        <is>
          <t>Matched to Munitorum Field Manual v2.3</t>
        </is>
      </c>
      <c r="O515" s="54" t="inlineStr">
        <is>
          <t>Uploaded PDF: Munitorum Field Manual v2.3 / March 2025, p.14</t>
        </is>
      </c>
    </row>
    <row r="516">
      <c r="A516" s="54" t="inlineStr">
        <is>
          <t>Chaos Knights</t>
        </is>
      </c>
      <c r="B516" s="54" t="str"/>
      <c r="C516" s="54" t="inlineStr">
        <is>
          <t>Vehicle / Support</t>
        </is>
      </c>
      <c r="D516" s="54" t="inlineStr">
        <is>
          <t>Vehicle</t>
        </is>
      </c>
      <c r="E516" s="54" t="inlineStr">
        <is>
          <t>War Dog Brigand</t>
        </is>
      </c>
      <c r="F516" s="54" t="inlineStr">
        <is>
          <t>1 model</t>
        </is>
      </c>
      <c r="G516" s="54" t="inlineStr">
        <is>
          <t>Vehicle</t>
        </is>
      </c>
      <c r="H516" s="54" t="str"/>
      <c r="I516" s="54" t="str"/>
      <c r="J516" s="54" t="str"/>
      <c r="K516" s="54" t="str"/>
      <c r="L516" s="55" t="n">
        <v>165</v>
      </c>
      <c r="M516" s="54" t="str"/>
      <c r="N516" s="54" t="inlineStr">
        <is>
          <t>Matched to Munitorum Field Manual v2.3</t>
        </is>
      </c>
      <c r="O516" s="54" t="inlineStr">
        <is>
          <t>Uploaded PDF: Munitorum Field Manual v2.3 / March 2025, p.14</t>
        </is>
      </c>
    </row>
    <row r="517">
      <c r="A517" s="54" t="inlineStr">
        <is>
          <t>Chaos Knights</t>
        </is>
      </c>
      <c r="B517" s="54" t="str"/>
      <c r="C517" s="54" t="inlineStr">
        <is>
          <t>Vehicle / Support</t>
        </is>
      </c>
      <c r="D517" s="54" t="inlineStr">
        <is>
          <t>Vehicle</t>
        </is>
      </c>
      <c r="E517" s="54" t="inlineStr">
        <is>
          <t>War Dog Executioner</t>
        </is>
      </c>
      <c r="F517" s="54" t="inlineStr">
        <is>
          <t>1 model</t>
        </is>
      </c>
      <c r="G517" s="54" t="inlineStr">
        <is>
          <t>Vehicle</t>
        </is>
      </c>
      <c r="H517" s="54" t="str"/>
      <c r="I517" s="54" t="str"/>
      <c r="J517" s="54" t="str"/>
      <c r="K517" s="54" t="str"/>
      <c r="L517" s="55" t="n">
        <v>130</v>
      </c>
      <c r="M517" s="54" t="str"/>
      <c r="N517" s="54" t="inlineStr">
        <is>
          <t>Matched to Munitorum Field Manual v2.3</t>
        </is>
      </c>
      <c r="O517" s="54" t="inlineStr">
        <is>
          <t>Uploaded PDF: Munitorum Field Manual v2.3 / March 2025, p.14</t>
        </is>
      </c>
    </row>
    <row r="518">
      <c r="A518" s="54" t="inlineStr">
        <is>
          <t>Chaos Knights</t>
        </is>
      </c>
      <c r="B518" s="54" t="str"/>
      <c r="C518" s="54" t="inlineStr">
        <is>
          <t>Vehicle / Support</t>
        </is>
      </c>
      <c r="D518" s="54" t="inlineStr">
        <is>
          <t>Vehicle</t>
        </is>
      </c>
      <c r="E518" s="54" t="inlineStr">
        <is>
          <t>War Dog Huntsman</t>
        </is>
      </c>
      <c r="F518" s="54" t="inlineStr">
        <is>
          <t>1 model</t>
        </is>
      </c>
      <c r="G518" s="54" t="inlineStr">
        <is>
          <t>Vehicle</t>
        </is>
      </c>
      <c r="H518" s="54" t="str"/>
      <c r="I518" s="54" t="str"/>
      <c r="J518" s="54" t="str"/>
      <c r="K518" s="54" t="str"/>
      <c r="L518" s="55" t="n">
        <v>140</v>
      </c>
      <c r="M518" s="54" t="str"/>
      <c r="N518" s="54" t="inlineStr">
        <is>
          <t>Matched to Munitorum Field Manual v2.3</t>
        </is>
      </c>
      <c r="O518" s="54" t="inlineStr">
        <is>
          <t>Uploaded PDF: Munitorum Field Manual v2.3 / March 2025, p.14</t>
        </is>
      </c>
    </row>
    <row r="519">
      <c r="A519" s="54" t="inlineStr">
        <is>
          <t>Chaos Knights</t>
        </is>
      </c>
      <c r="B519" s="54" t="str"/>
      <c r="C519" s="54" t="inlineStr">
        <is>
          <t>Vehicle / Support</t>
        </is>
      </c>
      <c r="D519" s="54" t="inlineStr">
        <is>
          <t>Vehicle</t>
        </is>
      </c>
      <c r="E519" s="54" t="inlineStr">
        <is>
          <t>War Dog Karnivore</t>
        </is>
      </c>
      <c r="F519" s="54" t="inlineStr">
        <is>
          <t>1 model</t>
        </is>
      </c>
      <c r="G519" s="54" t="inlineStr">
        <is>
          <t>Vehicle</t>
        </is>
      </c>
      <c r="H519" s="54" t="str"/>
      <c r="I519" s="54" t="str"/>
      <c r="J519" s="54" t="str"/>
      <c r="K519" s="54" t="str"/>
      <c r="L519" s="55" t="n">
        <v>140</v>
      </c>
      <c r="M519" s="54" t="str"/>
      <c r="N519" s="54" t="inlineStr">
        <is>
          <t>Matched to Munitorum Field Manual v2.3</t>
        </is>
      </c>
      <c r="O519" s="54" t="inlineStr">
        <is>
          <t>Uploaded PDF: Munitorum Field Manual v2.3 / March 2025, p.14</t>
        </is>
      </c>
    </row>
    <row r="520">
      <c r="A520" s="54" t="inlineStr">
        <is>
          <t>Chaos Knights</t>
        </is>
      </c>
      <c r="B520" s="54" t="str"/>
      <c r="C520" s="54" t="inlineStr">
        <is>
          <t>Vehicle / Support</t>
        </is>
      </c>
      <c r="D520" s="54" t="inlineStr">
        <is>
          <t>Walker / Battlesuit</t>
        </is>
      </c>
      <c r="E520" s="54" t="inlineStr">
        <is>
          <t>War Dog Stalker</t>
        </is>
      </c>
      <c r="F520" s="54" t="inlineStr">
        <is>
          <t>1 model</t>
        </is>
      </c>
      <c r="G520" s="54" t="inlineStr">
        <is>
          <t>Walker / Battlesuit</t>
        </is>
      </c>
      <c r="H520" s="54" t="str"/>
      <c r="I520" s="54" t="str"/>
      <c r="J520" s="54" t="str"/>
      <c r="K520" s="54" t="str"/>
      <c r="L520" s="55" t="n">
        <v>140</v>
      </c>
      <c r="M520" s="54" t="str"/>
      <c r="N520" s="54" t="inlineStr">
        <is>
          <t>Matched to Munitorum Field Manual v2.3</t>
        </is>
      </c>
      <c r="O520" s="54" t="inlineStr">
        <is>
          <t>Uploaded PDF: Munitorum Field Manual v2.3 / March 2025, p.14</t>
        </is>
      </c>
    </row>
    <row r="521">
      <c r="A521" s="54" t="inlineStr">
        <is>
          <t>Aeldari</t>
        </is>
      </c>
      <c r="B521" s="54" t="str"/>
      <c r="C521" s="54" t="inlineStr">
        <is>
          <t>Infantry / Other</t>
        </is>
      </c>
      <c r="D521" s="54" t="inlineStr">
        <is>
          <t>Infantry</t>
        </is>
      </c>
      <c r="E521" s="54" t="inlineStr">
        <is>
          <t>Asurmen</t>
        </is>
      </c>
      <c r="F521" s="54" t="inlineStr">
        <is>
          <t>1 model</t>
        </is>
      </c>
      <c r="G521" s="54" t="inlineStr">
        <is>
          <t>Infantry</t>
        </is>
      </c>
      <c r="H521" s="54" t="str"/>
      <c r="I521" s="54" t="str"/>
      <c r="J521" s="54" t="str"/>
      <c r="K521" s="54" t="str"/>
      <c r="L521" s="55" t="n">
        <v>135</v>
      </c>
      <c r="M521" s="54" t="str"/>
      <c r="N521" s="54" t="inlineStr">
        <is>
          <t>Matched to Munitorum Field Manual v2.3</t>
        </is>
      </c>
      <c r="O521" s="54" t="inlineStr">
        <is>
          <t>Uploaded PDF: Munitorum Field Manual v2.3 / March 2025, p.6</t>
        </is>
      </c>
    </row>
    <row r="522">
      <c r="A522" s="54" t="inlineStr">
        <is>
          <t>Aeldari</t>
        </is>
      </c>
      <c r="B522" s="54" t="str"/>
      <c r="C522" s="54" t="inlineStr">
        <is>
          <t>Character</t>
        </is>
      </c>
      <c r="D522" s="54" t="inlineStr">
        <is>
          <t>Character</t>
        </is>
      </c>
      <c r="E522" s="54" t="inlineStr">
        <is>
          <t>Autarch</t>
        </is>
      </c>
      <c r="F522" s="54" t="inlineStr">
        <is>
          <t>1 model</t>
        </is>
      </c>
      <c r="G522" s="54" t="inlineStr">
        <is>
          <t>Character</t>
        </is>
      </c>
      <c r="H522" s="54" t="str"/>
      <c r="I522" s="54" t="str"/>
      <c r="J522" s="54" t="str"/>
      <c r="K522" s="54" t="str"/>
      <c r="L522" s="55" t="n">
        <v>75</v>
      </c>
      <c r="M522" s="54" t="str"/>
      <c r="N522" s="54" t="inlineStr">
        <is>
          <t>Matched to Munitorum Field Manual v2.3</t>
        </is>
      </c>
      <c r="O522" s="54" t="inlineStr">
        <is>
          <t>Uploaded PDF: Munitorum Field Manual v2.3 / March 2025, p.6</t>
        </is>
      </c>
    </row>
    <row r="523">
      <c r="A523" s="54" t="inlineStr">
        <is>
          <t>Aeldari</t>
        </is>
      </c>
      <c r="B523" s="54" t="str"/>
      <c r="C523" s="54" t="inlineStr">
        <is>
          <t>Character</t>
        </is>
      </c>
      <c r="D523" s="54" t="inlineStr">
        <is>
          <t>Character</t>
        </is>
      </c>
      <c r="E523" s="54" t="inlineStr">
        <is>
          <t>Autarch Skyrunner</t>
        </is>
      </c>
      <c r="F523" s="54" t="n"/>
      <c r="G523" s="54" t="inlineStr">
        <is>
          <t>Character</t>
        </is>
      </c>
      <c r="H523" s="54" t="str"/>
      <c r="I523" s="54" t="str"/>
      <c r="J523" s="54" t="str"/>
      <c r="K523" s="54" t="str"/>
      <c r="L523" s="55" t="n"/>
      <c r="M523" s="54" t="inlineStr">
        <is>
          <t>No matching points entry found in uploaded PDF; verify unit name/current support.</t>
        </is>
      </c>
      <c r="N523" s="54" t="inlineStr">
        <is>
          <t>Not found in uploaded PDF</t>
        </is>
      </c>
      <c r="O523" s="54" t="inlineStr">
        <is>
          <t>Uploaded PDF: Munitorum Field Manual v2.3 / March 2025</t>
        </is>
      </c>
    </row>
    <row r="524">
      <c r="A524" s="54" t="inlineStr">
        <is>
          <t>Aeldari</t>
        </is>
      </c>
      <c r="B524" s="54" t="str"/>
      <c r="C524" s="54" t="inlineStr">
        <is>
          <t>Character</t>
        </is>
      </c>
      <c r="D524" s="54" t="inlineStr">
        <is>
          <t>Character</t>
        </is>
      </c>
      <c r="E524" s="54" t="inlineStr">
        <is>
          <t>Autarch Wayleaper</t>
        </is>
      </c>
      <c r="F524" s="54" t="inlineStr">
        <is>
          <t>1 model</t>
        </is>
      </c>
      <c r="G524" s="54" t="inlineStr">
        <is>
          <t>Character</t>
        </is>
      </c>
      <c r="H524" s="54" t="str"/>
      <c r="I524" s="54" t="str"/>
      <c r="J524" s="54" t="str"/>
      <c r="K524" s="54" t="str"/>
      <c r="L524" s="55" t="n">
        <v>80</v>
      </c>
      <c r="M524" s="54" t="str"/>
      <c r="N524" s="54" t="inlineStr">
        <is>
          <t>Matched to Munitorum Field Manual v2.3</t>
        </is>
      </c>
      <c r="O524" s="54" t="inlineStr">
        <is>
          <t>Uploaded PDF: Munitorum Field Manual v2.3 / March 2025, p.6</t>
        </is>
      </c>
    </row>
    <row r="525">
      <c r="A525" s="54" t="inlineStr">
        <is>
          <t>Aeldari</t>
        </is>
      </c>
      <c r="B525" s="54" t="str"/>
      <c r="C525" s="54" t="inlineStr">
        <is>
          <t>Monster / Heavy Support</t>
        </is>
      </c>
      <c r="D525" s="54" t="inlineStr">
        <is>
          <t>Monster</t>
        </is>
      </c>
      <c r="E525" s="54" t="inlineStr">
        <is>
          <t>Avatar of Khaine</t>
        </is>
      </c>
      <c r="F525" s="54" t="inlineStr">
        <is>
          <t>1 model</t>
        </is>
      </c>
      <c r="G525" s="54" t="inlineStr">
        <is>
          <t>Monster, Epic Hero</t>
        </is>
      </c>
      <c r="H525" s="54" t="str"/>
      <c r="I525" s="54" t="str"/>
      <c r="J525" s="54" t="str"/>
      <c r="K525" s="54" t="str"/>
      <c r="L525" s="55" t="n">
        <v>300</v>
      </c>
      <c r="M525" s="54" t="str"/>
      <c r="N525" s="54" t="inlineStr">
        <is>
          <t>Matched to Munitorum Field Manual v2.3</t>
        </is>
      </c>
      <c r="O525" s="54" t="inlineStr">
        <is>
          <t>Uploaded PDF: Munitorum Field Manual v2.3 / March 2025, p.6</t>
        </is>
      </c>
    </row>
    <row r="526">
      <c r="A526" s="54" t="inlineStr">
        <is>
          <t>Aeldari</t>
        </is>
      </c>
      <c r="B526" s="54" t="str"/>
      <c r="C526" s="54" t="inlineStr">
        <is>
          <t>Infantry / Other</t>
        </is>
      </c>
      <c r="D526" s="54" t="inlineStr">
        <is>
          <t>Infantry</t>
        </is>
      </c>
      <c r="E526" s="54" t="inlineStr">
        <is>
          <t>Baharroth</t>
        </is>
      </c>
      <c r="F526" s="54" t="inlineStr">
        <is>
          <t>1 model</t>
        </is>
      </c>
      <c r="G526" s="54" t="inlineStr">
        <is>
          <t>Infantry</t>
        </is>
      </c>
      <c r="H526" s="54" t="str"/>
      <c r="I526" s="54" t="str"/>
      <c r="J526" s="54" t="str"/>
      <c r="K526" s="54" t="str"/>
      <c r="L526" s="55" t="n">
        <v>115</v>
      </c>
      <c r="M526" s="54" t="str"/>
      <c r="N526" s="54" t="inlineStr">
        <is>
          <t>Matched to Munitorum Field Manual v2.3</t>
        </is>
      </c>
      <c r="O526" s="54" t="inlineStr">
        <is>
          <t>Uploaded PDF: Munitorum Field Manual v2.3 / March 2025, p.6</t>
        </is>
      </c>
    </row>
    <row r="527">
      <c r="A527" s="54" t="inlineStr">
        <is>
          <t>Aeldari</t>
        </is>
      </c>
      <c r="B527" s="54" t="str"/>
      <c r="C527" s="54" t="inlineStr">
        <is>
          <t>Infantry / Other</t>
        </is>
      </c>
      <c r="D527" s="54" t="inlineStr">
        <is>
          <t>Mounted / Bike</t>
        </is>
      </c>
      <c r="E527" s="54" t="inlineStr">
        <is>
          <t>Corsair Voidreavers</t>
        </is>
      </c>
      <c r="F527" s="54" t="inlineStr">
        <is>
          <t>5 models</t>
        </is>
      </c>
      <c r="G527" s="54" t="inlineStr">
        <is>
          <t>Mounted / Bike</t>
        </is>
      </c>
      <c r="H527" s="54" t="str"/>
      <c r="I527" s="54" t="str"/>
      <c r="J527" s="54" t="str"/>
      <c r="K527" s="54" t="str"/>
      <c r="L527" s="55" t="n">
        <v>60</v>
      </c>
      <c r="M527" s="54" t="inlineStr">
        <is>
          <t>Points options: 5 models = 60 pts; 10 models = 120 pts</t>
        </is>
      </c>
      <c r="N527" s="54" t="inlineStr">
        <is>
          <t>Matched to Munitorum Field Manual v2.3</t>
        </is>
      </c>
      <c r="O527" s="54" t="inlineStr">
        <is>
          <t>Uploaded PDF: Munitorum Field Manual v2.3 / March 2025, p.6</t>
        </is>
      </c>
    </row>
    <row r="528">
      <c r="A528" s="54" t="inlineStr">
        <is>
          <t>Aeldari</t>
        </is>
      </c>
      <c r="B528" s="54" t="str"/>
      <c r="C528" s="54" t="inlineStr">
        <is>
          <t>Infantry / Other</t>
        </is>
      </c>
      <c r="D528" s="54" t="inlineStr">
        <is>
          <t>Infantry</t>
        </is>
      </c>
      <c r="E528" s="54" t="inlineStr">
        <is>
          <t>Corsair Voidscarred</t>
        </is>
      </c>
      <c r="F528" s="54" t="inlineStr">
        <is>
          <t>5 models</t>
        </is>
      </c>
      <c r="G528" s="54" t="inlineStr">
        <is>
          <t>Infantry</t>
        </is>
      </c>
      <c r="H528" s="54" t="str"/>
      <c r="I528" s="54" t="str"/>
      <c r="J528" s="54" t="str"/>
      <c r="K528" s="54" t="str"/>
      <c r="L528" s="55" t="n">
        <v>80</v>
      </c>
      <c r="M528" s="54" t="inlineStr">
        <is>
          <t>Points options: 5 models = 80 pts; 10 models = 160 pts</t>
        </is>
      </c>
      <c r="N528" s="54" t="inlineStr">
        <is>
          <t>Matched to Munitorum Field Manual v2.3</t>
        </is>
      </c>
      <c r="O528" s="54" t="inlineStr">
        <is>
          <t>Uploaded PDF: Munitorum Field Manual v2.3 / March 2025, p.6</t>
        </is>
      </c>
    </row>
    <row r="529">
      <c r="A529" s="54" t="inlineStr">
        <is>
          <t>Aeldari</t>
        </is>
      </c>
      <c r="B529" s="54" t="str"/>
      <c r="C529" s="54" t="inlineStr">
        <is>
          <t>Vehicle / Support</t>
        </is>
      </c>
      <c r="D529" s="54" t="inlineStr">
        <is>
          <t>Aircraft</t>
        </is>
      </c>
      <c r="E529" s="54" t="inlineStr">
        <is>
          <t>Crimson Hunter</t>
        </is>
      </c>
      <c r="F529" s="54" t="inlineStr">
        <is>
          <t>1 model</t>
        </is>
      </c>
      <c r="G529" s="54" t="inlineStr">
        <is>
          <t>Aircraft</t>
        </is>
      </c>
      <c r="H529" s="54" t="str"/>
      <c r="I529" s="54" t="str"/>
      <c r="J529" s="54" t="str"/>
      <c r="K529" s="54" t="str"/>
      <c r="L529" s="55" t="n">
        <v>160</v>
      </c>
      <c r="M529" s="54" t="str"/>
      <c r="N529" s="54" t="inlineStr">
        <is>
          <t>Matched to Munitorum Field Manual v2.3</t>
        </is>
      </c>
      <c r="O529" s="54" t="inlineStr">
        <is>
          <t>Uploaded PDF: Munitorum Field Manual v2.3 / March 2025, p.6</t>
        </is>
      </c>
    </row>
    <row r="530">
      <c r="A530" s="54" t="inlineStr">
        <is>
          <t>Aeldari</t>
        </is>
      </c>
      <c r="B530" s="54" t="str"/>
      <c r="C530" s="54" t="inlineStr">
        <is>
          <t>Infantry / Other</t>
        </is>
      </c>
      <c r="D530" s="54" t="inlineStr">
        <is>
          <t>Infantry</t>
        </is>
      </c>
      <c r="E530" s="54" t="inlineStr">
        <is>
          <t>Dark Reapers</t>
        </is>
      </c>
      <c r="F530" s="54" t="inlineStr">
        <is>
          <t>5 models</t>
        </is>
      </c>
      <c r="G530" s="54" t="inlineStr">
        <is>
          <t>Infantry</t>
        </is>
      </c>
      <c r="H530" s="54" t="str"/>
      <c r="I530" s="54" t="str"/>
      <c r="J530" s="54" t="str"/>
      <c r="K530" s="54" t="str"/>
      <c r="L530" s="55" t="n">
        <v>90</v>
      </c>
      <c r="M530" s="54" t="inlineStr">
        <is>
          <t>Points options: 5 models = 90 pts; 10 models = 195 pts</t>
        </is>
      </c>
      <c r="N530" s="54" t="inlineStr">
        <is>
          <t>Matched to Munitorum Field Manual v2.3</t>
        </is>
      </c>
      <c r="O530" s="54" t="inlineStr">
        <is>
          <t>Uploaded PDF: Munitorum Field Manual v2.3 / March 2025, p.6</t>
        </is>
      </c>
    </row>
    <row r="531">
      <c r="A531" s="54" t="inlineStr">
        <is>
          <t>Aeldari</t>
        </is>
      </c>
      <c r="B531" s="54" t="str"/>
      <c r="C531" s="54" t="inlineStr">
        <is>
          <t>Infantry / Other</t>
        </is>
      </c>
      <c r="D531" s="54" t="inlineStr">
        <is>
          <t>Infantry</t>
        </is>
      </c>
      <c r="E531" s="54" t="inlineStr">
        <is>
          <t>Dire Avengers</t>
        </is>
      </c>
      <c r="F531" s="54" t="inlineStr">
        <is>
          <t>5 models</t>
        </is>
      </c>
      <c r="G531" s="54" t="inlineStr">
        <is>
          <t>Infantry</t>
        </is>
      </c>
      <c r="H531" s="54" t="str"/>
      <c r="I531" s="54" t="str"/>
      <c r="J531" s="54" t="str"/>
      <c r="K531" s="54" t="str"/>
      <c r="L531" s="55" t="n">
        <v>80</v>
      </c>
      <c r="M531" s="54" t="inlineStr">
        <is>
          <t>Points options: 5 models = 80 pts; 10 models = 160 pts</t>
        </is>
      </c>
      <c r="N531" s="54" t="inlineStr">
        <is>
          <t>Matched to Munitorum Field Manual v2.3</t>
        </is>
      </c>
      <c r="O531" s="54" t="inlineStr">
        <is>
          <t>Uploaded PDF: Munitorum Field Manual v2.3 / March 2025, p.6</t>
        </is>
      </c>
    </row>
    <row r="532">
      <c r="A532" s="54" t="inlineStr">
        <is>
          <t>Aeldari</t>
        </is>
      </c>
      <c r="B532" s="54" t="str"/>
      <c r="C532" s="54" t="inlineStr">
        <is>
          <t>Infantry / Other</t>
        </is>
      </c>
      <c r="D532" s="54" t="inlineStr">
        <is>
          <t>Infantry</t>
        </is>
      </c>
      <c r="E532" s="54" t="inlineStr">
        <is>
          <t>Eldrad Ulthran</t>
        </is>
      </c>
      <c r="F532" s="54" t="inlineStr">
        <is>
          <t>1 model</t>
        </is>
      </c>
      <c r="G532" s="54" t="inlineStr">
        <is>
          <t>Infantry</t>
        </is>
      </c>
      <c r="H532" s="54" t="str"/>
      <c r="I532" s="54" t="str"/>
      <c r="J532" s="54" t="str"/>
      <c r="K532" s="54" t="str"/>
      <c r="L532" s="55" t="n">
        <v>110</v>
      </c>
      <c r="M532" s="54" t="str"/>
      <c r="N532" s="54" t="inlineStr">
        <is>
          <t>Matched to Munitorum Field Manual v2.3</t>
        </is>
      </c>
      <c r="O532" s="54" t="inlineStr">
        <is>
          <t>Uploaded PDF: Munitorum Field Manual v2.3 / March 2025, p.6</t>
        </is>
      </c>
    </row>
    <row r="533">
      <c r="A533" s="54" t="inlineStr">
        <is>
          <t>Aeldari</t>
        </is>
      </c>
      <c r="B533" s="54" t="str"/>
      <c r="C533" s="54" t="inlineStr">
        <is>
          <t>Vehicle / Support</t>
        </is>
      </c>
      <c r="D533" s="54" t="inlineStr">
        <is>
          <t>Vehicle</t>
        </is>
      </c>
      <c r="E533" s="54" t="inlineStr">
        <is>
          <t>Falcon</t>
        </is>
      </c>
      <c r="F533" s="54" t="inlineStr">
        <is>
          <t>1 model</t>
        </is>
      </c>
      <c r="G533" s="54" t="inlineStr">
        <is>
          <t>Vehicle</t>
        </is>
      </c>
      <c r="H533" s="54" t="str"/>
      <c r="I533" s="54" t="str"/>
      <c r="J533" s="54" t="str"/>
      <c r="K533" s="54" t="str"/>
      <c r="L533" s="55" t="n">
        <v>130</v>
      </c>
      <c r="M533" s="54" t="str"/>
      <c r="N533" s="54" t="inlineStr">
        <is>
          <t>Matched to Munitorum Field Manual v2.3</t>
        </is>
      </c>
      <c r="O533" s="54" t="inlineStr">
        <is>
          <t>Uploaded PDF: Munitorum Field Manual v2.3 / March 2025, p.6</t>
        </is>
      </c>
    </row>
    <row r="534">
      <c r="A534" s="54" t="inlineStr">
        <is>
          <t>Aeldari</t>
        </is>
      </c>
      <c r="B534" s="54" t="str"/>
      <c r="C534" s="54" t="inlineStr">
        <is>
          <t>Character</t>
        </is>
      </c>
      <c r="D534" s="54" t="inlineStr">
        <is>
          <t>Character</t>
        </is>
      </c>
      <c r="E534" s="54" t="inlineStr">
        <is>
          <t>Farseer</t>
        </is>
      </c>
      <c r="F534" s="54" t="inlineStr">
        <is>
          <t>1 model</t>
        </is>
      </c>
      <c r="G534" s="54" t="inlineStr">
        <is>
          <t>Character, Psyker</t>
        </is>
      </c>
      <c r="H534" s="54" t="str"/>
      <c r="I534" s="54" t="str"/>
      <c r="J534" s="54" t="str"/>
      <c r="K534" s="54" t="str"/>
      <c r="L534" s="55" t="n">
        <v>70</v>
      </c>
      <c r="M534" s="54" t="str"/>
      <c r="N534" s="54" t="inlineStr">
        <is>
          <t>Matched to Munitorum Field Manual v2.3</t>
        </is>
      </c>
      <c r="O534" s="54" t="inlineStr">
        <is>
          <t>Uploaded PDF: Munitorum Field Manual v2.3 / March 2025, p.6</t>
        </is>
      </c>
    </row>
    <row r="535">
      <c r="A535" s="54" t="inlineStr">
        <is>
          <t>Aeldari</t>
        </is>
      </c>
      <c r="B535" s="54" t="str"/>
      <c r="C535" s="54" t="inlineStr">
        <is>
          <t>Character</t>
        </is>
      </c>
      <c r="D535" s="54" t="inlineStr">
        <is>
          <t>Character</t>
        </is>
      </c>
      <c r="E535" s="54" t="inlineStr">
        <is>
          <t>Farseer Skyrunner</t>
        </is>
      </c>
      <c r="F535" s="54" t="inlineStr">
        <is>
          <t>1 model</t>
        </is>
      </c>
      <c r="G535" s="54" t="inlineStr">
        <is>
          <t>Character, Psyker</t>
        </is>
      </c>
      <c r="H535" s="54" t="str"/>
      <c r="I535" s="54" t="str"/>
      <c r="J535" s="54" t="str"/>
      <c r="K535" s="54" t="str"/>
      <c r="L535" s="55" t="n">
        <v>80</v>
      </c>
      <c r="M535" s="54" t="str"/>
      <c r="N535" s="54" t="inlineStr">
        <is>
          <t>Matched to Munitorum Field Manual v2.3</t>
        </is>
      </c>
      <c r="O535" s="54" t="inlineStr">
        <is>
          <t>Uploaded PDF: Munitorum Field Manual v2.3 / March 2025, p.6</t>
        </is>
      </c>
    </row>
    <row r="536">
      <c r="A536" s="54" t="inlineStr">
        <is>
          <t>Aeldari</t>
        </is>
      </c>
      <c r="B536" s="54" t="str"/>
      <c r="C536" s="54" t="inlineStr">
        <is>
          <t>Infantry / Other</t>
        </is>
      </c>
      <c r="D536" s="54" t="inlineStr">
        <is>
          <t>Infantry</t>
        </is>
      </c>
      <c r="E536" s="54" t="inlineStr">
        <is>
          <t>Fire Dragons</t>
        </is>
      </c>
      <c r="F536" s="54" t="inlineStr">
        <is>
          <t>5 models</t>
        </is>
      </c>
      <c r="G536" s="54" t="inlineStr">
        <is>
          <t>Infantry</t>
        </is>
      </c>
      <c r="H536" s="54" t="str"/>
      <c r="I536" s="54" t="str"/>
      <c r="J536" s="54" t="str"/>
      <c r="K536" s="54" t="str"/>
      <c r="L536" s="55" t="n">
        <v>110</v>
      </c>
      <c r="M536" s="54" t="inlineStr">
        <is>
          <t>Points options: 5 models = 110 pts; 10 models = 220 pts</t>
        </is>
      </c>
      <c r="N536" s="54" t="inlineStr">
        <is>
          <t>Matched to Munitorum Field Manual v2.3</t>
        </is>
      </c>
      <c r="O536" s="54" t="inlineStr">
        <is>
          <t>Uploaded PDF: Munitorum Field Manual v2.3 / March 2025, p.6</t>
        </is>
      </c>
    </row>
    <row r="537">
      <c r="A537" s="54" t="inlineStr">
        <is>
          <t>Aeldari</t>
        </is>
      </c>
      <c r="B537" s="54" t="str"/>
      <c r="C537" s="54" t="inlineStr">
        <is>
          <t>Vehicle / Support</t>
        </is>
      </c>
      <c r="D537" s="54" t="inlineStr">
        <is>
          <t>Vehicle</t>
        </is>
      </c>
      <c r="E537" s="54" t="inlineStr">
        <is>
          <t>Fire Prism</t>
        </is>
      </c>
      <c r="F537" s="54" t="inlineStr">
        <is>
          <t>1 model</t>
        </is>
      </c>
      <c r="G537" s="54" t="inlineStr">
        <is>
          <t>Vehicle</t>
        </is>
      </c>
      <c r="H537" s="54" t="str"/>
      <c r="I537" s="54" t="str"/>
      <c r="J537" s="54" t="str"/>
      <c r="K537" s="54" t="str"/>
      <c r="L537" s="55" t="n">
        <v>160</v>
      </c>
      <c r="M537" s="54" t="str"/>
      <c r="N537" s="54" t="inlineStr">
        <is>
          <t>Matched to Munitorum Field Manual v2.3</t>
        </is>
      </c>
      <c r="O537" s="54" t="inlineStr">
        <is>
          <t>Uploaded PDF: Munitorum Field Manual v2.3 / March 2025, p.6</t>
        </is>
      </c>
    </row>
    <row r="538">
      <c r="A538" s="54" t="inlineStr">
        <is>
          <t>Aeldari</t>
        </is>
      </c>
      <c r="B538" s="54" t="str"/>
      <c r="C538" s="54" t="inlineStr">
        <is>
          <t>Infantry / Other</t>
        </is>
      </c>
      <c r="D538" s="54" t="inlineStr">
        <is>
          <t>Infantry</t>
        </is>
      </c>
      <c r="E538" s="54" t="inlineStr">
        <is>
          <t>Fuegan</t>
        </is>
      </c>
      <c r="F538" s="54" t="inlineStr">
        <is>
          <t>1 model</t>
        </is>
      </c>
      <c r="G538" s="54" t="inlineStr">
        <is>
          <t>Infantry</t>
        </is>
      </c>
      <c r="H538" s="54" t="str"/>
      <c r="I538" s="54" t="str"/>
      <c r="J538" s="54" t="str"/>
      <c r="K538" s="54" t="str"/>
      <c r="L538" s="55" t="n">
        <v>120</v>
      </c>
      <c r="M538" s="54" t="str"/>
      <c r="N538" s="54" t="inlineStr">
        <is>
          <t>Matched to Munitorum Field Manual v2.3</t>
        </is>
      </c>
      <c r="O538" s="54" t="inlineStr">
        <is>
          <t>Uploaded PDF: Munitorum Field Manual v2.3 / March 2025, p.6</t>
        </is>
      </c>
    </row>
    <row r="539">
      <c r="A539" s="54" t="inlineStr">
        <is>
          <t>Aeldari</t>
        </is>
      </c>
      <c r="B539" s="54" t="str"/>
      <c r="C539" s="54" t="inlineStr">
        <is>
          <t>Battleline / Core</t>
        </is>
      </c>
      <c r="D539" s="54" t="inlineStr">
        <is>
          <t>Infantry</t>
        </is>
      </c>
      <c r="E539" s="54" t="inlineStr">
        <is>
          <t>Guardian Defenders</t>
        </is>
      </c>
      <c r="F539" s="54" t="inlineStr">
        <is>
          <t>11 models</t>
        </is>
      </c>
      <c r="G539" s="54" t="inlineStr">
        <is>
          <t>Infantry</t>
        </is>
      </c>
      <c r="H539" s="54" t="str"/>
      <c r="I539" s="54" t="str"/>
      <c r="J539" s="54" t="str"/>
      <c r="K539" s="54" t="str"/>
      <c r="L539" s="55" t="n">
        <v>100</v>
      </c>
      <c r="M539" s="54" t="str"/>
      <c r="N539" s="54" t="inlineStr">
        <is>
          <t>Matched to Munitorum Field Manual v2.3</t>
        </is>
      </c>
      <c r="O539" s="54" t="inlineStr">
        <is>
          <t>Uploaded PDF: Munitorum Field Manual v2.3 / March 2025, p.6</t>
        </is>
      </c>
    </row>
    <row r="540">
      <c r="A540" s="54" t="inlineStr">
        <is>
          <t>Aeldari</t>
        </is>
      </c>
      <c r="B540" s="54" t="str"/>
      <c r="C540" s="54" t="inlineStr">
        <is>
          <t>Vehicle / Support</t>
        </is>
      </c>
      <c r="D540" s="54" t="inlineStr">
        <is>
          <t>Aircraft</t>
        </is>
      </c>
      <c r="E540" s="54" t="inlineStr">
        <is>
          <t>Hemlock Wraithfighter</t>
        </is>
      </c>
      <c r="F540" s="54" t="inlineStr">
        <is>
          <t>1 model</t>
        </is>
      </c>
      <c r="G540" s="54" t="inlineStr">
        <is>
          <t>Aircraft</t>
        </is>
      </c>
      <c r="H540" s="54" t="str"/>
      <c r="I540" s="54" t="str"/>
      <c r="J540" s="54" t="str"/>
      <c r="K540" s="54" t="str"/>
      <c r="L540" s="55" t="n">
        <v>155</v>
      </c>
      <c r="M540" s="54" t="str"/>
      <c r="N540" s="54" t="inlineStr">
        <is>
          <t>Matched to Munitorum Field Manual v2.3</t>
        </is>
      </c>
      <c r="O540" s="54" t="inlineStr">
        <is>
          <t>Uploaded PDF: Munitorum Field Manual v2.3 / March 2025, p.6</t>
        </is>
      </c>
    </row>
    <row r="541">
      <c r="A541" s="54" t="inlineStr">
        <is>
          <t>Aeldari</t>
        </is>
      </c>
      <c r="B541" s="54" t="str"/>
      <c r="C541" s="54" t="inlineStr">
        <is>
          <t>Infantry / Other</t>
        </is>
      </c>
      <c r="D541" s="54" t="inlineStr">
        <is>
          <t>Infantry</t>
        </is>
      </c>
      <c r="E541" s="54" t="inlineStr">
        <is>
          <t>Howling Banshees</t>
        </is>
      </c>
      <c r="F541" s="54" t="inlineStr">
        <is>
          <t>5 models</t>
        </is>
      </c>
      <c r="G541" s="54" t="inlineStr">
        <is>
          <t>Infantry</t>
        </is>
      </c>
      <c r="H541" s="54" t="str"/>
      <c r="I541" s="54" t="str"/>
      <c r="J541" s="54" t="str"/>
      <c r="K541" s="54" t="str"/>
      <c r="L541" s="55" t="n">
        <v>90</v>
      </c>
      <c r="M541" s="54" t="inlineStr">
        <is>
          <t>Points options: 5 models = 90 pts; 10 models = 180 pts</t>
        </is>
      </c>
      <c r="N541" s="54" t="inlineStr">
        <is>
          <t>Matched to Munitorum Field Manual v2.3</t>
        </is>
      </c>
      <c r="O541" s="54" t="inlineStr">
        <is>
          <t>Uploaded PDF: Munitorum Field Manual v2.3 / March 2025, p.6</t>
        </is>
      </c>
    </row>
    <row r="542">
      <c r="A542" s="54" t="inlineStr">
        <is>
          <t>Aeldari</t>
        </is>
      </c>
      <c r="B542" s="54" t="str"/>
      <c r="C542" s="54" t="inlineStr">
        <is>
          <t>Infantry / Other</t>
        </is>
      </c>
      <c r="D542" s="54" t="inlineStr">
        <is>
          <t>Infantry</t>
        </is>
      </c>
      <c r="E542" s="54" t="inlineStr">
        <is>
          <t>Illic Nightspear</t>
        </is>
      </c>
      <c r="F542" s="54" t="n"/>
      <c r="G542" s="54" t="inlineStr">
        <is>
          <t>Infantry</t>
        </is>
      </c>
      <c r="H542" s="54" t="str"/>
      <c r="I542" s="54" t="str"/>
      <c r="J542" s="54" t="str"/>
      <c r="K542" s="54" t="str"/>
      <c r="L542" s="55" t="n"/>
      <c r="M542" s="54" t="inlineStr">
        <is>
          <t>No matching points entry found in uploaded PDF; verify unit name/current support.</t>
        </is>
      </c>
      <c r="N542" s="54" t="inlineStr">
        <is>
          <t>Not found in uploaded PDF</t>
        </is>
      </c>
      <c r="O542" s="54" t="inlineStr">
        <is>
          <t>Uploaded PDF: Munitorum Field Manual v2.3 / March 2025</t>
        </is>
      </c>
    </row>
    <row r="543">
      <c r="A543" s="54" t="inlineStr">
        <is>
          <t>Aeldari</t>
        </is>
      </c>
      <c r="B543" s="54" t="str"/>
      <c r="C543" s="54" t="inlineStr">
        <is>
          <t>Infantry / Other</t>
        </is>
      </c>
      <c r="D543" s="54" t="inlineStr">
        <is>
          <t>Infantry</t>
        </is>
      </c>
      <c r="E543" s="54" t="inlineStr">
        <is>
          <t>Jain Zar</t>
        </is>
      </c>
      <c r="F543" s="54" t="inlineStr">
        <is>
          <t>1 model</t>
        </is>
      </c>
      <c r="G543" s="54" t="inlineStr">
        <is>
          <t>Infantry</t>
        </is>
      </c>
      <c r="H543" s="54" t="str"/>
      <c r="I543" s="54" t="str"/>
      <c r="J543" s="54" t="str"/>
      <c r="K543" s="54" t="str"/>
      <c r="L543" s="55" t="n">
        <v>105</v>
      </c>
      <c r="M543" s="54" t="str"/>
      <c r="N543" s="54" t="inlineStr">
        <is>
          <t>Matched to Munitorum Field Manual v2.3</t>
        </is>
      </c>
      <c r="O543" s="54" t="inlineStr">
        <is>
          <t>Uploaded PDF: Munitorum Field Manual v2.3 / March 2025, p.6</t>
        </is>
      </c>
    </row>
    <row r="544">
      <c r="A544" s="54" t="inlineStr">
        <is>
          <t>Aeldari</t>
        </is>
      </c>
      <c r="B544" s="54" t="str"/>
      <c r="C544" s="54" t="inlineStr">
        <is>
          <t>Infantry / Other</t>
        </is>
      </c>
      <c r="D544" s="54" t="inlineStr">
        <is>
          <t>Infantry</t>
        </is>
      </c>
      <c r="E544" s="54" t="inlineStr">
        <is>
          <t>Karandras</t>
        </is>
      </c>
      <c r="F544" s="54" t="n"/>
      <c r="G544" s="54" t="inlineStr">
        <is>
          <t>Infantry</t>
        </is>
      </c>
      <c r="H544" s="54" t="str"/>
      <c r="I544" s="54" t="str"/>
      <c r="J544" s="54" t="str"/>
      <c r="K544" s="54" t="str"/>
      <c r="L544" s="55" t="n"/>
      <c r="M544" s="54" t="inlineStr">
        <is>
          <t>No matching points entry found in uploaded PDF; verify unit name/current support.</t>
        </is>
      </c>
      <c r="N544" s="54" t="inlineStr">
        <is>
          <t>Not found in uploaded PDF</t>
        </is>
      </c>
      <c r="O544" s="54" t="inlineStr">
        <is>
          <t>Uploaded PDF: Munitorum Field Manual v2.3 / March 2025</t>
        </is>
      </c>
    </row>
    <row r="545">
      <c r="A545" s="54" t="inlineStr">
        <is>
          <t>Aeldari</t>
        </is>
      </c>
      <c r="B545" s="54" t="str"/>
      <c r="C545" s="54" t="inlineStr">
        <is>
          <t>Infantry / Other</t>
        </is>
      </c>
      <c r="D545" s="54" t="inlineStr">
        <is>
          <t>Infantry</t>
        </is>
      </c>
      <c r="E545" s="54" t="inlineStr">
        <is>
          <t>Maugan Ra</t>
        </is>
      </c>
      <c r="F545" s="54" t="inlineStr">
        <is>
          <t>1 model</t>
        </is>
      </c>
      <c r="G545" s="54" t="inlineStr">
        <is>
          <t>Infantry</t>
        </is>
      </c>
      <c r="H545" s="54" t="str"/>
      <c r="I545" s="54" t="str"/>
      <c r="J545" s="54" t="str"/>
      <c r="K545" s="54" t="str"/>
      <c r="L545" s="55" t="n">
        <v>100</v>
      </c>
      <c r="M545" s="54" t="str"/>
      <c r="N545" s="54" t="inlineStr">
        <is>
          <t>Matched to Munitorum Field Manual v2.3</t>
        </is>
      </c>
      <c r="O545" s="54" t="inlineStr">
        <is>
          <t>Uploaded PDF: Munitorum Field Manual v2.3 / March 2025, p.6</t>
        </is>
      </c>
    </row>
    <row r="546">
      <c r="A546" s="54" t="inlineStr">
        <is>
          <t>Aeldari</t>
        </is>
      </c>
      <c r="B546" s="54" t="str"/>
      <c r="C546" s="54" t="inlineStr">
        <is>
          <t>Vehicle / Support</t>
        </is>
      </c>
      <c r="D546" s="54" t="inlineStr">
        <is>
          <t>Vehicle</t>
        </is>
      </c>
      <c r="E546" s="54" t="inlineStr">
        <is>
          <t>Night Spinner</t>
        </is>
      </c>
      <c r="F546" s="54" t="inlineStr">
        <is>
          <t>1 model</t>
        </is>
      </c>
      <c r="G546" s="54" t="inlineStr">
        <is>
          <t>Vehicle</t>
        </is>
      </c>
      <c r="H546" s="54" t="str"/>
      <c r="I546" s="54" t="str"/>
      <c r="J546" s="54" t="str"/>
      <c r="K546" s="54" t="str"/>
      <c r="L546" s="55" t="n">
        <v>190</v>
      </c>
      <c r="M546" s="54" t="str"/>
      <c r="N546" s="54" t="inlineStr">
        <is>
          <t>Matched to Munitorum Field Manual v2.3</t>
        </is>
      </c>
      <c r="O546" s="54" t="inlineStr">
        <is>
          <t>Uploaded PDF: Munitorum Field Manual v2.3 / March 2025, p.6</t>
        </is>
      </c>
    </row>
    <row r="547">
      <c r="A547" s="54" t="inlineStr">
        <is>
          <t>Aeldari</t>
        </is>
      </c>
      <c r="B547" s="54" t="str"/>
      <c r="C547" s="54" t="inlineStr">
        <is>
          <t>Infantry / Other</t>
        </is>
      </c>
      <c r="D547" s="54" t="inlineStr">
        <is>
          <t>Infantry</t>
        </is>
      </c>
      <c r="E547" s="54" t="inlineStr">
        <is>
          <t>Prince Yriel</t>
        </is>
      </c>
      <c r="F547" s="54" t="n"/>
      <c r="G547" s="54" t="inlineStr">
        <is>
          <t>Infantry</t>
        </is>
      </c>
      <c r="H547" s="54" t="str"/>
      <c r="I547" s="54" t="str"/>
      <c r="J547" s="54" t="str"/>
      <c r="K547" s="54" t="str"/>
      <c r="L547" s="55" t="n"/>
      <c r="M547" s="54" t="inlineStr">
        <is>
          <t>No matching points entry found in uploaded PDF; verify unit name/current support.</t>
        </is>
      </c>
      <c r="N547" s="54" t="inlineStr">
        <is>
          <t>Not found in uploaded PDF</t>
        </is>
      </c>
      <c r="O547" s="54" t="inlineStr">
        <is>
          <t>Uploaded PDF: Munitorum Field Manual v2.3 / March 2025</t>
        </is>
      </c>
    </row>
    <row r="548">
      <c r="A548" s="54" t="inlineStr">
        <is>
          <t>Aeldari</t>
        </is>
      </c>
      <c r="B548" s="54" t="str"/>
      <c r="C548" s="54" t="inlineStr">
        <is>
          <t>Infantry / Other</t>
        </is>
      </c>
      <c r="D548" s="54" t="inlineStr">
        <is>
          <t>Infantry</t>
        </is>
      </c>
      <c r="E548" s="54" t="inlineStr">
        <is>
          <t>Rangers</t>
        </is>
      </c>
      <c r="F548" s="54" t="inlineStr">
        <is>
          <t>5 models</t>
        </is>
      </c>
      <c r="G548" s="54" t="inlineStr">
        <is>
          <t>Infantry</t>
        </is>
      </c>
      <c r="H548" s="54" t="str"/>
      <c r="I548" s="54" t="str"/>
      <c r="J548" s="54" t="str"/>
      <c r="K548" s="54" t="str"/>
      <c r="L548" s="55" t="n">
        <v>55</v>
      </c>
      <c r="M548" s="54" t="inlineStr">
        <is>
          <t>Points options: 5 models = 55 pts; 10 models = 110 pts</t>
        </is>
      </c>
      <c r="N548" s="54" t="inlineStr">
        <is>
          <t>Matched to Munitorum Field Manual v2.3</t>
        </is>
      </c>
      <c r="O548" s="54" t="inlineStr">
        <is>
          <t>Uploaded PDF: Munitorum Field Manual v2.3 / March 2025, p.6</t>
        </is>
      </c>
    </row>
    <row r="549">
      <c r="A549" s="54" t="inlineStr">
        <is>
          <t>Aeldari</t>
        </is>
      </c>
      <c r="B549" s="54" t="str"/>
      <c r="C549" s="54" t="inlineStr">
        <is>
          <t>Infantry / Other</t>
        </is>
      </c>
      <c r="D549" s="54" t="inlineStr">
        <is>
          <t>Infantry</t>
        </is>
      </c>
      <c r="E549" s="54" t="inlineStr">
        <is>
          <t>Shining Spears</t>
        </is>
      </c>
      <c r="F549" s="54" t="inlineStr">
        <is>
          <t>3 models</t>
        </is>
      </c>
      <c r="G549" s="54" t="inlineStr">
        <is>
          <t>Infantry</t>
        </is>
      </c>
      <c r="H549" s="54" t="str"/>
      <c r="I549" s="54" t="str"/>
      <c r="J549" s="54" t="str"/>
      <c r="K549" s="54" t="str"/>
      <c r="L549" s="55" t="n">
        <v>120</v>
      </c>
      <c r="M549" s="54" t="inlineStr">
        <is>
          <t>Points options: 3 models = 120 pts; 6 models = 240 pts</t>
        </is>
      </c>
      <c r="N549" s="54" t="inlineStr">
        <is>
          <t>Matched to Munitorum Field Manual v2.3</t>
        </is>
      </c>
      <c r="O549" s="54" t="inlineStr">
        <is>
          <t>Uploaded PDF: Munitorum Field Manual v2.3 / March 2025, p.6</t>
        </is>
      </c>
    </row>
    <row r="550">
      <c r="A550" s="54" t="inlineStr">
        <is>
          <t>Aeldari</t>
        </is>
      </c>
      <c r="B550" s="54" t="str"/>
      <c r="C550" s="54" t="inlineStr">
        <is>
          <t>Infantry / Other</t>
        </is>
      </c>
      <c r="D550" s="54" t="inlineStr">
        <is>
          <t>Infantry</t>
        </is>
      </c>
      <c r="E550" s="54" t="inlineStr">
        <is>
          <t>Shroud Runners</t>
        </is>
      </c>
      <c r="F550" s="54" t="inlineStr">
        <is>
          <t>3 models</t>
        </is>
      </c>
      <c r="G550" s="54" t="inlineStr">
        <is>
          <t>Infantry</t>
        </is>
      </c>
      <c r="H550" s="54" t="str"/>
      <c r="I550" s="54" t="str"/>
      <c r="J550" s="54" t="str"/>
      <c r="K550" s="54" t="str"/>
      <c r="L550" s="55" t="n">
        <v>80</v>
      </c>
      <c r="M550" s="54" t="inlineStr">
        <is>
          <t>Points options: 3 models = 80 pts; 6 models = 160 pts</t>
        </is>
      </c>
      <c r="N550" s="54" t="inlineStr">
        <is>
          <t>Matched to Munitorum Field Manual v2.3</t>
        </is>
      </c>
      <c r="O550" s="54" t="inlineStr">
        <is>
          <t>Uploaded PDF: Munitorum Field Manual v2.3 / March 2025, p.6</t>
        </is>
      </c>
    </row>
    <row r="551">
      <c r="A551" s="54" t="inlineStr">
        <is>
          <t>Aeldari</t>
        </is>
      </c>
      <c r="B551" s="54" t="str"/>
      <c r="C551" s="54" t="inlineStr">
        <is>
          <t>Infantry / Other</t>
        </is>
      </c>
      <c r="D551" s="54" t="inlineStr">
        <is>
          <t>Infantry</t>
        </is>
      </c>
      <c r="E551" s="54" t="inlineStr">
        <is>
          <t>Spiritseer</t>
        </is>
      </c>
      <c r="F551" s="54" t="inlineStr">
        <is>
          <t>1 model</t>
        </is>
      </c>
      <c r="G551" s="54" t="inlineStr">
        <is>
          <t>Infantry</t>
        </is>
      </c>
      <c r="H551" s="54" t="str"/>
      <c r="I551" s="54" t="str"/>
      <c r="J551" s="54" t="str"/>
      <c r="K551" s="54" t="str"/>
      <c r="L551" s="55" t="n">
        <v>65</v>
      </c>
      <c r="M551" s="54" t="str"/>
      <c r="N551" s="54" t="inlineStr">
        <is>
          <t>Matched to Munitorum Field Manual v2.3</t>
        </is>
      </c>
      <c r="O551" s="54" t="inlineStr">
        <is>
          <t>Uploaded PDF: Munitorum Field Manual v2.3 / March 2025, p.6</t>
        </is>
      </c>
    </row>
    <row r="552">
      <c r="A552" s="54" t="inlineStr">
        <is>
          <t>Aeldari</t>
        </is>
      </c>
      <c r="B552" s="54" t="str"/>
      <c r="C552" s="54" t="inlineStr">
        <is>
          <t>Infantry / Other</t>
        </is>
      </c>
      <c r="D552" s="54" t="inlineStr">
        <is>
          <t>Infantry</t>
        </is>
      </c>
      <c r="E552" s="54" t="inlineStr">
        <is>
          <t>Striking Scorpions</t>
        </is>
      </c>
      <c r="F552" s="54" t="inlineStr">
        <is>
          <t>5 models</t>
        </is>
      </c>
      <c r="G552" s="54" t="inlineStr">
        <is>
          <t>Infantry</t>
        </is>
      </c>
      <c r="H552" s="54" t="str"/>
      <c r="I552" s="54" t="str"/>
      <c r="J552" s="54" t="str"/>
      <c r="K552" s="54" t="str"/>
      <c r="L552" s="55" t="n">
        <v>85</v>
      </c>
      <c r="M552" s="54" t="inlineStr">
        <is>
          <t>Points options: 5 models = 85 pts; 10 models = 150 pts</t>
        </is>
      </c>
      <c r="N552" s="54" t="inlineStr">
        <is>
          <t>Matched to Munitorum Field Manual v2.3</t>
        </is>
      </c>
      <c r="O552" s="54" t="inlineStr">
        <is>
          <t>Uploaded PDF: Munitorum Field Manual v2.3 / March 2025, p.6</t>
        </is>
      </c>
    </row>
    <row r="553">
      <c r="A553" s="54" t="inlineStr">
        <is>
          <t>Aeldari</t>
        </is>
      </c>
      <c r="B553" s="54" t="str"/>
      <c r="C553" s="54" t="inlineStr">
        <is>
          <t>Infantry / Other</t>
        </is>
      </c>
      <c r="D553" s="54" t="inlineStr">
        <is>
          <t>Infantry</t>
        </is>
      </c>
      <c r="E553" s="54" t="inlineStr">
        <is>
          <t>Swooping Hawks</t>
        </is>
      </c>
      <c r="F553" s="54" t="inlineStr">
        <is>
          <t>5 models</t>
        </is>
      </c>
      <c r="G553" s="54" t="inlineStr">
        <is>
          <t>Infantry</t>
        </is>
      </c>
      <c r="H553" s="54" t="str"/>
      <c r="I553" s="54" t="str"/>
      <c r="J553" s="54" t="str"/>
      <c r="K553" s="54" t="str"/>
      <c r="L553" s="55" t="n">
        <v>85</v>
      </c>
      <c r="M553" s="54" t="inlineStr">
        <is>
          <t>Points options: 5 models = 85 pts; 10 models = 170 pts</t>
        </is>
      </c>
      <c r="N553" s="54" t="inlineStr">
        <is>
          <t>Matched to Munitorum Field Manual v2.3</t>
        </is>
      </c>
      <c r="O553" s="54" t="inlineStr">
        <is>
          <t>Uploaded PDF: Munitorum Field Manual v2.3 / March 2025, p.6</t>
        </is>
      </c>
    </row>
    <row r="554">
      <c r="A554" s="54" t="inlineStr">
        <is>
          <t>Aeldari</t>
        </is>
      </c>
      <c r="B554" s="54" t="str"/>
      <c r="C554" s="54" t="inlineStr">
        <is>
          <t>Infantry / Other</t>
        </is>
      </c>
      <c r="D554" s="54" t="inlineStr">
        <is>
          <t>Infantry</t>
        </is>
      </c>
      <c r="E554" s="54" t="inlineStr">
        <is>
          <t>Support Weapons</t>
        </is>
      </c>
      <c r="F554" s="54" t="inlineStr">
        <is>
          <t>1 model</t>
        </is>
      </c>
      <c r="G554" s="54" t="inlineStr">
        <is>
          <t>Infantry</t>
        </is>
      </c>
      <c r="H554" s="54" t="str"/>
      <c r="I554" s="54" t="str"/>
      <c r="J554" s="54" t="str"/>
      <c r="K554" s="54" t="str"/>
      <c r="L554" s="55" t="n">
        <v>125</v>
      </c>
      <c r="M554" s="54" t="str"/>
      <c r="N554" s="54" t="inlineStr">
        <is>
          <t>Matched to Munitorum Field Manual v2.3</t>
        </is>
      </c>
      <c r="O554" s="54" t="inlineStr">
        <is>
          <t>Uploaded PDF: Munitorum Field Manual v2.3 / March 2025, p.6</t>
        </is>
      </c>
    </row>
    <row r="555">
      <c r="A555" s="54" t="inlineStr">
        <is>
          <t>Aeldari</t>
        </is>
      </c>
      <c r="B555" s="54" t="str"/>
      <c r="C555" s="54" t="inlineStr">
        <is>
          <t>Infantry / Other</t>
        </is>
      </c>
      <c r="D555" s="54" t="inlineStr">
        <is>
          <t>Infantry</t>
        </is>
      </c>
      <c r="E555" s="54" t="inlineStr">
        <is>
          <t>The Visarch</t>
        </is>
      </c>
      <c r="F555" s="54" t="inlineStr">
        <is>
          <t>1 model</t>
        </is>
      </c>
      <c r="G555" s="54" t="inlineStr">
        <is>
          <t>Infantry</t>
        </is>
      </c>
      <c r="H555" s="54" t="str"/>
      <c r="I555" s="54" t="str"/>
      <c r="J555" s="54" t="str"/>
      <c r="K555" s="54" t="str"/>
      <c r="L555" s="55" t="n">
        <v>90</v>
      </c>
      <c r="M555" s="54" t="str"/>
      <c r="N555" s="54" t="inlineStr">
        <is>
          <t>Matched to Munitorum Field Manual v2.3</t>
        </is>
      </c>
      <c r="O555" s="54" t="inlineStr">
        <is>
          <t>Uploaded PDF: Munitorum Field Manual v2.3 / March 2025, p.7</t>
        </is>
      </c>
    </row>
    <row r="556">
      <c r="A556" s="54" t="inlineStr">
        <is>
          <t>Aeldari</t>
        </is>
      </c>
      <c r="B556" s="54" t="str"/>
      <c r="C556" s="54" t="inlineStr">
        <is>
          <t>Monster / Heavy Support</t>
        </is>
      </c>
      <c r="D556" s="54" t="inlineStr">
        <is>
          <t>Monster</t>
        </is>
      </c>
      <c r="E556" s="54" t="inlineStr">
        <is>
          <t>The Yncarne</t>
        </is>
      </c>
      <c r="F556" s="54" t="inlineStr">
        <is>
          <t>1 model</t>
        </is>
      </c>
      <c r="G556" s="54" t="inlineStr">
        <is>
          <t>Monster, Epic Hero</t>
        </is>
      </c>
      <c r="H556" s="54" t="str"/>
      <c r="I556" s="54" t="str"/>
      <c r="J556" s="54" t="str"/>
      <c r="K556" s="54" t="str"/>
      <c r="L556" s="55" t="n">
        <v>250</v>
      </c>
      <c r="M556" s="54" t="str"/>
      <c r="N556" s="54" t="inlineStr">
        <is>
          <t>Matched to Munitorum Field Manual v2.3</t>
        </is>
      </c>
      <c r="O556" s="54" t="inlineStr">
        <is>
          <t>Uploaded PDF: Munitorum Field Manual v2.3 / March 2025, p.7</t>
        </is>
      </c>
    </row>
    <row r="557">
      <c r="A557" s="54" t="inlineStr">
        <is>
          <t>Aeldari</t>
        </is>
      </c>
      <c r="B557" s="54" t="str"/>
      <c r="C557" s="54" t="inlineStr">
        <is>
          <t>Infantry / Other</t>
        </is>
      </c>
      <c r="D557" s="54" t="inlineStr">
        <is>
          <t>Infantry</t>
        </is>
      </c>
      <c r="E557" s="54" t="inlineStr">
        <is>
          <t>Troupe</t>
        </is>
      </c>
      <c r="F557" s="54" t="inlineStr">
        <is>
          <t>5 models</t>
        </is>
      </c>
      <c r="G557" s="54" t="inlineStr">
        <is>
          <t>Infantry</t>
        </is>
      </c>
      <c r="H557" s="54" t="str"/>
      <c r="I557" s="54" t="str"/>
      <c r="J557" s="54" t="str"/>
      <c r="K557" s="54" t="str"/>
      <c r="L557" s="55" t="n">
        <v>85</v>
      </c>
      <c r="M557" s="54" t="inlineStr">
        <is>
          <t>Points options: 5 models = 85 pts; 6 models = 100 pts; 11 models = 190 pts; 12 models = 205 pts</t>
        </is>
      </c>
      <c r="N557" s="54" t="inlineStr">
        <is>
          <t>Matched to Munitorum Field Manual v2.3</t>
        </is>
      </c>
      <c r="O557" s="54" t="inlineStr">
        <is>
          <t>Uploaded PDF: Munitorum Field Manual v2.3 / March 2025, p.6</t>
        </is>
      </c>
    </row>
    <row r="558">
      <c r="A558" s="54" t="inlineStr">
        <is>
          <t>Aeldari</t>
        </is>
      </c>
      <c r="B558" s="54" t="str"/>
      <c r="C558" s="54" t="inlineStr">
        <is>
          <t>Vehicle / Support</t>
        </is>
      </c>
      <c r="D558" s="54" t="inlineStr">
        <is>
          <t>Vehicle</t>
        </is>
      </c>
      <c r="E558" s="54" t="inlineStr">
        <is>
          <t>Vypers</t>
        </is>
      </c>
      <c r="F558" s="54" t="inlineStr">
        <is>
          <t>1 model</t>
        </is>
      </c>
      <c r="G558" s="54" t="inlineStr">
        <is>
          <t>Vehicle</t>
        </is>
      </c>
      <c r="H558" s="54" t="str"/>
      <c r="I558" s="54" t="str"/>
      <c r="J558" s="54" t="str"/>
      <c r="K558" s="54" t="str"/>
      <c r="L558" s="55" t="n">
        <v>65</v>
      </c>
      <c r="M558" s="54" t="inlineStr">
        <is>
          <t>Points options: 1 model = 65 pts; 2 models = 130 pts</t>
        </is>
      </c>
      <c r="N558" s="54" t="inlineStr">
        <is>
          <t>Matched to Munitorum Field Manual v2.3</t>
        </is>
      </c>
      <c r="O558" s="54" t="inlineStr">
        <is>
          <t>Uploaded PDF: Munitorum Field Manual v2.3 / March 2025, p.6</t>
        </is>
      </c>
    </row>
    <row r="559">
      <c r="A559" s="54" t="inlineStr">
        <is>
          <t>Aeldari</t>
        </is>
      </c>
      <c r="B559" s="54" t="str"/>
      <c r="C559" s="54" t="inlineStr">
        <is>
          <t>Vehicle / Support</t>
        </is>
      </c>
      <c r="D559" s="54" t="inlineStr">
        <is>
          <t>Vehicle</t>
        </is>
      </c>
      <c r="E559" s="54" t="inlineStr">
        <is>
          <t>War Walker</t>
        </is>
      </c>
      <c r="F559" s="54" t="inlineStr">
        <is>
          <t>1 model</t>
        </is>
      </c>
      <c r="G559" s="54" t="inlineStr">
        <is>
          <t>Vehicle</t>
        </is>
      </c>
      <c r="H559" s="54" t="str"/>
      <c r="I559" s="54" t="str"/>
      <c r="J559" s="54" t="str"/>
      <c r="K559" s="54" t="str"/>
      <c r="L559" s="55" t="n">
        <v>95</v>
      </c>
      <c r="M559" s="54" t="inlineStr">
        <is>
          <t>Points options: 1 model = 95 pts; 2 models = 190 pts</t>
        </is>
      </c>
      <c r="N559" s="54" t="inlineStr">
        <is>
          <t>Matched to Munitorum Field Manual v2.3</t>
        </is>
      </c>
      <c r="O559" s="54" t="inlineStr">
        <is>
          <t>Uploaded PDF: Munitorum Field Manual v2.3 / March 2025, p.6</t>
        </is>
      </c>
    </row>
    <row r="560">
      <c r="A560" s="54" t="inlineStr">
        <is>
          <t>Aeldari</t>
        </is>
      </c>
      <c r="B560" s="54" t="str"/>
      <c r="C560" s="54" t="inlineStr">
        <is>
          <t>Character</t>
        </is>
      </c>
      <c r="D560" s="54" t="inlineStr">
        <is>
          <t>Character</t>
        </is>
      </c>
      <c r="E560" s="54" t="inlineStr">
        <is>
          <t>Warlock</t>
        </is>
      </c>
      <c r="F560" s="54" t="inlineStr">
        <is>
          <t>1 model</t>
        </is>
      </c>
      <c r="G560" s="54" t="inlineStr">
        <is>
          <t>Character, Psyker</t>
        </is>
      </c>
      <c r="H560" s="54" t="str"/>
      <c r="I560" s="54" t="str"/>
      <c r="J560" s="54" t="str"/>
      <c r="K560" s="54" t="str"/>
      <c r="L560" s="55" t="n">
        <v>45</v>
      </c>
      <c r="M560" s="54" t="str"/>
      <c r="N560" s="54" t="inlineStr">
        <is>
          <t>Matched to Munitorum Field Manual v2.3</t>
        </is>
      </c>
      <c r="O560" s="54" t="inlineStr">
        <is>
          <t>Uploaded PDF: Munitorum Field Manual v2.3 / March 2025, p.6</t>
        </is>
      </c>
    </row>
    <row r="561">
      <c r="A561" s="54" t="inlineStr">
        <is>
          <t>Aeldari</t>
        </is>
      </c>
      <c r="B561" s="54" t="str"/>
      <c r="C561" s="54" t="inlineStr">
        <is>
          <t>Character</t>
        </is>
      </c>
      <c r="D561" s="54" t="inlineStr">
        <is>
          <t>Character</t>
        </is>
      </c>
      <c r="E561" s="54" t="inlineStr">
        <is>
          <t>Warlock Conclave</t>
        </is>
      </c>
      <c r="F561" s="54" t="inlineStr">
        <is>
          <t>2 models</t>
        </is>
      </c>
      <c r="G561" s="54" t="inlineStr">
        <is>
          <t>Character, Psyker</t>
        </is>
      </c>
      <c r="H561" s="54" t="str"/>
      <c r="I561" s="54" t="str"/>
      <c r="J561" s="54" t="str"/>
      <c r="K561" s="54" t="str"/>
      <c r="L561" s="55" t="n">
        <v>55</v>
      </c>
      <c r="M561" s="54" t="inlineStr">
        <is>
          <t>Points options: 2 models = 55 pts; 4 models = 110 pts</t>
        </is>
      </c>
      <c r="N561" s="54" t="inlineStr">
        <is>
          <t>Matched to Munitorum Field Manual v2.3</t>
        </is>
      </c>
      <c r="O561" s="54" t="inlineStr">
        <is>
          <t>Uploaded PDF: Munitorum Field Manual v2.3 / March 2025, p.6</t>
        </is>
      </c>
    </row>
    <row r="562">
      <c r="A562" s="54" t="inlineStr">
        <is>
          <t>Aeldari</t>
        </is>
      </c>
      <c r="B562" s="54" t="str"/>
      <c r="C562" s="54" t="inlineStr">
        <is>
          <t>Character</t>
        </is>
      </c>
      <c r="D562" s="54" t="inlineStr">
        <is>
          <t>Character</t>
        </is>
      </c>
      <c r="E562" s="54" t="inlineStr">
        <is>
          <t>Warlock Skyrunner</t>
        </is>
      </c>
      <c r="F562" s="54" t="inlineStr">
        <is>
          <t>1 model</t>
        </is>
      </c>
      <c r="G562" s="54" t="inlineStr">
        <is>
          <t>Character, Psyker</t>
        </is>
      </c>
      <c r="H562" s="54" t="str"/>
      <c r="I562" s="54" t="str"/>
      <c r="J562" s="54" t="str"/>
      <c r="K562" s="54" t="str"/>
      <c r="L562" s="55" t="n">
        <v>45</v>
      </c>
      <c r="M562" s="54" t="inlineStr">
        <is>
          <t>Points options: 1 model = 45 pts; 2 models = 90 pts</t>
        </is>
      </c>
      <c r="N562" s="54" t="inlineStr">
        <is>
          <t>Matched to Munitorum Field Manual v2.3</t>
        </is>
      </c>
      <c r="O562" s="54" t="inlineStr">
        <is>
          <t>Uploaded PDF: Munitorum Field Manual v2.3 / March 2025, p.6</t>
        </is>
      </c>
    </row>
    <row r="563">
      <c r="A563" s="54" t="inlineStr">
        <is>
          <t>Aeldari</t>
        </is>
      </c>
      <c r="B563" s="54" t="str"/>
      <c r="C563" s="54" t="inlineStr">
        <is>
          <t>Character</t>
        </is>
      </c>
      <c r="D563" s="54" t="inlineStr">
        <is>
          <t>Character</t>
        </is>
      </c>
      <c r="E563" s="54" t="inlineStr">
        <is>
          <t>Warlock Skyrunner Conclave</t>
        </is>
      </c>
      <c r="F563" s="54" t="inlineStr">
        <is>
          <t>1 model</t>
        </is>
      </c>
      <c r="G563" s="54" t="inlineStr">
        <is>
          <t>Character, Psyker</t>
        </is>
      </c>
      <c r="H563" s="54" t="str"/>
      <c r="I563" s="54" t="str"/>
      <c r="J563" s="54" t="str"/>
      <c r="K563" s="54" t="str"/>
      <c r="L563" s="55" t="n">
        <v>45</v>
      </c>
      <c r="M563" s="54" t="inlineStr">
        <is>
          <t>Points options: 1 model = 45 pts; 2 models = 90 pts</t>
        </is>
      </c>
      <c r="N563" s="54" t="inlineStr">
        <is>
          <t>Matched to Munitorum Field Manual v2.3</t>
        </is>
      </c>
      <c r="O563" s="54" t="inlineStr">
        <is>
          <t>Uploaded PDF: Munitorum Field Manual v2.3 / March 2025, p.6</t>
        </is>
      </c>
    </row>
    <row r="564">
      <c r="A564" s="54" t="inlineStr">
        <is>
          <t>Aeldari</t>
        </is>
      </c>
      <c r="B564" s="54" t="str"/>
      <c r="C564" s="54" t="inlineStr">
        <is>
          <t>Infantry / Other</t>
        </is>
      </c>
      <c r="D564" s="54" t="inlineStr">
        <is>
          <t>Infantry</t>
        </is>
      </c>
      <c r="E564" s="54" t="inlineStr">
        <is>
          <t>Warp Spiders</t>
        </is>
      </c>
      <c r="F564" s="54" t="inlineStr">
        <is>
          <t>5 models</t>
        </is>
      </c>
      <c r="G564" s="54" t="inlineStr">
        <is>
          <t>Infantry</t>
        </is>
      </c>
      <c r="H564" s="54" t="str"/>
      <c r="I564" s="54" t="str"/>
      <c r="J564" s="54" t="str"/>
      <c r="K564" s="54" t="str"/>
      <c r="L564" s="55" t="n">
        <v>95</v>
      </c>
      <c r="M564" s="54" t="inlineStr">
        <is>
          <t>Points options: 5 models = 95 pts; 10 models = 190 pts</t>
        </is>
      </c>
      <c r="N564" s="54" t="inlineStr">
        <is>
          <t>Matched to Munitorum Field Manual v2.3</t>
        </is>
      </c>
      <c r="O564" s="54" t="inlineStr">
        <is>
          <t>Uploaded PDF: Munitorum Field Manual v2.3 / March 2025, p.6</t>
        </is>
      </c>
    </row>
    <row r="565">
      <c r="A565" s="54" t="inlineStr">
        <is>
          <t>Aeldari</t>
        </is>
      </c>
      <c r="B565" s="54" t="str"/>
      <c r="C565" s="54" t="inlineStr">
        <is>
          <t>Vehicle / Support</t>
        </is>
      </c>
      <c r="D565" s="54" t="inlineStr">
        <is>
          <t>Vehicle</t>
        </is>
      </c>
      <c r="E565" s="54" t="inlineStr">
        <is>
          <t>Wave Serpent</t>
        </is>
      </c>
      <c r="F565" s="54" t="inlineStr">
        <is>
          <t>1 model</t>
        </is>
      </c>
      <c r="G565" s="54" t="inlineStr">
        <is>
          <t>Vehicle</t>
        </is>
      </c>
      <c r="H565" s="54" t="str"/>
      <c r="I565" s="54" t="str"/>
      <c r="J565" s="54" t="str"/>
      <c r="K565" s="54" t="str"/>
      <c r="L565" s="55" t="n">
        <v>125</v>
      </c>
      <c r="M565" s="54" t="str"/>
      <c r="N565" s="54" t="inlineStr">
        <is>
          <t>Matched to Munitorum Field Manual v2.3</t>
        </is>
      </c>
      <c r="O565" s="54" t="inlineStr">
        <is>
          <t>Uploaded PDF: Munitorum Field Manual v2.3 / March 2025, p.6</t>
        </is>
      </c>
    </row>
    <row r="566">
      <c r="A566" s="54" t="inlineStr">
        <is>
          <t>Aeldari</t>
        </is>
      </c>
      <c r="B566" s="54" t="str"/>
      <c r="C566" s="54" t="inlineStr">
        <is>
          <t>Infantry / Other</t>
        </is>
      </c>
      <c r="D566" s="54" t="inlineStr">
        <is>
          <t>Infantry</t>
        </is>
      </c>
      <c r="E566" s="54" t="inlineStr">
        <is>
          <t>Webway Gate</t>
        </is>
      </c>
      <c r="F566" s="54" t="n"/>
      <c r="G566" s="54" t="inlineStr">
        <is>
          <t>Infantry</t>
        </is>
      </c>
      <c r="H566" s="54" t="str"/>
      <c r="I566" s="54" t="str"/>
      <c r="J566" s="54" t="str"/>
      <c r="K566" s="54" t="str"/>
      <c r="L566" s="55" t="n"/>
      <c r="M566" s="54" t="inlineStr">
        <is>
          <t>No matching points entry found in uploaded PDF; verify unit name/current support.</t>
        </is>
      </c>
      <c r="N566" s="54" t="inlineStr">
        <is>
          <t>Not found in uploaded PDF</t>
        </is>
      </c>
      <c r="O566" s="54" t="inlineStr">
        <is>
          <t>Uploaded PDF: Munitorum Field Manual v2.3 / March 2025</t>
        </is>
      </c>
    </row>
    <row r="567">
      <c r="A567" s="54" t="inlineStr">
        <is>
          <t>Aeldari</t>
        </is>
      </c>
      <c r="B567" s="54" t="str"/>
      <c r="C567" s="54" t="inlineStr">
        <is>
          <t>Infantry / Other</t>
        </is>
      </c>
      <c r="D567" s="54" t="inlineStr">
        <is>
          <t>Infantry</t>
        </is>
      </c>
      <c r="E567" s="54" t="inlineStr">
        <is>
          <t>Windriders</t>
        </is>
      </c>
      <c r="F567" s="54" t="inlineStr">
        <is>
          <t>3 models</t>
        </is>
      </c>
      <c r="G567" s="54" t="inlineStr">
        <is>
          <t>Infantry</t>
        </is>
      </c>
      <c r="H567" s="54" t="str"/>
      <c r="I567" s="54" t="str"/>
      <c r="J567" s="54" t="str"/>
      <c r="K567" s="54" t="str"/>
      <c r="L567" s="55" t="n">
        <v>80</v>
      </c>
      <c r="M567" s="54" t="inlineStr">
        <is>
          <t>Points options: 3 models = 80 pts; 6 models = 160 pts</t>
        </is>
      </c>
      <c r="N567" s="54" t="inlineStr">
        <is>
          <t>Matched to Munitorum Field Manual v2.3</t>
        </is>
      </c>
      <c r="O567" s="54" t="inlineStr">
        <is>
          <t>Uploaded PDF: Munitorum Field Manual v2.3 / March 2025, p.6</t>
        </is>
      </c>
    </row>
    <row r="568">
      <c r="A568" s="54" t="inlineStr">
        <is>
          <t>Aeldari</t>
        </is>
      </c>
      <c r="B568" s="54" t="str"/>
      <c r="C568" s="54" t="inlineStr">
        <is>
          <t>Infantry / Other</t>
        </is>
      </c>
      <c r="D568" s="54" t="inlineStr">
        <is>
          <t>Infantry</t>
        </is>
      </c>
      <c r="E568" s="54" t="inlineStr">
        <is>
          <t>Wraithblades</t>
        </is>
      </c>
      <c r="F568" s="54" t="inlineStr">
        <is>
          <t>5 models</t>
        </is>
      </c>
      <c r="G568" s="54" t="inlineStr">
        <is>
          <t>Infantry</t>
        </is>
      </c>
      <c r="H568" s="54" t="str"/>
      <c r="I568" s="54" t="str"/>
      <c r="J568" s="54" t="str"/>
      <c r="K568" s="54" t="str"/>
      <c r="L568" s="55" t="n">
        <v>170</v>
      </c>
      <c r="M568" s="54" t="str"/>
      <c r="N568" s="54" t="inlineStr">
        <is>
          <t>Matched to Munitorum Field Manual v2.3</t>
        </is>
      </c>
      <c r="O568" s="54" t="inlineStr">
        <is>
          <t>Uploaded PDF: Munitorum Field Manual v2.3 / March 2025, p.6</t>
        </is>
      </c>
    </row>
    <row r="569">
      <c r="A569" s="54" t="inlineStr">
        <is>
          <t>Aeldari</t>
        </is>
      </c>
      <c r="B569" s="54" t="str"/>
      <c r="C569" s="54" t="inlineStr">
        <is>
          <t>Infantry / Other</t>
        </is>
      </c>
      <c r="D569" s="54" t="inlineStr">
        <is>
          <t>Infantry</t>
        </is>
      </c>
      <c r="E569" s="54" t="inlineStr">
        <is>
          <t>Wraithguard</t>
        </is>
      </c>
      <c r="F569" s="54" t="inlineStr">
        <is>
          <t>5 models</t>
        </is>
      </c>
      <c r="G569" s="54" t="inlineStr">
        <is>
          <t>Infantry</t>
        </is>
      </c>
      <c r="H569" s="54" t="str"/>
      <c r="I569" s="54" t="str"/>
      <c r="J569" s="54" t="str"/>
      <c r="K569" s="54" t="str"/>
      <c r="L569" s="55" t="n">
        <v>170</v>
      </c>
      <c r="M569" s="54" t="str"/>
      <c r="N569" s="54" t="inlineStr">
        <is>
          <t>Matched to Munitorum Field Manual v2.3</t>
        </is>
      </c>
      <c r="O569" s="54" t="inlineStr">
        <is>
          <t>Uploaded PDF: Munitorum Field Manual v2.3 / March 2025, p.6</t>
        </is>
      </c>
    </row>
    <row r="570">
      <c r="A570" s="54" t="inlineStr">
        <is>
          <t>Aeldari</t>
        </is>
      </c>
      <c r="B570" s="54" t="str"/>
      <c r="C570" s="54" t="inlineStr">
        <is>
          <t>Vehicle / Support</t>
        </is>
      </c>
      <c r="D570" s="54" t="inlineStr">
        <is>
          <t>Super-heavy Vehicle/Monster</t>
        </is>
      </c>
      <c r="E570" s="54" t="inlineStr">
        <is>
          <t>Wraithknight</t>
        </is>
      </c>
      <c r="F570" s="54" t="inlineStr">
        <is>
          <t>1 model</t>
        </is>
      </c>
      <c r="G570" s="54" t="inlineStr">
        <is>
          <t>Super-heavy Vehicle/Monster</t>
        </is>
      </c>
      <c r="H570" s="54" t="str"/>
      <c r="I570" s="54" t="str"/>
      <c r="J570" s="54" t="str"/>
      <c r="K570" s="54" t="str"/>
      <c r="L570" s="55" t="n">
        <v>435</v>
      </c>
      <c r="M570" s="54" t="str"/>
      <c r="N570" s="54" t="inlineStr">
        <is>
          <t>Matched to Munitorum Field Manual v2.3</t>
        </is>
      </c>
      <c r="O570" s="54" t="inlineStr">
        <is>
          <t>Uploaded PDF: Munitorum Field Manual v2.3 / March 2025, p.6</t>
        </is>
      </c>
    </row>
    <row r="571">
      <c r="A571" s="54" t="inlineStr">
        <is>
          <t>Aeldari</t>
        </is>
      </c>
      <c r="B571" s="54" t="str"/>
      <c r="C571" s="54" t="inlineStr">
        <is>
          <t>Character</t>
        </is>
      </c>
      <c r="D571" s="54" t="inlineStr">
        <is>
          <t>Character</t>
        </is>
      </c>
      <c r="E571" s="54" t="inlineStr">
        <is>
          <t>Wraithlord</t>
        </is>
      </c>
      <c r="F571" s="54" t="inlineStr">
        <is>
          <t>1 model</t>
        </is>
      </c>
      <c r="G571" s="54" t="inlineStr">
        <is>
          <t>Character</t>
        </is>
      </c>
      <c r="H571" s="54" t="str"/>
      <c r="I571" s="54" t="str"/>
      <c r="J571" s="54" t="str"/>
      <c r="K571" s="54" t="str"/>
      <c r="L571" s="55" t="n">
        <v>140</v>
      </c>
      <c r="M571" s="54" t="str"/>
      <c r="N571" s="54" t="inlineStr">
        <is>
          <t>Matched to Munitorum Field Manual v2.3</t>
        </is>
      </c>
      <c r="O571" s="54" t="inlineStr">
        <is>
          <t>Uploaded PDF: Munitorum Field Manual v2.3 / March 2025, p.6</t>
        </is>
      </c>
    </row>
    <row r="572">
      <c r="A572" s="54" t="inlineStr">
        <is>
          <t>Aeldari</t>
        </is>
      </c>
      <c r="B572" s="54" t="str"/>
      <c r="C572" s="54" t="inlineStr">
        <is>
          <t>Infantry / Other</t>
        </is>
      </c>
      <c r="D572" s="54" t="inlineStr">
        <is>
          <t>Infantry</t>
        </is>
      </c>
      <c r="E572" s="54" t="inlineStr">
        <is>
          <t>Yvraine</t>
        </is>
      </c>
      <c r="F572" s="54" t="inlineStr">
        <is>
          <t>1 model</t>
        </is>
      </c>
      <c r="G572" s="54" t="inlineStr">
        <is>
          <t>Infantry</t>
        </is>
      </c>
      <c r="H572" s="54" t="str"/>
      <c r="I572" s="54" t="str"/>
      <c r="J572" s="54" t="str"/>
      <c r="K572" s="54" t="str"/>
      <c r="L572" s="55" t="n">
        <v>100</v>
      </c>
      <c r="M572" s="54" t="str"/>
      <c r="N572" s="54" t="inlineStr">
        <is>
          <t>Matched to Munitorum Field Manual v2.3</t>
        </is>
      </c>
      <c r="O572" s="54" t="inlineStr">
        <is>
          <t>Uploaded PDF: Munitorum Field Manual v2.3 / March 2025, p.7</t>
        </is>
      </c>
    </row>
    <row r="573">
      <c r="A573" s="54" t="inlineStr">
        <is>
          <t>Drukhari</t>
        </is>
      </c>
      <c r="B573" s="54" t="str"/>
      <c r="C573" s="54" t="inlineStr">
        <is>
          <t>Character</t>
        </is>
      </c>
      <c r="D573" s="54" t="inlineStr">
        <is>
          <t>Character</t>
        </is>
      </c>
      <c r="E573" s="54" t="inlineStr">
        <is>
          <t>Archon</t>
        </is>
      </c>
      <c r="F573" s="54" t="inlineStr">
        <is>
          <t>1 model</t>
        </is>
      </c>
      <c r="G573" s="54" t="inlineStr">
        <is>
          <t>Character</t>
        </is>
      </c>
      <c r="H573" s="54" t="str"/>
      <c r="I573" s="54" t="str"/>
      <c r="J573" s="54" t="str"/>
      <c r="K573" s="54" t="str"/>
      <c r="L573" s="55" t="n">
        <v>85</v>
      </c>
      <c r="M573" s="54" t="str"/>
      <c r="N573" s="54" t="inlineStr">
        <is>
          <t>Matched to Munitorum Field Manual v2.3</t>
        </is>
      </c>
      <c r="O573" s="54" t="inlineStr">
        <is>
          <t>Uploaded PDF: Munitorum Field Manual v2.3 / March 2025, p.20</t>
        </is>
      </c>
    </row>
    <row r="574">
      <c r="A574" s="54" t="inlineStr">
        <is>
          <t>Drukhari</t>
        </is>
      </c>
      <c r="B574" s="54" t="str"/>
      <c r="C574" s="54" t="inlineStr">
        <is>
          <t>Character</t>
        </is>
      </c>
      <c r="D574" s="54" t="inlineStr">
        <is>
          <t>Character</t>
        </is>
      </c>
      <c r="E574" s="54" t="inlineStr">
        <is>
          <t>Beastmaster</t>
        </is>
      </c>
      <c r="F574" s="54" t="inlineStr">
        <is>
          <t>7 models</t>
        </is>
      </c>
      <c r="G574" s="54" t="inlineStr">
        <is>
          <t>Character</t>
        </is>
      </c>
      <c r="H574" s="54" t="str"/>
      <c r="I574" s="54" t="str"/>
      <c r="J574" s="54" t="str"/>
      <c r="K574" s="54" t="str"/>
      <c r="L574" s="55" t="n">
        <v>120</v>
      </c>
      <c r="M574" s="54" t="str"/>
      <c r="N574" s="54" t="inlineStr">
        <is>
          <t>Matched to Munitorum Field Manual v2.3</t>
        </is>
      </c>
      <c r="O574" s="54" t="inlineStr">
        <is>
          <t>Uploaded PDF: Munitorum Field Manual v2.3 / March 2025, p.20</t>
        </is>
      </c>
    </row>
    <row r="575">
      <c r="A575" s="54" t="inlineStr">
        <is>
          <t>Drukhari</t>
        </is>
      </c>
      <c r="B575" s="54" t="str"/>
      <c r="C575" s="54" t="inlineStr">
        <is>
          <t>Infantry / Other</t>
        </is>
      </c>
      <c r="D575" s="54" t="inlineStr">
        <is>
          <t>Infantry</t>
        </is>
      </c>
      <c r="E575" s="54" t="inlineStr">
        <is>
          <t>Cronos</t>
        </is>
      </c>
      <c r="F575" s="54" t="inlineStr">
        <is>
          <t>1 model</t>
        </is>
      </c>
      <c r="G575" s="54" t="inlineStr">
        <is>
          <t>Infantry</t>
        </is>
      </c>
      <c r="H575" s="54" t="str"/>
      <c r="I575" s="54" t="str"/>
      <c r="J575" s="54" t="str"/>
      <c r="K575" s="54" t="str"/>
      <c r="L575" s="55" t="n">
        <v>50</v>
      </c>
      <c r="M575" s="54" t="inlineStr">
        <is>
          <t>Points options: 1 model = 50 pts; 2 models = 100 pts</t>
        </is>
      </c>
      <c r="N575" s="54" t="inlineStr">
        <is>
          <t>Matched to Munitorum Field Manual v2.3</t>
        </is>
      </c>
      <c r="O575" s="54" t="inlineStr">
        <is>
          <t>Uploaded PDF: Munitorum Field Manual v2.3 / March 2025, p.20</t>
        </is>
      </c>
    </row>
    <row r="576">
      <c r="A576" s="54" t="inlineStr">
        <is>
          <t>Drukhari</t>
        </is>
      </c>
      <c r="B576" s="54" t="str"/>
      <c r="C576" s="54" t="inlineStr">
        <is>
          <t>Infantry / Other</t>
        </is>
      </c>
      <c r="D576" s="54" t="inlineStr">
        <is>
          <t>Infantry</t>
        </is>
      </c>
      <c r="E576" s="54" t="inlineStr">
        <is>
          <t>Drazhar</t>
        </is>
      </c>
      <c r="F576" s="54" t="inlineStr">
        <is>
          <t>1 model</t>
        </is>
      </c>
      <c r="G576" s="54" t="inlineStr">
        <is>
          <t>Infantry</t>
        </is>
      </c>
      <c r="H576" s="54" t="str"/>
      <c r="I576" s="54" t="str"/>
      <c r="J576" s="54" t="str"/>
      <c r="K576" s="54" t="str"/>
      <c r="L576" s="55" t="n">
        <v>85</v>
      </c>
      <c r="M576" s="54" t="str"/>
      <c r="N576" s="54" t="inlineStr">
        <is>
          <t>Matched to Munitorum Field Manual v2.3</t>
        </is>
      </c>
      <c r="O576" s="54" t="inlineStr">
        <is>
          <t>Uploaded PDF: Munitorum Field Manual v2.3 / March 2025, p.20</t>
        </is>
      </c>
    </row>
    <row r="577">
      <c r="A577" s="54" t="inlineStr">
        <is>
          <t>Drukhari</t>
        </is>
      </c>
      <c r="B577" s="54" t="str"/>
      <c r="C577" s="54" t="inlineStr">
        <is>
          <t>Infantry / Other</t>
        </is>
      </c>
      <c r="D577" s="54" t="inlineStr">
        <is>
          <t>Infantry</t>
        </is>
      </c>
      <c r="E577" s="54" t="inlineStr">
        <is>
          <t>Grotesques</t>
        </is>
      </c>
      <c r="F577" s="54" t="inlineStr">
        <is>
          <t>3 models</t>
        </is>
      </c>
      <c r="G577" s="54" t="inlineStr">
        <is>
          <t>Infantry</t>
        </is>
      </c>
      <c r="H577" s="54" t="str"/>
      <c r="I577" s="54" t="str"/>
      <c r="J577" s="54" t="str"/>
      <c r="K577" s="54" t="str"/>
      <c r="L577" s="55" t="n">
        <v>80</v>
      </c>
      <c r="M577" s="54" t="inlineStr">
        <is>
          <t>Points options: 3 models = 80 pts; 6 models = 170 pts</t>
        </is>
      </c>
      <c r="N577" s="54" t="inlineStr">
        <is>
          <t>Matched to Munitorum Field Manual v2.3</t>
        </is>
      </c>
      <c r="O577" s="54" t="inlineStr">
        <is>
          <t>Uploaded PDF: Munitorum Field Manual v2.3 / March 2025, p.20</t>
        </is>
      </c>
    </row>
    <row r="578">
      <c r="A578" s="54" t="inlineStr">
        <is>
          <t>Drukhari</t>
        </is>
      </c>
      <c r="B578" s="54" t="str"/>
      <c r="C578" s="54" t="inlineStr">
        <is>
          <t>Character</t>
        </is>
      </c>
      <c r="D578" s="54" t="inlineStr">
        <is>
          <t>Character</t>
        </is>
      </c>
      <c r="E578" s="54" t="inlineStr">
        <is>
          <t>Haemonculus</t>
        </is>
      </c>
      <c r="F578" s="54" t="inlineStr">
        <is>
          <t>1 model</t>
        </is>
      </c>
      <c r="G578" s="54" t="inlineStr">
        <is>
          <t>Character</t>
        </is>
      </c>
      <c r="H578" s="54" t="str"/>
      <c r="I578" s="54" t="str"/>
      <c r="J578" s="54" t="str"/>
      <c r="K578" s="54" t="str"/>
      <c r="L578" s="55" t="n">
        <v>60</v>
      </c>
      <c r="M578" s="54" t="str"/>
      <c r="N578" s="54" t="inlineStr">
        <is>
          <t>Matched to Munitorum Field Manual v2.3</t>
        </is>
      </c>
      <c r="O578" s="54" t="inlineStr">
        <is>
          <t>Uploaded PDF: Munitorum Field Manual v2.3 / March 2025, p.20</t>
        </is>
      </c>
    </row>
    <row r="579">
      <c r="A579" s="54" t="inlineStr">
        <is>
          <t>Drukhari</t>
        </is>
      </c>
      <c r="B579" s="54" t="str"/>
      <c r="C579" s="54" t="inlineStr">
        <is>
          <t>Infantry / Other</t>
        </is>
      </c>
      <c r="D579" s="54" t="inlineStr">
        <is>
          <t>Infantry</t>
        </is>
      </c>
      <c r="E579" s="54" t="inlineStr">
        <is>
          <t>Hellions</t>
        </is>
      </c>
      <c r="F579" s="54" t="inlineStr">
        <is>
          <t>5 models</t>
        </is>
      </c>
      <c r="G579" s="54" t="inlineStr">
        <is>
          <t>Infantry, Epic Hero</t>
        </is>
      </c>
      <c r="H579" s="54" t="str"/>
      <c r="I579" s="54" t="str"/>
      <c r="J579" s="54" t="str"/>
      <c r="K579" s="54" t="str"/>
      <c r="L579" s="55" t="n">
        <v>75</v>
      </c>
      <c r="M579" s="54" t="inlineStr">
        <is>
          <t>Points options: 5 models = 75 pts; 10 models = 150 pts</t>
        </is>
      </c>
      <c r="N579" s="54" t="inlineStr">
        <is>
          <t>Matched to Munitorum Field Manual v2.3</t>
        </is>
      </c>
      <c r="O579" s="54" t="inlineStr">
        <is>
          <t>Uploaded PDF: Munitorum Field Manual v2.3 / March 2025, p.20</t>
        </is>
      </c>
    </row>
    <row r="580">
      <c r="A580" s="54" t="inlineStr">
        <is>
          <t>Drukhari</t>
        </is>
      </c>
      <c r="B580" s="54" t="str"/>
      <c r="C580" s="54" t="inlineStr">
        <is>
          <t>Infantry / Other</t>
        </is>
      </c>
      <c r="D580" s="54" t="inlineStr">
        <is>
          <t>Infantry</t>
        </is>
      </c>
      <c r="E580" s="54" t="inlineStr">
        <is>
          <t>Incubi</t>
        </is>
      </c>
      <c r="F580" s="54" t="inlineStr">
        <is>
          <t>5 models</t>
        </is>
      </c>
      <c r="G580" s="54" t="inlineStr">
        <is>
          <t>Infantry</t>
        </is>
      </c>
      <c r="H580" s="54" t="str"/>
      <c r="I580" s="54" t="str"/>
      <c r="J580" s="54" t="str"/>
      <c r="K580" s="54" t="str"/>
      <c r="L580" s="55" t="n">
        <v>85</v>
      </c>
      <c r="M580" s="54" t="inlineStr">
        <is>
          <t>Points options: 5 models = 85 pts; 10 models = 170 pts</t>
        </is>
      </c>
      <c r="N580" s="54" t="inlineStr">
        <is>
          <t>Matched to Munitorum Field Manual v2.3</t>
        </is>
      </c>
      <c r="O580" s="54" t="inlineStr">
        <is>
          <t>Uploaded PDF: Munitorum Field Manual v2.3 / March 2025, p.20</t>
        </is>
      </c>
    </row>
    <row r="581">
      <c r="A581" s="54" t="inlineStr">
        <is>
          <t>Drukhari</t>
        </is>
      </c>
      <c r="B581" s="54" t="str"/>
      <c r="C581" s="54" t="inlineStr">
        <is>
          <t>Battleline / Core</t>
        </is>
      </c>
      <c r="D581" s="54" t="inlineStr">
        <is>
          <t>Infantry</t>
        </is>
      </c>
      <c r="E581" s="54" t="inlineStr">
        <is>
          <t>Kabalite Warriors</t>
        </is>
      </c>
      <c r="F581" s="54" t="inlineStr">
        <is>
          <t>10 models</t>
        </is>
      </c>
      <c r="G581" s="54" t="inlineStr">
        <is>
          <t>Infantry</t>
        </is>
      </c>
      <c r="H581" s="54" t="str"/>
      <c r="I581" s="54" t="str"/>
      <c r="J581" s="54" t="str"/>
      <c r="K581" s="54" t="str"/>
      <c r="L581" s="55" t="n">
        <v>100</v>
      </c>
      <c r="M581" s="54" t="str"/>
      <c r="N581" s="54" t="inlineStr">
        <is>
          <t>Matched to Munitorum Field Manual v2.3</t>
        </is>
      </c>
      <c r="O581" s="54" t="inlineStr">
        <is>
          <t>Uploaded PDF: Munitorum Field Manual v2.3 / March 2025, p.20</t>
        </is>
      </c>
    </row>
    <row r="582">
      <c r="A582" s="54" t="inlineStr">
        <is>
          <t>Drukhari</t>
        </is>
      </c>
      <c r="B582" s="54" t="str"/>
      <c r="C582" s="54" t="inlineStr">
        <is>
          <t>Infantry / Other</t>
        </is>
      </c>
      <c r="D582" s="54" t="inlineStr">
        <is>
          <t>Infantry</t>
        </is>
      </c>
      <c r="E582" s="54" t="inlineStr">
        <is>
          <t>Lelith Hesperax</t>
        </is>
      </c>
      <c r="F582" s="54" t="inlineStr">
        <is>
          <t>1 model</t>
        </is>
      </c>
      <c r="G582" s="54" t="inlineStr">
        <is>
          <t>Infantry</t>
        </is>
      </c>
      <c r="H582" s="54" t="str"/>
      <c r="I582" s="54" t="str"/>
      <c r="J582" s="54" t="str"/>
      <c r="K582" s="54" t="str"/>
      <c r="L582" s="55" t="n">
        <v>95</v>
      </c>
      <c r="M582" s="54" t="str"/>
      <c r="N582" s="54" t="inlineStr">
        <is>
          <t>Matched to Munitorum Field Manual v2.3</t>
        </is>
      </c>
      <c r="O582" s="54" t="inlineStr">
        <is>
          <t>Uploaded PDF: Munitorum Field Manual v2.3 / March 2025, p.20</t>
        </is>
      </c>
    </row>
    <row r="583">
      <c r="A583" s="54" t="inlineStr">
        <is>
          <t>Drukhari</t>
        </is>
      </c>
      <c r="B583" s="54" t="str"/>
      <c r="C583" s="54" t="inlineStr">
        <is>
          <t>Infantry / Other</t>
        </is>
      </c>
      <c r="D583" s="54" t="inlineStr">
        <is>
          <t>Infantry</t>
        </is>
      </c>
      <c r="E583" s="54" t="inlineStr">
        <is>
          <t>Mandrakes</t>
        </is>
      </c>
      <c r="F583" s="54" t="inlineStr">
        <is>
          <t>5 models</t>
        </is>
      </c>
      <c r="G583" s="54" t="inlineStr">
        <is>
          <t>Infantry</t>
        </is>
      </c>
      <c r="H583" s="54" t="str"/>
      <c r="I583" s="54" t="str"/>
      <c r="J583" s="54" t="str"/>
      <c r="K583" s="54" t="str"/>
      <c r="L583" s="55" t="n">
        <v>70</v>
      </c>
      <c r="M583" s="54" t="inlineStr">
        <is>
          <t>Points options: 5 models = 70 pts; 10 models = 130 pts</t>
        </is>
      </c>
      <c r="N583" s="54" t="inlineStr">
        <is>
          <t>Matched to Munitorum Field Manual v2.3</t>
        </is>
      </c>
      <c r="O583" s="54" t="inlineStr">
        <is>
          <t>Uploaded PDF: Munitorum Field Manual v2.3 / March 2025, p.20</t>
        </is>
      </c>
    </row>
    <row r="584">
      <c r="A584" s="54" t="inlineStr">
        <is>
          <t>Drukhari</t>
        </is>
      </c>
      <c r="B584" s="54" t="str"/>
      <c r="C584" s="54" t="inlineStr">
        <is>
          <t>Vehicle / Support</t>
        </is>
      </c>
      <c r="D584" s="54" t="inlineStr">
        <is>
          <t>Vehicle</t>
        </is>
      </c>
      <c r="E584" s="54" t="inlineStr">
        <is>
          <t>Raider</t>
        </is>
      </c>
      <c r="F584" s="54" t="inlineStr">
        <is>
          <t>1 model</t>
        </is>
      </c>
      <c r="G584" s="54" t="inlineStr">
        <is>
          <t>Vehicle</t>
        </is>
      </c>
      <c r="H584" s="54" t="str"/>
      <c r="I584" s="54" t="str"/>
      <c r="J584" s="54" t="str"/>
      <c r="K584" s="54" t="str"/>
      <c r="L584" s="55" t="n">
        <v>80</v>
      </c>
      <c r="M584" s="54" t="str"/>
      <c r="N584" s="54" t="inlineStr">
        <is>
          <t>Matched to Munitorum Field Manual v2.3</t>
        </is>
      </c>
      <c r="O584" s="54" t="inlineStr">
        <is>
          <t>Uploaded PDF: Munitorum Field Manual v2.3 / March 2025, p.20</t>
        </is>
      </c>
    </row>
    <row r="585">
      <c r="A585" s="54" t="inlineStr">
        <is>
          <t>Drukhari</t>
        </is>
      </c>
      <c r="B585" s="54" t="str"/>
      <c r="C585" s="54" t="inlineStr">
        <is>
          <t>Vehicle / Support</t>
        </is>
      </c>
      <c r="D585" s="54" t="inlineStr">
        <is>
          <t>Vehicle</t>
        </is>
      </c>
      <c r="E585" s="54" t="inlineStr">
        <is>
          <t>Ravager</t>
        </is>
      </c>
      <c r="F585" s="54" t="inlineStr">
        <is>
          <t>1 model</t>
        </is>
      </c>
      <c r="G585" s="54" t="inlineStr">
        <is>
          <t>Vehicle</t>
        </is>
      </c>
      <c r="H585" s="54" t="str"/>
      <c r="I585" s="54" t="str"/>
      <c r="J585" s="54" t="str"/>
      <c r="K585" s="54" t="str"/>
      <c r="L585" s="55" t="n">
        <v>110</v>
      </c>
      <c r="M585" s="54" t="str"/>
      <c r="N585" s="54" t="inlineStr">
        <is>
          <t>Matched to Munitorum Field Manual v2.3</t>
        </is>
      </c>
      <c r="O585" s="54" t="inlineStr">
        <is>
          <t>Uploaded PDF: Munitorum Field Manual v2.3 / March 2025, p.20</t>
        </is>
      </c>
    </row>
    <row r="586">
      <c r="A586" s="54" t="inlineStr">
        <is>
          <t>Drukhari</t>
        </is>
      </c>
      <c r="B586" s="54" t="str"/>
      <c r="C586" s="54" t="inlineStr">
        <is>
          <t>Vehicle / Support</t>
        </is>
      </c>
      <c r="D586" s="54" t="inlineStr">
        <is>
          <t>Aircraft</t>
        </is>
      </c>
      <c r="E586" s="54" t="inlineStr">
        <is>
          <t>Razorwing Jetfighter</t>
        </is>
      </c>
      <c r="F586" s="54" t="inlineStr">
        <is>
          <t>1 model</t>
        </is>
      </c>
      <c r="G586" s="54" t="inlineStr">
        <is>
          <t>Aircraft</t>
        </is>
      </c>
      <c r="H586" s="54" t="str"/>
      <c r="I586" s="54" t="str"/>
      <c r="J586" s="54" t="str"/>
      <c r="K586" s="54" t="str"/>
      <c r="L586" s="55" t="n">
        <v>170</v>
      </c>
      <c r="M586" s="54" t="str"/>
      <c r="N586" s="54" t="inlineStr">
        <is>
          <t>Matched to Munitorum Field Manual v2.3</t>
        </is>
      </c>
      <c r="O586" s="54" t="inlineStr">
        <is>
          <t>Uploaded PDF: Munitorum Field Manual v2.3 / March 2025, p.20</t>
        </is>
      </c>
    </row>
    <row r="587">
      <c r="A587" s="54" t="inlineStr">
        <is>
          <t>Drukhari</t>
        </is>
      </c>
      <c r="B587" s="54" t="str"/>
      <c r="C587" s="54" t="inlineStr">
        <is>
          <t>Infantry / Other</t>
        </is>
      </c>
      <c r="D587" s="54" t="inlineStr">
        <is>
          <t>Mounted / Bike</t>
        </is>
      </c>
      <c r="E587" s="54" t="inlineStr">
        <is>
          <t>Reavers</t>
        </is>
      </c>
      <c r="F587" s="54" t="inlineStr">
        <is>
          <t>3 models</t>
        </is>
      </c>
      <c r="G587" s="54" t="inlineStr">
        <is>
          <t>Mounted / Bike</t>
        </is>
      </c>
      <c r="H587" s="54" t="str"/>
      <c r="I587" s="54" t="str"/>
      <c r="J587" s="54" t="str"/>
      <c r="K587" s="54" t="str"/>
      <c r="L587" s="55" t="n">
        <v>65</v>
      </c>
      <c r="M587" s="54" t="inlineStr">
        <is>
          <t>Points options: 3 models = 65 pts; 6 models = 120 pts</t>
        </is>
      </c>
      <c r="N587" s="54" t="inlineStr">
        <is>
          <t>Matched to Munitorum Field Manual v2.3</t>
        </is>
      </c>
      <c r="O587" s="54" t="inlineStr">
        <is>
          <t>Uploaded PDF: Munitorum Field Manual v2.3 / March 2025, p.20</t>
        </is>
      </c>
    </row>
    <row r="588">
      <c r="A588" s="54" t="inlineStr">
        <is>
          <t>Drukhari</t>
        </is>
      </c>
      <c r="B588" s="54" t="str"/>
      <c r="C588" s="54" t="inlineStr">
        <is>
          <t>Infantry / Other</t>
        </is>
      </c>
      <c r="D588" s="54" t="inlineStr">
        <is>
          <t>Infantry</t>
        </is>
      </c>
      <c r="E588" s="54" t="inlineStr">
        <is>
          <t>Scourges</t>
        </is>
      </c>
      <c r="F588" s="54" t="inlineStr">
        <is>
          <t>5 models</t>
        </is>
      </c>
      <c r="G588" s="54" t="inlineStr">
        <is>
          <t>Infantry</t>
        </is>
      </c>
      <c r="H588" s="54" t="str"/>
      <c r="I588" s="54" t="str"/>
      <c r="J588" s="54" t="str"/>
      <c r="K588" s="54" t="str"/>
      <c r="L588" s="55" t="n">
        <v>130</v>
      </c>
      <c r="M588" s="54" t="inlineStr">
        <is>
          <t>Points options: 5 models = 130 pts; 10 models = 180 pts</t>
        </is>
      </c>
      <c r="N588" s="54" t="inlineStr">
        <is>
          <t>Matched to Munitorum Field Manual v2.3</t>
        </is>
      </c>
      <c r="O588" s="54" t="inlineStr">
        <is>
          <t>Uploaded PDF: Munitorum Field Manual v2.3 / March 2025, p.20</t>
        </is>
      </c>
    </row>
    <row r="589">
      <c r="A589" s="54" t="inlineStr">
        <is>
          <t>Drukhari</t>
        </is>
      </c>
      <c r="B589" s="54" t="str"/>
      <c r="C589" s="54" t="inlineStr">
        <is>
          <t>Character</t>
        </is>
      </c>
      <c r="D589" s="54" t="inlineStr">
        <is>
          <t>Character</t>
        </is>
      </c>
      <c r="E589" s="54" t="inlineStr">
        <is>
          <t>Succubus</t>
        </is>
      </c>
      <c r="F589" s="54" t="inlineStr">
        <is>
          <t>1 model</t>
        </is>
      </c>
      <c r="G589" s="54" t="inlineStr">
        <is>
          <t>Character</t>
        </is>
      </c>
      <c r="H589" s="54" t="str"/>
      <c r="I589" s="54" t="str"/>
      <c r="J589" s="54" t="str"/>
      <c r="K589" s="54" t="str"/>
      <c r="L589" s="55" t="n">
        <v>45</v>
      </c>
      <c r="M589" s="54" t="str"/>
      <c r="N589" s="54" t="inlineStr">
        <is>
          <t>Matched to Munitorum Field Manual v2.3</t>
        </is>
      </c>
      <c r="O589" s="54" t="inlineStr">
        <is>
          <t>Uploaded PDF: Munitorum Field Manual v2.3 / March 2025, p.20</t>
        </is>
      </c>
    </row>
    <row r="590">
      <c r="A590" s="54" t="inlineStr">
        <is>
          <t>Drukhari</t>
        </is>
      </c>
      <c r="B590" s="54" t="str"/>
      <c r="C590" s="54" t="inlineStr">
        <is>
          <t>Infantry / Other</t>
        </is>
      </c>
      <c r="D590" s="54" t="inlineStr">
        <is>
          <t>Infantry</t>
        </is>
      </c>
      <c r="E590" s="54" t="inlineStr">
        <is>
          <t>Talos</t>
        </is>
      </c>
      <c r="F590" s="54" t="inlineStr">
        <is>
          <t>1 model</t>
        </is>
      </c>
      <c r="G590" s="54" t="inlineStr">
        <is>
          <t>Infantry</t>
        </is>
      </c>
      <c r="H590" s="54" t="str"/>
      <c r="I590" s="54" t="str"/>
      <c r="J590" s="54" t="str"/>
      <c r="K590" s="54" t="str"/>
      <c r="L590" s="55" t="n">
        <v>80</v>
      </c>
      <c r="M590" s="54" t="inlineStr">
        <is>
          <t>Points options: 1 model = 80 pts; 2 models = 160 pts</t>
        </is>
      </c>
      <c r="N590" s="54" t="inlineStr">
        <is>
          <t>Matched to Munitorum Field Manual v2.3</t>
        </is>
      </c>
      <c r="O590" s="54" t="inlineStr">
        <is>
          <t>Uploaded PDF: Munitorum Field Manual v2.3 / March 2025, p.20</t>
        </is>
      </c>
    </row>
    <row r="591">
      <c r="A591" s="54" t="inlineStr">
        <is>
          <t>Drukhari</t>
        </is>
      </c>
      <c r="B591" s="54" t="str"/>
      <c r="C591" s="54" t="inlineStr">
        <is>
          <t>Vehicle / Support</t>
        </is>
      </c>
      <c r="D591" s="54" t="inlineStr">
        <is>
          <t>Vehicle</t>
        </is>
      </c>
      <c r="E591" s="54" t="inlineStr">
        <is>
          <t>Tantalus</t>
        </is>
      </c>
      <c r="F591" s="54" t="n"/>
      <c r="G591" s="54" t="inlineStr">
        <is>
          <t>Vehicle</t>
        </is>
      </c>
      <c r="H591" s="54" t="str"/>
      <c r="I591" s="54" t="str"/>
      <c r="J591" s="54" t="str"/>
      <c r="K591" s="54" t="str"/>
      <c r="L591" s="55" t="n"/>
      <c r="M591" s="54" t="inlineStr">
        <is>
          <t>No matching points entry found in uploaded PDF; verify unit name/current support.</t>
        </is>
      </c>
      <c r="N591" s="54" t="inlineStr">
        <is>
          <t>Not found in uploaded PDF</t>
        </is>
      </c>
      <c r="O591" s="54" t="inlineStr">
        <is>
          <t>Uploaded PDF: Munitorum Field Manual v2.3 / March 2025</t>
        </is>
      </c>
    </row>
    <row r="592">
      <c r="A592" s="54" t="inlineStr">
        <is>
          <t>Drukhari</t>
        </is>
      </c>
      <c r="B592" s="54" t="str"/>
      <c r="C592" s="54" t="inlineStr">
        <is>
          <t>Infantry / Other</t>
        </is>
      </c>
      <c r="D592" s="54" t="inlineStr">
        <is>
          <t>Infantry</t>
        </is>
      </c>
      <c r="E592" s="54" t="inlineStr">
        <is>
          <t>Urien Rakarth</t>
        </is>
      </c>
      <c r="F592" s="54" t="inlineStr">
        <is>
          <t>1 model</t>
        </is>
      </c>
      <c r="G592" s="54" t="inlineStr">
        <is>
          <t>Infantry</t>
        </is>
      </c>
      <c r="H592" s="54" t="str"/>
      <c r="I592" s="54" t="str"/>
      <c r="J592" s="54" t="str"/>
      <c r="K592" s="54" t="str"/>
      <c r="L592" s="55" t="n">
        <v>80</v>
      </c>
      <c r="M592" s="54" t="str"/>
      <c r="N592" s="54" t="inlineStr">
        <is>
          <t>Matched to Munitorum Field Manual v2.3</t>
        </is>
      </c>
      <c r="O592" s="54" t="inlineStr">
        <is>
          <t>Uploaded PDF: Munitorum Field Manual v2.3 / March 2025, p.20</t>
        </is>
      </c>
    </row>
    <row r="593">
      <c r="A593" s="54" t="inlineStr">
        <is>
          <t>Drukhari</t>
        </is>
      </c>
      <c r="B593" s="54" t="str"/>
      <c r="C593" s="54" t="inlineStr">
        <is>
          <t>Vehicle / Support</t>
        </is>
      </c>
      <c r="D593" s="54" t="inlineStr">
        <is>
          <t>Vehicle</t>
        </is>
      </c>
      <c r="E593" s="54" t="inlineStr">
        <is>
          <t>Venom</t>
        </is>
      </c>
      <c r="F593" s="54" t="inlineStr">
        <is>
          <t>1 model</t>
        </is>
      </c>
      <c r="G593" s="54" t="inlineStr">
        <is>
          <t>Vehicle</t>
        </is>
      </c>
      <c r="H593" s="54" t="str"/>
      <c r="I593" s="54" t="str"/>
      <c r="J593" s="54" t="str"/>
      <c r="K593" s="54" t="str"/>
      <c r="L593" s="55" t="n">
        <v>70</v>
      </c>
      <c r="M593" s="54" t="str"/>
      <c r="N593" s="54" t="inlineStr">
        <is>
          <t>Matched to Munitorum Field Manual v2.3</t>
        </is>
      </c>
      <c r="O593" s="54" t="inlineStr">
        <is>
          <t>Uploaded PDF: Munitorum Field Manual v2.3 / March 2025, p.20</t>
        </is>
      </c>
    </row>
    <row r="594">
      <c r="A594" s="54" t="inlineStr">
        <is>
          <t>Drukhari</t>
        </is>
      </c>
      <c r="B594" s="54" t="str"/>
      <c r="C594" s="54" t="inlineStr">
        <is>
          <t>Vehicle / Support</t>
        </is>
      </c>
      <c r="D594" s="54" t="inlineStr">
        <is>
          <t>Aircraft</t>
        </is>
      </c>
      <c r="E594" s="54" t="inlineStr">
        <is>
          <t>Voidraven Bomber</t>
        </is>
      </c>
      <c r="F594" s="54" t="inlineStr">
        <is>
          <t>1 model</t>
        </is>
      </c>
      <c r="G594" s="54" t="inlineStr">
        <is>
          <t>Aircraft</t>
        </is>
      </c>
      <c r="H594" s="54" t="str"/>
      <c r="I594" s="54" t="str"/>
      <c r="J594" s="54" t="str"/>
      <c r="K594" s="54" t="str"/>
      <c r="L594" s="55" t="n">
        <v>235</v>
      </c>
      <c r="M594" s="54" t="str"/>
      <c r="N594" s="54" t="inlineStr">
        <is>
          <t>Matched to Munitorum Field Manual v2.3</t>
        </is>
      </c>
      <c r="O594" s="54" t="inlineStr">
        <is>
          <t>Uploaded PDF: Munitorum Field Manual v2.3 / March 2025, p.20</t>
        </is>
      </c>
    </row>
    <row r="595">
      <c r="A595" s="54" t="inlineStr">
        <is>
          <t>Drukhari</t>
        </is>
      </c>
      <c r="B595" s="54" t="str"/>
      <c r="C595" s="54" t="inlineStr">
        <is>
          <t>Infantry / Other</t>
        </is>
      </c>
      <c r="D595" s="54" t="inlineStr">
        <is>
          <t>Infantry</t>
        </is>
      </c>
      <c r="E595" s="54" t="inlineStr">
        <is>
          <t>Voidweaver</t>
        </is>
      </c>
      <c r="F595" s="54" t="n"/>
      <c r="G595" s="54" t="inlineStr">
        <is>
          <t>Infantry</t>
        </is>
      </c>
      <c r="H595" s="54" t="str"/>
      <c r="I595" s="54" t="str"/>
      <c r="J595" s="54" t="str"/>
      <c r="K595" s="54" t="str"/>
      <c r="L595" s="55" t="n"/>
      <c r="M595" s="54" t="inlineStr">
        <is>
          <t>No matching points entry found in uploaded PDF; verify unit name/current support.</t>
        </is>
      </c>
      <c r="N595" s="54" t="inlineStr">
        <is>
          <t>Not found in uploaded PDF</t>
        </is>
      </c>
      <c r="O595" s="54" t="inlineStr">
        <is>
          <t>Uploaded PDF: Munitorum Field Manual v2.3 / March 2025</t>
        </is>
      </c>
    </row>
    <row r="596">
      <c r="A596" s="54" t="inlineStr">
        <is>
          <t>Drukhari</t>
        </is>
      </c>
      <c r="B596" s="54" t="str"/>
      <c r="C596" s="54" t="inlineStr">
        <is>
          <t>Infantry / Other</t>
        </is>
      </c>
      <c r="D596" s="54" t="inlineStr">
        <is>
          <t>Beast / Swarm</t>
        </is>
      </c>
      <c r="E596" s="54" t="inlineStr">
        <is>
          <t>Warp Beasts</t>
        </is>
      </c>
      <c r="F596" s="54" t="n"/>
      <c r="G596" s="54" t="inlineStr">
        <is>
          <t>Beast / Swarm</t>
        </is>
      </c>
      <c r="H596" s="54" t="str"/>
      <c r="I596" s="54" t="str"/>
      <c r="J596" s="54" t="str"/>
      <c r="K596" s="54" t="str"/>
      <c r="L596" s="55" t="n"/>
      <c r="M596" s="54" t="inlineStr">
        <is>
          <t>No matching points entry found in uploaded PDF; verify unit name/current support.</t>
        </is>
      </c>
      <c r="N596" s="54" t="inlineStr">
        <is>
          <t>Not found in uploaded PDF</t>
        </is>
      </c>
      <c r="O596" s="54" t="inlineStr">
        <is>
          <t>Uploaded PDF: Munitorum Field Manual v2.3 / March 2025</t>
        </is>
      </c>
    </row>
    <row r="597">
      <c r="A597" s="54" t="inlineStr">
        <is>
          <t>Drukhari</t>
        </is>
      </c>
      <c r="B597" s="54" t="str"/>
      <c r="C597" s="54" t="inlineStr">
        <is>
          <t>Infantry / Other</t>
        </is>
      </c>
      <c r="D597" s="54" t="inlineStr">
        <is>
          <t>Infantry</t>
        </is>
      </c>
      <c r="E597" s="54" t="inlineStr">
        <is>
          <t>Wracks</t>
        </is>
      </c>
      <c r="F597" s="54" t="inlineStr">
        <is>
          <t>5 models</t>
        </is>
      </c>
      <c r="G597" s="54" t="inlineStr">
        <is>
          <t>Infantry</t>
        </is>
      </c>
      <c r="H597" s="54" t="str"/>
      <c r="I597" s="54" t="str"/>
      <c r="J597" s="54" t="str"/>
      <c r="K597" s="54" t="str"/>
      <c r="L597" s="55" t="n">
        <v>55</v>
      </c>
      <c r="M597" s="54" t="inlineStr">
        <is>
          <t>Points options: 5 models = 55 pts; 10 models = 110 pts</t>
        </is>
      </c>
      <c r="N597" s="54" t="inlineStr">
        <is>
          <t>Matched to Munitorum Field Manual v2.3</t>
        </is>
      </c>
      <c r="O597" s="54" t="inlineStr">
        <is>
          <t>Uploaded PDF: Munitorum Field Manual v2.3 / March 2025, p.20</t>
        </is>
      </c>
    </row>
    <row r="598">
      <c r="A598" s="54" t="inlineStr">
        <is>
          <t>Drukhari</t>
        </is>
      </c>
      <c r="B598" s="54" t="str"/>
      <c r="C598" s="54" t="inlineStr">
        <is>
          <t>Battleline / Core</t>
        </is>
      </c>
      <c r="D598" s="54" t="inlineStr">
        <is>
          <t>Infantry</t>
        </is>
      </c>
      <c r="E598" s="54" t="inlineStr">
        <is>
          <t>Wyches</t>
        </is>
      </c>
      <c r="F598" s="54" t="inlineStr">
        <is>
          <t>10 models</t>
        </is>
      </c>
      <c r="G598" s="54" t="inlineStr">
        <is>
          <t>Infantry</t>
        </is>
      </c>
      <c r="H598" s="54" t="str"/>
      <c r="I598" s="54" t="str"/>
      <c r="J598" s="54" t="str"/>
      <c r="K598" s="54" t="str"/>
      <c r="L598" s="55" t="n">
        <v>80</v>
      </c>
      <c r="M598" s="54" t="str"/>
      <c r="N598" s="54" t="inlineStr">
        <is>
          <t>Matched to Munitorum Field Manual v2.3</t>
        </is>
      </c>
      <c r="O598" s="54" t="inlineStr">
        <is>
          <t>Uploaded PDF: Munitorum Field Manual v2.3 / March 2025, p.20</t>
        </is>
      </c>
    </row>
    <row r="599">
      <c r="A599" s="54" t="inlineStr">
        <is>
          <t>Harlequins</t>
        </is>
      </c>
      <c r="B599" s="54" t="str"/>
      <c r="C599" s="54" t="inlineStr">
        <is>
          <t>Character</t>
        </is>
      </c>
      <c r="D599" s="54" t="inlineStr">
        <is>
          <t>Character</t>
        </is>
      </c>
      <c r="E599" s="54" t="inlineStr">
        <is>
          <t>Death Jester</t>
        </is>
      </c>
      <c r="F599" s="54" t="inlineStr">
        <is>
          <t>1 model</t>
        </is>
      </c>
      <c r="G599" s="54" t="inlineStr">
        <is>
          <t>Character</t>
        </is>
      </c>
      <c r="H599" s="54" t="str"/>
      <c r="I599" s="54" t="str"/>
      <c r="J599" s="54" t="str"/>
      <c r="K599" s="54" t="str"/>
      <c r="L599" s="55" t="n">
        <v>90</v>
      </c>
      <c r="M599" s="54" t="str"/>
      <c r="N599" s="54" t="inlineStr">
        <is>
          <t>Matched to Munitorum Field Manual v2.3</t>
        </is>
      </c>
      <c r="O599" s="54" t="inlineStr">
        <is>
          <t>Uploaded PDF: Munitorum Field Manual v2.3 / March 2025, p.6</t>
        </is>
      </c>
    </row>
    <row r="600">
      <c r="A600" s="54" t="inlineStr">
        <is>
          <t>Harlequins</t>
        </is>
      </c>
      <c r="B600" s="54" t="str"/>
      <c r="C600" s="54" t="inlineStr">
        <is>
          <t>Character</t>
        </is>
      </c>
      <c r="D600" s="54" t="inlineStr">
        <is>
          <t>Character</t>
        </is>
      </c>
      <c r="E600" s="54" t="inlineStr">
        <is>
          <t>Shadowseer</t>
        </is>
      </c>
      <c r="F600" s="54" t="inlineStr">
        <is>
          <t>1 model</t>
        </is>
      </c>
      <c r="G600" s="54" t="inlineStr">
        <is>
          <t>Character, Psyker</t>
        </is>
      </c>
      <c r="H600" s="54" t="str"/>
      <c r="I600" s="54" t="str"/>
      <c r="J600" s="54" t="str"/>
      <c r="K600" s="54" t="str"/>
      <c r="L600" s="55" t="n">
        <v>60</v>
      </c>
      <c r="M600" s="54" t="str"/>
      <c r="N600" s="54" t="inlineStr">
        <is>
          <t>Matched to Munitorum Field Manual v2.3</t>
        </is>
      </c>
      <c r="O600" s="54" t="inlineStr">
        <is>
          <t>Uploaded PDF: Munitorum Field Manual v2.3 / March 2025, p.6</t>
        </is>
      </c>
    </row>
    <row r="601">
      <c r="A601" s="54" t="inlineStr">
        <is>
          <t>Harlequins</t>
        </is>
      </c>
      <c r="B601" s="54" t="str"/>
      <c r="C601" s="54" t="inlineStr">
        <is>
          <t>Infantry / Other</t>
        </is>
      </c>
      <c r="D601" s="54" t="inlineStr">
        <is>
          <t>Mounted / Bike</t>
        </is>
      </c>
      <c r="E601" s="54" t="inlineStr">
        <is>
          <t>Skyweavers</t>
        </is>
      </c>
      <c r="F601" s="54" t="inlineStr">
        <is>
          <t>2 models</t>
        </is>
      </c>
      <c r="G601" s="54" t="inlineStr">
        <is>
          <t>Mounted / Bike</t>
        </is>
      </c>
      <c r="H601" s="54" t="str"/>
      <c r="I601" s="54" t="str"/>
      <c r="J601" s="54" t="str"/>
      <c r="K601" s="54" t="str"/>
      <c r="L601" s="55" t="n">
        <v>95</v>
      </c>
      <c r="M601" s="54" t="inlineStr">
        <is>
          <t>Points options: 2 models = 95 pts; 4 models = 190 pts</t>
        </is>
      </c>
      <c r="N601" s="54" t="inlineStr">
        <is>
          <t>Matched to Munitorum Field Manual v2.3</t>
        </is>
      </c>
      <c r="O601" s="54" t="inlineStr">
        <is>
          <t>Uploaded PDF: Munitorum Field Manual v2.3 / March 2025, p.6</t>
        </is>
      </c>
    </row>
    <row r="602">
      <c r="A602" s="54" t="inlineStr">
        <is>
          <t>Harlequins</t>
        </is>
      </c>
      <c r="B602" s="54" t="str"/>
      <c r="C602" s="54" t="inlineStr">
        <is>
          <t>Character</t>
        </is>
      </c>
      <c r="D602" s="54" t="inlineStr">
        <is>
          <t>Character</t>
        </is>
      </c>
      <c r="E602" s="54" t="inlineStr">
        <is>
          <t>Solitaire</t>
        </is>
      </c>
      <c r="F602" s="54" t="inlineStr">
        <is>
          <t>1 model</t>
        </is>
      </c>
      <c r="G602" s="54" t="inlineStr">
        <is>
          <t>Character</t>
        </is>
      </c>
      <c r="H602" s="54" t="str"/>
      <c r="I602" s="54" t="str"/>
      <c r="J602" s="54" t="str"/>
      <c r="K602" s="54" t="str"/>
      <c r="L602" s="55" t="n">
        <v>115</v>
      </c>
      <c r="M602" s="54" t="str"/>
      <c r="N602" s="54" t="inlineStr">
        <is>
          <t>Matched to Munitorum Field Manual v2.3</t>
        </is>
      </c>
      <c r="O602" s="54" t="inlineStr">
        <is>
          <t>Uploaded PDF: Munitorum Field Manual v2.3 / March 2025, p.6</t>
        </is>
      </c>
    </row>
    <row r="603">
      <c r="A603" s="54" t="inlineStr">
        <is>
          <t>Harlequins</t>
        </is>
      </c>
      <c r="B603" s="54" t="str"/>
      <c r="C603" s="54" t="inlineStr">
        <is>
          <t>Infantry / Other</t>
        </is>
      </c>
      <c r="D603" s="54" t="inlineStr">
        <is>
          <t>Infantry</t>
        </is>
      </c>
      <c r="E603" s="54" t="inlineStr">
        <is>
          <t>Starweaver</t>
        </is>
      </c>
      <c r="F603" s="54" t="inlineStr">
        <is>
          <t>1 model</t>
        </is>
      </c>
      <c r="G603" s="54" t="inlineStr">
        <is>
          <t>Infantry</t>
        </is>
      </c>
      <c r="H603" s="54" t="str"/>
      <c r="I603" s="54" t="str"/>
      <c r="J603" s="54" t="str"/>
      <c r="K603" s="54" t="str"/>
      <c r="L603" s="55" t="n">
        <v>80</v>
      </c>
      <c r="M603" s="54" t="str"/>
      <c r="N603" s="54" t="inlineStr">
        <is>
          <t>Matched to Munitorum Field Manual v2.3</t>
        </is>
      </c>
      <c r="O603" s="54" t="inlineStr">
        <is>
          <t>Uploaded PDF: Munitorum Field Manual v2.3 / March 2025, p.6</t>
        </is>
      </c>
    </row>
    <row r="604">
      <c r="A604" s="54" t="inlineStr">
        <is>
          <t>Harlequins</t>
        </is>
      </c>
      <c r="B604" s="54" t="str"/>
      <c r="C604" s="54" t="inlineStr">
        <is>
          <t>Infantry / Other</t>
        </is>
      </c>
      <c r="D604" s="54" t="inlineStr">
        <is>
          <t>Infantry</t>
        </is>
      </c>
      <c r="E604" s="54" t="inlineStr">
        <is>
          <t>Troupe</t>
        </is>
      </c>
      <c r="F604" s="54" t="inlineStr">
        <is>
          <t>5 models</t>
        </is>
      </c>
      <c r="G604" s="54" t="inlineStr">
        <is>
          <t>Infantry</t>
        </is>
      </c>
      <c r="H604" s="54" t="str"/>
      <c r="I604" s="54" t="str"/>
      <c r="J604" s="54" t="str"/>
      <c r="K604" s="54" t="str"/>
      <c r="L604" s="55" t="n">
        <v>85</v>
      </c>
      <c r="M604" s="54" t="inlineStr">
        <is>
          <t>Points options: 5 models = 85 pts; 6 models = 100 pts; 11 models = 190 pts; 12 models = 205 pts</t>
        </is>
      </c>
      <c r="N604" s="54" t="inlineStr">
        <is>
          <t>Matched to Munitorum Field Manual v2.3</t>
        </is>
      </c>
      <c r="O604" s="54" t="inlineStr">
        <is>
          <t>Uploaded PDF: Munitorum Field Manual v2.3 / March 2025, p.6</t>
        </is>
      </c>
    </row>
    <row r="605">
      <c r="A605" s="54" t="inlineStr">
        <is>
          <t>Harlequins</t>
        </is>
      </c>
      <c r="B605" s="54" t="str"/>
      <c r="C605" s="54" t="inlineStr">
        <is>
          <t>Character</t>
        </is>
      </c>
      <c r="D605" s="54" t="inlineStr">
        <is>
          <t>Character</t>
        </is>
      </c>
      <c r="E605" s="54" t="inlineStr">
        <is>
          <t>Troupe Master</t>
        </is>
      </c>
      <c r="F605" s="54" t="inlineStr">
        <is>
          <t>1 model</t>
        </is>
      </c>
      <c r="G605" s="54" t="inlineStr">
        <is>
          <t>Character</t>
        </is>
      </c>
      <c r="H605" s="54" t="str"/>
      <c r="I605" s="54" t="str"/>
      <c r="J605" s="54" t="str"/>
      <c r="K605" s="54" t="str"/>
      <c r="L605" s="55" t="n">
        <v>75</v>
      </c>
      <c r="M605" s="54" t="str"/>
      <c r="N605" s="54" t="inlineStr">
        <is>
          <t>Matched to Munitorum Field Manual v2.3</t>
        </is>
      </c>
      <c r="O605" s="54" t="inlineStr">
        <is>
          <t>Uploaded PDF: Munitorum Field Manual v2.3 / March 2025, p.6</t>
        </is>
      </c>
    </row>
    <row r="606">
      <c r="A606" s="54" t="inlineStr">
        <is>
          <t>Harlequins</t>
        </is>
      </c>
      <c r="B606" s="54" t="str"/>
      <c r="C606" s="54" t="inlineStr">
        <is>
          <t>Infantry / Other</t>
        </is>
      </c>
      <c r="D606" s="54" t="inlineStr">
        <is>
          <t>Infantry</t>
        </is>
      </c>
      <c r="E606" s="54" t="inlineStr">
        <is>
          <t>Voidweaver</t>
        </is>
      </c>
      <c r="F606" s="54" t="inlineStr">
        <is>
          <t>1 model</t>
        </is>
      </c>
      <c r="G606" s="54" t="inlineStr">
        <is>
          <t>Infantry</t>
        </is>
      </c>
      <c r="H606" s="54" t="str"/>
      <c r="I606" s="54" t="str"/>
      <c r="J606" s="54" t="str"/>
      <c r="K606" s="54" t="str"/>
      <c r="L606" s="55" t="n">
        <v>125</v>
      </c>
      <c r="M606" s="54" t="str"/>
      <c r="N606" s="54" t="inlineStr">
        <is>
          <t>Matched to Munitorum Field Manual v2.3</t>
        </is>
      </c>
      <c r="O606" s="54" t="inlineStr">
        <is>
          <t>Uploaded PDF: Munitorum Field Manual v2.3 / March 2025, p.6</t>
        </is>
      </c>
    </row>
    <row r="607">
      <c r="A607" s="54" t="inlineStr">
        <is>
          <t>Necrons</t>
        </is>
      </c>
      <c r="B607" s="54" t="str"/>
      <c r="C607" s="54" t="inlineStr">
        <is>
          <t>Vehicle / Support</t>
        </is>
      </c>
      <c r="D607" s="54" t="inlineStr">
        <is>
          <t>Vehicle</t>
        </is>
      </c>
      <c r="E607" s="54" t="inlineStr">
        <is>
          <t>Annihilation Barge</t>
        </is>
      </c>
      <c r="F607" s="54" t="inlineStr">
        <is>
          <t>1 model</t>
        </is>
      </c>
      <c r="G607" s="54" t="inlineStr">
        <is>
          <t>Vehicle</t>
        </is>
      </c>
      <c r="H607" s="54" t="str"/>
      <c r="I607" s="54" t="str"/>
      <c r="J607" s="54" t="str"/>
      <c r="K607" s="54" t="str"/>
      <c r="L607" s="55" t="n">
        <v>105</v>
      </c>
      <c r="M607" s="54" t="str"/>
      <c r="N607" s="54" t="inlineStr">
        <is>
          <t>Matched to Munitorum Field Manual v2.3</t>
        </is>
      </c>
      <c r="O607" s="54" t="inlineStr">
        <is>
          <t>Uploaded PDF: Munitorum Field Manual v2.3 / March 2025, p.28</t>
        </is>
      </c>
    </row>
    <row r="608">
      <c r="A608" s="54" t="inlineStr">
        <is>
          <t>Necrons</t>
        </is>
      </c>
      <c r="B608" s="54" t="str"/>
      <c r="C608" s="54" t="inlineStr">
        <is>
          <t>Infantry / Other</t>
        </is>
      </c>
      <c r="D608" s="54" t="inlineStr">
        <is>
          <t>Infantry</t>
        </is>
      </c>
      <c r="E608" s="54" t="inlineStr">
        <is>
          <t>Anrakyr the Traveller</t>
        </is>
      </c>
      <c r="F608" s="54" t="n"/>
      <c r="G608" s="54" t="inlineStr">
        <is>
          <t>Infantry</t>
        </is>
      </c>
      <c r="H608" s="54" t="str"/>
      <c r="I608" s="54" t="str"/>
      <c r="J608" s="54" t="str"/>
      <c r="K608" s="54" t="str"/>
      <c r="L608" s="55" t="n"/>
      <c r="M608" s="54" t="inlineStr">
        <is>
          <t>No matching points entry found in uploaded PDF; verify unit name/current support.</t>
        </is>
      </c>
      <c r="N608" s="54" t="inlineStr">
        <is>
          <t>Not found in uploaded PDF</t>
        </is>
      </c>
      <c r="O608" s="54" t="inlineStr">
        <is>
          <t>Uploaded PDF: Munitorum Field Manual v2.3 / March 2025</t>
        </is>
      </c>
    </row>
    <row r="609">
      <c r="A609" s="54" t="inlineStr">
        <is>
          <t>Necrons</t>
        </is>
      </c>
      <c r="B609" s="54" t="str"/>
      <c r="C609" s="54" t="inlineStr">
        <is>
          <t>Infantry / Other</t>
        </is>
      </c>
      <c r="D609" s="54" t="inlineStr">
        <is>
          <t>Infantry</t>
        </is>
      </c>
      <c r="E609" s="54" t="inlineStr">
        <is>
          <t>Canoptek Acanthrites</t>
        </is>
      </c>
      <c r="F609" s="54" t="n"/>
      <c r="G609" s="54" t="inlineStr">
        <is>
          <t>Infantry</t>
        </is>
      </c>
      <c r="H609" s="54" t="str"/>
      <c r="I609" s="54" t="str"/>
      <c r="J609" s="54" t="str"/>
      <c r="K609" s="54" t="str"/>
      <c r="L609" s="55" t="n"/>
      <c r="M609" s="54" t="inlineStr">
        <is>
          <t>No matching points entry found in uploaded PDF; verify unit name/current support.</t>
        </is>
      </c>
      <c r="N609" s="54" t="inlineStr">
        <is>
          <t>Not found in uploaded PDF</t>
        </is>
      </c>
      <c r="O609" s="54" t="inlineStr">
        <is>
          <t>Uploaded PDF: Munitorum Field Manual v2.3 / March 2025</t>
        </is>
      </c>
    </row>
    <row r="610">
      <c r="A610" s="54" t="inlineStr">
        <is>
          <t>Necrons</t>
        </is>
      </c>
      <c r="B610" s="54" t="str"/>
      <c r="C610" s="54" t="inlineStr">
        <is>
          <t>Vehicle / Support</t>
        </is>
      </c>
      <c r="D610" s="54" t="inlineStr">
        <is>
          <t>Walker / Battlesuit</t>
        </is>
      </c>
      <c r="E610" s="54" t="inlineStr">
        <is>
          <t>Canoptek Doomstalker</t>
        </is>
      </c>
      <c r="F610" s="54" t="inlineStr">
        <is>
          <t>1 model</t>
        </is>
      </c>
      <c r="G610" s="54" t="inlineStr">
        <is>
          <t>Walker / Battlesuit</t>
        </is>
      </c>
      <c r="H610" s="54" t="str"/>
      <c r="I610" s="54" t="str"/>
      <c r="J610" s="54" t="str"/>
      <c r="K610" s="54" t="str"/>
      <c r="L610" s="55" t="n">
        <v>145</v>
      </c>
      <c r="M610" s="54" t="str"/>
      <c r="N610" s="54" t="inlineStr">
        <is>
          <t>Matched to Munitorum Field Manual v2.3</t>
        </is>
      </c>
      <c r="O610" s="54" t="inlineStr">
        <is>
          <t>Uploaded PDF: Munitorum Field Manual v2.3 / March 2025, p.28</t>
        </is>
      </c>
    </row>
    <row r="611">
      <c r="A611" s="54" t="inlineStr">
        <is>
          <t>Necrons</t>
        </is>
      </c>
      <c r="B611" s="54" t="str"/>
      <c r="C611" s="54" t="inlineStr">
        <is>
          <t>Vehicle / Support</t>
        </is>
      </c>
      <c r="D611" s="54" t="inlineStr">
        <is>
          <t>Walker / Battlesuit</t>
        </is>
      </c>
      <c r="E611" s="54" t="inlineStr">
        <is>
          <t>Canoptek Reanimator</t>
        </is>
      </c>
      <c r="F611" s="54" t="inlineStr">
        <is>
          <t>1 model</t>
        </is>
      </c>
      <c r="G611" s="54" t="inlineStr">
        <is>
          <t>Walker / Battlesuit</t>
        </is>
      </c>
      <c r="H611" s="54" t="str"/>
      <c r="I611" s="54" t="str"/>
      <c r="J611" s="54" t="str"/>
      <c r="K611" s="54" t="str"/>
      <c r="L611" s="55" t="n">
        <v>75</v>
      </c>
      <c r="M611" s="54" t="str"/>
      <c r="N611" s="54" t="inlineStr">
        <is>
          <t>Matched to Munitorum Field Manual v2.3</t>
        </is>
      </c>
      <c r="O611" s="54" t="inlineStr">
        <is>
          <t>Uploaded PDF: Munitorum Field Manual v2.3 / March 2025, p.28</t>
        </is>
      </c>
    </row>
    <row r="612">
      <c r="A612" s="54" t="inlineStr">
        <is>
          <t>Necrons</t>
        </is>
      </c>
      <c r="B612" s="54" t="str"/>
      <c r="C612" s="54" t="inlineStr">
        <is>
          <t>Infantry / Other</t>
        </is>
      </c>
      <c r="D612" s="54" t="inlineStr">
        <is>
          <t>Beast / Swarm</t>
        </is>
      </c>
      <c r="E612" s="54" t="inlineStr">
        <is>
          <t>Canoptek Scarab Swarms</t>
        </is>
      </c>
      <c r="F612" s="54" t="inlineStr">
        <is>
          <t>3 models</t>
        </is>
      </c>
      <c r="G612" s="54" t="inlineStr">
        <is>
          <t>Beast / Swarm</t>
        </is>
      </c>
      <c r="H612" s="54" t="str"/>
      <c r="I612" s="54" t="str"/>
      <c r="J612" s="54" t="str"/>
      <c r="K612" s="54" t="str"/>
      <c r="L612" s="55" t="n">
        <v>40</v>
      </c>
      <c r="M612" s="54" t="inlineStr">
        <is>
          <t>Points options: 3 models = 40 pts; 6 models = 80 pts</t>
        </is>
      </c>
      <c r="N612" s="54" t="inlineStr">
        <is>
          <t>Matched to Munitorum Field Manual v2.3</t>
        </is>
      </c>
      <c r="O612" s="54" t="inlineStr">
        <is>
          <t>Uploaded PDF: Munitorum Field Manual v2.3 / March 2025, p.28</t>
        </is>
      </c>
    </row>
    <row r="613">
      <c r="A613" s="54" t="inlineStr">
        <is>
          <t>Necrons</t>
        </is>
      </c>
      <c r="B613" s="54" t="str"/>
      <c r="C613" s="54" t="inlineStr">
        <is>
          <t>Vehicle / Support</t>
        </is>
      </c>
      <c r="D613" s="54" t="inlineStr">
        <is>
          <t>Walker / Battlesuit</t>
        </is>
      </c>
      <c r="E613" s="54" t="inlineStr">
        <is>
          <t>Canoptek Spyders</t>
        </is>
      </c>
      <c r="F613" s="54" t="inlineStr">
        <is>
          <t>1 model</t>
        </is>
      </c>
      <c r="G613" s="54" t="inlineStr">
        <is>
          <t>Walker / Battlesuit</t>
        </is>
      </c>
      <c r="H613" s="54" t="str"/>
      <c r="I613" s="54" t="str"/>
      <c r="J613" s="54" t="str"/>
      <c r="K613" s="54" t="str"/>
      <c r="L613" s="55" t="n">
        <v>75</v>
      </c>
      <c r="M613" s="54" t="inlineStr">
        <is>
          <t>Points options: 1 model = 75 pts; 2 models = 150 pts</t>
        </is>
      </c>
      <c r="N613" s="54" t="inlineStr">
        <is>
          <t>Matched to Munitorum Field Manual v2.3</t>
        </is>
      </c>
      <c r="O613" s="54" t="inlineStr">
        <is>
          <t>Uploaded PDF: Munitorum Field Manual v2.3 / March 2025, p.28</t>
        </is>
      </c>
    </row>
    <row r="614">
      <c r="A614" s="54" t="inlineStr">
        <is>
          <t>Necrons</t>
        </is>
      </c>
      <c r="B614" s="54" t="str"/>
      <c r="C614" s="54" t="inlineStr">
        <is>
          <t>Infantry / Other</t>
        </is>
      </c>
      <c r="D614" s="54" t="inlineStr">
        <is>
          <t>Infantry</t>
        </is>
      </c>
      <c r="E614" s="54" t="inlineStr">
        <is>
          <t>Canoptek Wraiths</t>
        </is>
      </c>
      <c r="F614" s="54" t="inlineStr">
        <is>
          <t>3 models</t>
        </is>
      </c>
      <c r="G614" s="54" t="inlineStr">
        <is>
          <t>Infantry</t>
        </is>
      </c>
      <c r="H614" s="54" t="str"/>
      <c r="I614" s="54" t="str"/>
      <c r="J614" s="54" t="str"/>
      <c r="K614" s="54" t="str"/>
      <c r="L614" s="55" t="n">
        <v>115</v>
      </c>
      <c r="M614" s="54" t="inlineStr">
        <is>
          <t>Points options: 3 models = 115 pts; 6 models = 230 pts</t>
        </is>
      </c>
      <c r="N614" s="54" t="inlineStr">
        <is>
          <t>Matched to Munitorum Field Manual v2.3</t>
        </is>
      </c>
      <c r="O614" s="54" t="inlineStr">
        <is>
          <t>Uploaded PDF: Munitorum Field Manual v2.3 / March 2025, p.28</t>
        </is>
      </c>
    </row>
    <row r="615">
      <c r="A615" s="54" t="inlineStr">
        <is>
          <t>Necrons</t>
        </is>
      </c>
      <c r="B615" s="54" t="str"/>
      <c r="C615" s="54" t="inlineStr">
        <is>
          <t>Infantry / Other</t>
        </is>
      </c>
      <c r="D615" s="54" t="inlineStr">
        <is>
          <t>Infantry</t>
        </is>
      </c>
      <c r="E615" s="54" t="inlineStr">
        <is>
          <t>Catacomb Command Barge</t>
        </is>
      </c>
      <c r="F615" s="54" t="inlineStr">
        <is>
          <t>1 model</t>
        </is>
      </c>
      <c r="G615" s="54" t="inlineStr">
        <is>
          <t>Infantry</t>
        </is>
      </c>
      <c r="H615" s="54" t="str"/>
      <c r="I615" s="54" t="str"/>
      <c r="J615" s="54" t="str"/>
      <c r="K615" s="54" t="str"/>
      <c r="L615" s="55" t="n">
        <v>120</v>
      </c>
      <c r="M615" s="54" t="str"/>
      <c r="N615" s="54" t="inlineStr">
        <is>
          <t>Matched to Munitorum Field Manual v2.3</t>
        </is>
      </c>
      <c r="O615" s="54" t="inlineStr">
        <is>
          <t>Uploaded PDF: Munitorum Field Manual v2.3 / March 2025, p.28</t>
        </is>
      </c>
    </row>
    <row r="616">
      <c r="A616" s="54" t="inlineStr">
        <is>
          <t>Necrons</t>
        </is>
      </c>
      <c r="B616" s="54" t="str"/>
      <c r="C616" s="54" t="inlineStr">
        <is>
          <t>Infantry / Other</t>
        </is>
      </c>
      <c r="D616" s="54" t="inlineStr">
        <is>
          <t>Infantry</t>
        </is>
      </c>
      <c r="E616" s="54" t="inlineStr">
        <is>
          <t>Chronomancer</t>
        </is>
      </c>
      <c r="F616" s="54" t="inlineStr">
        <is>
          <t>1 model</t>
        </is>
      </c>
      <c r="G616" s="54" t="inlineStr">
        <is>
          <t>Infantry</t>
        </is>
      </c>
      <c r="H616" s="54" t="str"/>
      <c r="I616" s="54" t="str"/>
      <c r="J616" s="54" t="str"/>
      <c r="K616" s="54" t="str"/>
      <c r="L616" s="55" t="n">
        <v>65</v>
      </c>
      <c r="M616" s="54" t="str"/>
      <c r="N616" s="54" t="inlineStr">
        <is>
          <t>Matched to Munitorum Field Manual v2.3</t>
        </is>
      </c>
      <c r="O616" s="54" t="inlineStr">
        <is>
          <t>Uploaded PDF: Munitorum Field Manual v2.3 / March 2025, p.28</t>
        </is>
      </c>
    </row>
    <row r="617">
      <c r="A617" s="54" t="inlineStr">
        <is>
          <t>Necrons</t>
        </is>
      </c>
      <c r="B617" s="54" t="str"/>
      <c r="C617" s="54" t="inlineStr">
        <is>
          <t>Infantry / Other</t>
        </is>
      </c>
      <c r="D617" s="54" t="inlineStr">
        <is>
          <t>Infantry</t>
        </is>
      </c>
      <c r="E617" s="54" t="inlineStr">
        <is>
          <t>Convergence of Dominion</t>
        </is>
      </c>
      <c r="F617" s="54" t="inlineStr">
        <is>
          <t>1 model</t>
        </is>
      </c>
      <c r="G617" s="54" t="inlineStr">
        <is>
          <t>Infantry</t>
        </is>
      </c>
      <c r="H617" s="54" t="str"/>
      <c r="I617" s="54" t="str"/>
      <c r="J617" s="54" t="str"/>
      <c r="K617" s="54" t="str"/>
      <c r="L617" s="55" t="n">
        <v>60</v>
      </c>
      <c r="M617" s="54" t="inlineStr">
        <is>
          <t>Points options: 1 model = 60 pts; 2 models = 120 pts; 3 models = 180 pts</t>
        </is>
      </c>
      <c r="N617" s="54" t="inlineStr">
        <is>
          <t>Matched to Munitorum Field Manual v2.3</t>
        </is>
      </c>
      <c r="O617" s="54" t="inlineStr">
        <is>
          <t>Uploaded PDF: Munitorum Field Manual v2.3 / March 2025, p.28</t>
        </is>
      </c>
    </row>
    <row r="618">
      <c r="A618" s="54" t="inlineStr">
        <is>
          <t>Necrons</t>
        </is>
      </c>
      <c r="B618" s="54" t="str"/>
      <c r="C618" s="54" t="inlineStr">
        <is>
          <t>Monster / Heavy Support</t>
        </is>
      </c>
      <c r="D618" s="54" t="inlineStr">
        <is>
          <t>Monster</t>
        </is>
      </c>
      <c r="E618" s="54" t="inlineStr">
        <is>
          <t>C'tan Shard of the Deceiver</t>
        </is>
      </c>
      <c r="F618" s="54" t="inlineStr">
        <is>
          <t>1 model</t>
        </is>
      </c>
      <c r="G618" s="54" t="inlineStr">
        <is>
          <t>Monster</t>
        </is>
      </c>
      <c r="H618" s="54" t="str"/>
      <c r="I618" s="54" t="str"/>
      <c r="J618" s="54" t="str"/>
      <c r="K618" s="54" t="str"/>
      <c r="L618" s="55" t="n">
        <v>265</v>
      </c>
      <c r="M618" s="54" t="str"/>
      <c r="N618" s="54" t="inlineStr">
        <is>
          <t>Matched to Munitorum Field Manual v2.3</t>
        </is>
      </c>
      <c r="O618" s="54" t="inlineStr">
        <is>
          <t>Uploaded PDF: Munitorum Field Manual v2.3 / March 2025, p.28</t>
        </is>
      </c>
    </row>
    <row r="619">
      <c r="A619" s="54" t="inlineStr">
        <is>
          <t>Necrons</t>
        </is>
      </c>
      <c r="B619" s="54" t="str"/>
      <c r="C619" s="54" t="inlineStr">
        <is>
          <t>Monster / Heavy Support</t>
        </is>
      </c>
      <c r="D619" s="54" t="inlineStr">
        <is>
          <t>Monster</t>
        </is>
      </c>
      <c r="E619" s="54" t="inlineStr">
        <is>
          <t>C'tan Shard of the Nightbringer</t>
        </is>
      </c>
      <c r="F619" s="54" t="inlineStr">
        <is>
          <t>1 model</t>
        </is>
      </c>
      <c r="G619" s="54" t="inlineStr">
        <is>
          <t>Monster</t>
        </is>
      </c>
      <c r="H619" s="54" t="str"/>
      <c r="I619" s="54" t="str"/>
      <c r="J619" s="54" t="str"/>
      <c r="K619" s="54" t="str"/>
      <c r="L619" s="55" t="n">
        <v>305</v>
      </c>
      <c r="M619" s="54" t="str"/>
      <c r="N619" s="54" t="inlineStr">
        <is>
          <t>Matched to Munitorum Field Manual v2.3</t>
        </is>
      </c>
      <c r="O619" s="54" t="inlineStr">
        <is>
          <t>Uploaded PDF: Munitorum Field Manual v2.3 / March 2025, p.28</t>
        </is>
      </c>
    </row>
    <row r="620">
      <c r="A620" s="54" t="inlineStr">
        <is>
          <t>Necrons</t>
        </is>
      </c>
      <c r="B620" s="54" t="str"/>
      <c r="C620" s="54" t="inlineStr">
        <is>
          <t>Monster / Heavy Support</t>
        </is>
      </c>
      <c r="D620" s="54" t="inlineStr">
        <is>
          <t>Monster</t>
        </is>
      </c>
      <c r="E620" s="54" t="inlineStr">
        <is>
          <t>C'tan Shard of the Void Dragon</t>
        </is>
      </c>
      <c r="F620" s="54" t="inlineStr">
        <is>
          <t>1 model</t>
        </is>
      </c>
      <c r="G620" s="54" t="inlineStr">
        <is>
          <t>Monster</t>
        </is>
      </c>
      <c r="H620" s="54" t="str"/>
      <c r="I620" s="54" t="str"/>
      <c r="J620" s="54" t="str"/>
      <c r="K620" s="54" t="str"/>
      <c r="L620" s="55" t="n">
        <v>300</v>
      </c>
      <c r="M620" s="54" t="str"/>
      <c r="N620" s="54" t="inlineStr">
        <is>
          <t>Matched to Munitorum Field Manual v2.3</t>
        </is>
      </c>
      <c r="O620" s="54" t="inlineStr">
        <is>
          <t>Uploaded PDF: Munitorum Field Manual v2.3 / March 2025, p.28</t>
        </is>
      </c>
    </row>
    <row r="621">
      <c r="A621" s="54" t="inlineStr">
        <is>
          <t>Necrons</t>
        </is>
      </c>
      <c r="B621" s="54" t="str"/>
      <c r="C621" s="54" t="inlineStr">
        <is>
          <t>Infantry / Other</t>
        </is>
      </c>
      <c r="D621" s="54" t="inlineStr">
        <is>
          <t>Infantry</t>
        </is>
      </c>
      <c r="E621" s="54" t="inlineStr">
        <is>
          <t>Deathmarks</t>
        </is>
      </c>
      <c r="F621" s="54" t="inlineStr">
        <is>
          <t>5 models</t>
        </is>
      </c>
      <c r="G621" s="54" t="inlineStr">
        <is>
          <t>Infantry</t>
        </is>
      </c>
      <c r="H621" s="54" t="str"/>
      <c r="I621" s="54" t="str"/>
      <c r="J621" s="54" t="str"/>
      <c r="K621" s="54" t="str"/>
      <c r="L621" s="55" t="n">
        <v>65</v>
      </c>
      <c r="M621" s="54" t="inlineStr">
        <is>
          <t>Points options: 5 models = 65 pts; 10 models = 130 pts</t>
        </is>
      </c>
      <c r="N621" s="54" t="inlineStr">
        <is>
          <t>Matched to Munitorum Field Manual v2.3</t>
        </is>
      </c>
      <c r="O621" s="54" t="inlineStr">
        <is>
          <t>Uploaded PDF: Munitorum Field Manual v2.3 / March 2025, p.28</t>
        </is>
      </c>
    </row>
    <row r="622">
      <c r="A622" s="54" t="inlineStr">
        <is>
          <t>Necrons</t>
        </is>
      </c>
      <c r="B622" s="54" t="str"/>
      <c r="C622" s="54" t="inlineStr">
        <is>
          <t>Vehicle / Support</t>
        </is>
      </c>
      <c r="D622" s="54" t="inlineStr">
        <is>
          <t>Vehicle</t>
        </is>
      </c>
      <c r="E622" s="54" t="inlineStr">
        <is>
          <t>Doom Scythe</t>
        </is>
      </c>
      <c r="F622" s="54" t="inlineStr">
        <is>
          <t>1 model</t>
        </is>
      </c>
      <c r="G622" s="54" t="inlineStr">
        <is>
          <t>Vehicle</t>
        </is>
      </c>
      <c r="H622" s="54" t="str"/>
      <c r="I622" s="54" t="str"/>
      <c r="J622" s="54" t="str"/>
      <c r="K622" s="54" t="str"/>
      <c r="L622" s="55" t="n">
        <v>230</v>
      </c>
      <c r="M622" s="54" t="str"/>
      <c r="N622" s="54" t="inlineStr">
        <is>
          <t>Matched to Munitorum Field Manual v2.3</t>
        </is>
      </c>
      <c r="O622" s="54" t="inlineStr">
        <is>
          <t>Uploaded PDF: Munitorum Field Manual v2.3 / March 2025, p.28</t>
        </is>
      </c>
    </row>
    <row r="623">
      <c r="A623" s="54" t="inlineStr">
        <is>
          <t>Necrons</t>
        </is>
      </c>
      <c r="B623" s="54" t="str"/>
      <c r="C623" s="54" t="inlineStr">
        <is>
          <t>Vehicle / Support</t>
        </is>
      </c>
      <c r="D623" s="54" t="inlineStr">
        <is>
          <t>Vehicle</t>
        </is>
      </c>
      <c r="E623" s="54" t="inlineStr">
        <is>
          <t>Doomsday Ark</t>
        </is>
      </c>
      <c r="F623" s="54" t="inlineStr">
        <is>
          <t>1 model</t>
        </is>
      </c>
      <c r="G623" s="54" t="inlineStr">
        <is>
          <t>Vehicle</t>
        </is>
      </c>
      <c r="H623" s="54" t="str"/>
      <c r="I623" s="54" t="str"/>
      <c r="J623" s="54" t="str"/>
      <c r="K623" s="54" t="str"/>
      <c r="L623" s="55" t="n">
        <v>200</v>
      </c>
      <c r="M623" s="54" t="str"/>
      <c r="N623" s="54" t="inlineStr">
        <is>
          <t>Matched to Munitorum Field Manual v2.3</t>
        </is>
      </c>
      <c r="O623" s="54" t="inlineStr">
        <is>
          <t>Uploaded PDF: Munitorum Field Manual v2.3 / March 2025, p.28</t>
        </is>
      </c>
    </row>
    <row r="624">
      <c r="A624" s="54" t="inlineStr">
        <is>
          <t>Necrons</t>
        </is>
      </c>
      <c r="B624" s="54" t="str"/>
      <c r="C624" s="54" t="inlineStr">
        <is>
          <t>Infantry / Other</t>
        </is>
      </c>
      <c r="D624" s="54" t="inlineStr">
        <is>
          <t>Infantry</t>
        </is>
      </c>
      <c r="E624" s="54" t="inlineStr">
        <is>
          <t>Flayed Ones</t>
        </is>
      </c>
      <c r="F624" s="54" t="inlineStr">
        <is>
          <t>5 models</t>
        </is>
      </c>
      <c r="G624" s="54" t="inlineStr">
        <is>
          <t>Infantry</t>
        </is>
      </c>
      <c r="H624" s="54" t="str"/>
      <c r="I624" s="54" t="str"/>
      <c r="J624" s="54" t="str"/>
      <c r="K624" s="54" t="str"/>
      <c r="L624" s="55" t="n">
        <v>60</v>
      </c>
      <c r="M624" s="54" t="inlineStr">
        <is>
          <t>Points options: 5 models = 60 pts; 10 models = 120 pts</t>
        </is>
      </c>
      <c r="N624" s="54" t="inlineStr">
        <is>
          <t>Matched to Munitorum Field Manual v2.3</t>
        </is>
      </c>
      <c r="O624" s="54" t="inlineStr">
        <is>
          <t>Uploaded PDF: Munitorum Field Manual v2.3 / March 2025, p.28</t>
        </is>
      </c>
    </row>
    <row r="625">
      <c r="A625" s="54" t="inlineStr">
        <is>
          <t>Necrons</t>
        </is>
      </c>
      <c r="B625" s="54" t="str"/>
      <c r="C625" s="54" t="inlineStr">
        <is>
          <t>Vehicle / Support</t>
        </is>
      </c>
      <c r="D625" s="54" t="inlineStr">
        <is>
          <t>Vehicle</t>
        </is>
      </c>
      <c r="E625" s="54" t="inlineStr">
        <is>
          <t>Ghost Ark</t>
        </is>
      </c>
      <c r="F625" s="54" t="inlineStr">
        <is>
          <t>1 model</t>
        </is>
      </c>
      <c r="G625" s="54" t="inlineStr">
        <is>
          <t>Vehicle</t>
        </is>
      </c>
      <c r="H625" s="54" t="str"/>
      <c r="I625" s="54" t="str"/>
      <c r="J625" s="54" t="str"/>
      <c r="K625" s="54" t="str"/>
      <c r="L625" s="55" t="n">
        <v>115</v>
      </c>
      <c r="M625" s="54" t="str"/>
      <c r="N625" s="54" t="inlineStr">
        <is>
          <t>Matched to Munitorum Field Manual v2.3</t>
        </is>
      </c>
      <c r="O625" s="54" t="inlineStr">
        <is>
          <t>Uploaded PDF: Munitorum Field Manual v2.3 / March 2025, p.28</t>
        </is>
      </c>
    </row>
    <row r="626">
      <c r="A626" s="54" t="inlineStr">
        <is>
          <t>Necrons</t>
        </is>
      </c>
      <c r="B626" s="54" t="str"/>
      <c r="C626" s="54" t="inlineStr">
        <is>
          <t>Infantry / Other</t>
        </is>
      </c>
      <c r="D626" s="54" t="inlineStr">
        <is>
          <t>Infantry</t>
        </is>
      </c>
      <c r="E626" s="54" t="inlineStr">
        <is>
          <t>Hexmark Destroyer</t>
        </is>
      </c>
      <c r="F626" s="54" t="inlineStr">
        <is>
          <t>1 model</t>
        </is>
      </c>
      <c r="G626" s="54" t="inlineStr">
        <is>
          <t>Infantry</t>
        </is>
      </c>
      <c r="H626" s="54" t="str"/>
      <c r="I626" s="54" t="str"/>
      <c r="J626" s="54" t="str"/>
      <c r="K626" s="54" t="str"/>
      <c r="L626" s="55" t="n">
        <v>75</v>
      </c>
      <c r="M626" s="54" t="str"/>
      <c r="N626" s="54" t="inlineStr">
        <is>
          <t>Matched to Munitorum Field Manual v2.3</t>
        </is>
      </c>
      <c r="O626" s="54" t="inlineStr">
        <is>
          <t>Uploaded PDF: Munitorum Field Manual v2.3 / March 2025, p.28</t>
        </is>
      </c>
    </row>
    <row r="627">
      <c r="A627" s="54" t="inlineStr">
        <is>
          <t>Necrons</t>
        </is>
      </c>
      <c r="B627" s="54" t="str"/>
      <c r="C627" s="54" t="inlineStr">
        <is>
          <t>Infantry / Other</t>
        </is>
      </c>
      <c r="D627" s="54" t="inlineStr">
        <is>
          <t>Infantry</t>
        </is>
      </c>
      <c r="E627" s="54" t="inlineStr">
        <is>
          <t>Illuminor Szeras</t>
        </is>
      </c>
      <c r="F627" s="54" t="inlineStr">
        <is>
          <t>1 model</t>
        </is>
      </c>
      <c r="G627" s="54" t="inlineStr">
        <is>
          <t>Infantry</t>
        </is>
      </c>
      <c r="H627" s="54" t="str"/>
      <c r="I627" s="54" t="str"/>
      <c r="J627" s="54" t="str"/>
      <c r="K627" s="54" t="str"/>
      <c r="L627" s="55" t="n">
        <v>175</v>
      </c>
      <c r="M627" s="54" t="str"/>
      <c r="N627" s="54" t="inlineStr">
        <is>
          <t>Matched to Munitorum Field Manual v2.3</t>
        </is>
      </c>
      <c r="O627" s="54" t="inlineStr">
        <is>
          <t>Uploaded PDF: Munitorum Field Manual v2.3 / March 2025, p.28</t>
        </is>
      </c>
    </row>
    <row r="628">
      <c r="A628" s="54" t="inlineStr">
        <is>
          <t>Necrons</t>
        </is>
      </c>
      <c r="B628" s="54" t="str"/>
      <c r="C628" s="54" t="inlineStr">
        <is>
          <t>Infantry / Other</t>
        </is>
      </c>
      <c r="D628" s="54" t="inlineStr">
        <is>
          <t>Infantry</t>
        </is>
      </c>
      <c r="E628" s="54" t="inlineStr">
        <is>
          <t>Immortals</t>
        </is>
      </c>
      <c r="F628" s="54" t="inlineStr">
        <is>
          <t>5 models</t>
        </is>
      </c>
      <c r="G628" s="54" t="inlineStr">
        <is>
          <t>Infantry</t>
        </is>
      </c>
      <c r="H628" s="54" t="str"/>
      <c r="I628" s="54" t="str"/>
      <c r="J628" s="54" t="str"/>
      <c r="K628" s="54" t="str"/>
      <c r="L628" s="55" t="n">
        <v>70</v>
      </c>
      <c r="M628" s="54" t="inlineStr">
        <is>
          <t>Points options: 5 models = 70 pts; 10 models = 150 pts</t>
        </is>
      </c>
      <c r="N628" s="54" t="inlineStr">
        <is>
          <t>Matched to Munitorum Field Manual v2.3</t>
        </is>
      </c>
      <c r="O628" s="54" t="inlineStr">
        <is>
          <t>Uploaded PDF: Munitorum Field Manual v2.3 / March 2025, p.28</t>
        </is>
      </c>
    </row>
    <row r="629">
      <c r="A629" s="54" t="inlineStr">
        <is>
          <t>Necrons</t>
        </is>
      </c>
      <c r="B629" s="54" t="str"/>
      <c r="C629" s="54" t="inlineStr">
        <is>
          <t>Vehicle / Support</t>
        </is>
      </c>
      <c r="D629" s="54" t="inlineStr">
        <is>
          <t>Super-heavy Vehicle/Monster</t>
        </is>
      </c>
      <c r="E629" s="54" t="inlineStr">
        <is>
          <t>Imotekh the Stormlord</t>
        </is>
      </c>
      <c r="F629" s="54" t="inlineStr">
        <is>
          <t>1 model</t>
        </is>
      </c>
      <c r="G629" s="54" t="inlineStr">
        <is>
          <t>Super-heavy Vehicle/Monster</t>
        </is>
      </c>
      <c r="H629" s="54" t="str"/>
      <c r="I629" s="54" t="str"/>
      <c r="J629" s="54" t="str"/>
      <c r="K629" s="54" t="str"/>
      <c r="L629" s="55" t="n">
        <v>100</v>
      </c>
      <c r="M629" s="54" t="str"/>
      <c r="N629" s="54" t="inlineStr">
        <is>
          <t>Matched to Munitorum Field Manual v2.3</t>
        </is>
      </c>
      <c r="O629" s="54" t="inlineStr">
        <is>
          <t>Uploaded PDF: Munitorum Field Manual v2.3 / March 2025, p.28</t>
        </is>
      </c>
    </row>
    <row r="630">
      <c r="A630" s="54" t="inlineStr">
        <is>
          <t>Necrons</t>
        </is>
      </c>
      <c r="B630" s="54" t="str"/>
      <c r="C630" s="54" t="inlineStr">
        <is>
          <t>Infantry / Other</t>
        </is>
      </c>
      <c r="D630" s="54" t="inlineStr">
        <is>
          <t>Infantry</t>
        </is>
      </c>
      <c r="E630" s="54" t="inlineStr">
        <is>
          <t>Lokhust Destroyers</t>
        </is>
      </c>
      <c r="F630" s="54" t="inlineStr">
        <is>
          <t>1 model</t>
        </is>
      </c>
      <c r="G630" s="54" t="inlineStr">
        <is>
          <t>Infantry</t>
        </is>
      </c>
      <c r="H630" s="54" t="str"/>
      <c r="I630" s="54" t="str"/>
      <c r="J630" s="54" t="str"/>
      <c r="K630" s="54" t="str"/>
      <c r="L630" s="55" t="n">
        <v>35</v>
      </c>
      <c r="M630" s="54" t="inlineStr">
        <is>
          <t>Points options: 1 model = 35 pts; 2 models = 60 pts; 3 models = 90 pts; 6 models = 180 pts</t>
        </is>
      </c>
      <c r="N630" s="54" t="inlineStr">
        <is>
          <t>Matched to Munitorum Field Manual v2.3</t>
        </is>
      </c>
      <c r="O630" s="54" t="inlineStr">
        <is>
          <t>Uploaded PDF: Munitorum Field Manual v2.3 / March 2025, p.28</t>
        </is>
      </c>
    </row>
    <row r="631">
      <c r="A631" s="54" t="inlineStr">
        <is>
          <t>Necrons</t>
        </is>
      </c>
      <c r="B631" s="54" t="str"/>
      <c r="C631" s="54" t="inlineStr">
        <is>
          <t>Infantry / Other</t>
        </is>
      </c>
      <c r="D631" s="54" t="inlineStr">
        <is>
          <t>Infantry</t>
        </is>
      </c>
      <c r="E631" s="54" t="inlineStr">
        <is>
          <t>Lokhust Heavy Destroyers</t>
        </is>
      </c>
      <c r="F631" s="54" t="inlineStr">
        <is>
          <t>1 model</t>
        </is>
      </c>
      <c r="G631" s="54" t="inlineStr">
        <is>
          <t>Infantry</t>
        </is>
      </c>
      <c r="H631" s="54" t="str"/>
      <c r="I631" s="54" t="str"/>
      <c r="J631" s="54" t="str"/>
      <c r="K631" s="54" t="str"/>
      <c r="L631" s="55" t="n">
        <v>55</v>
      </c>
      <c r="M631" s="54" t="inlineStr">
        <is>
          <t>Points options: 1 model = 55 pts; 2 models = 110 pts; 3 models = 165 pts</t>
        </is>
      </c>
      <c r="N631" s="54" t="inlineStr">
        <is>
          <t>Matched to Munitorum Field Manual v2.3</t>
        </is>
      </c>
      <c r="O631" s="54" t="inlineStr">
        <is>
          <t>Uploaded PDF: Munitorum Field Manual v2.3 / March 2025, p.28</t>
        </is>
      </c>
    </row>
    <row r="632">
      <c r="A632" s="54" t="inlineStr">
        <is>
          <t>Necrons</t>
        </is>
      </c>
      <c r="B632" s="54" t="str"/>
      <c r="C632" s="54" t="inlineStr">
        <is>
          <t>Character</t>
        </is>
      </c>
      <c r="D632" s="54" t="inlineStr">
        <is>
          <t>Character</t>
        </is>
      </c>
      <c r="E632" s="54" t="inlineStr">
        <is>
          <t>Lokhust Lord</t>
        </is>
      </c>
      <c r="F632" s="54" t="inlineStr">
        <is>
          <t>1 model</t>
        </is>
      </c>
      <c r="G632" s="54" t="inlineStr">
        <is>
          <t>Character</t>
        </is>
      </c>
      <c r="H632" s="54" t="str"/>
      <c r="I632" s="54" t="str"/>
      <c r="J632" s="54" t="str"/>
      <c r="K632" s="54" t="str"/>
      <c r="L632" s="55" t="n">
        <v>80</v>
      </c>
      <c r="M632" s="54" t="str"/>
      <c r="N632" s="54" t="inlineStr">
        <is>
          <t>Matched to Munitorum Field Manual v2.3</t>
        </is>
      </c>
      <c r="O632" s="54" t="inlineStr">
        <is>
          <t>Uploaded PDF: Munitorum Field Manual v2.3 / March 2025, p.28</t>
        </is>
      </c>
    </row>
    <row r="633">
      <c r="A633" s="54" t="inlineStr">
        <is>
          <t>Necrons</t>
        </is>
      </c>
      <c r="B633" s="54" t="str"/>
      <c r="C633" s="54" t="inlineStr">
        <is>
          <t>Infantry / Other</t>
        </is>
      </c>
      <c r="D633" s="54" t="inlineStr">
        <is>
          <t>Infantry</t>
        </is>
      </c>
      <c r="E633" s="54" t="inlineStr">
        <is>
          <t>Lychguard</t>
        </is>
      </c>
      <c r="F633" s="54" t="inlineStr">
        <is>
          <t>5 models</t>
        </is>
      </c>
      <c r="G633" s="54" t="inlineStr">
        <is>
          <t>Infantry</t>
        </is>
      </c>
      <c r="H633" s="54" t="str"/>
      <c r="I633" s="54" t="str"/>
      <c r="J633" s="54" t="str"/>
      <c r="K633" s="54" t="str"/>
      <c r="L633" s="55" t="n">
        <v>85</v>
      </c>
      <c r="M633" s="54" t="inlineStr">
        <is>
          <t>Points options: 5 models = 85 pts; 10 models = 170 pts</t>
        </is>
      </c>
      <c r="N633" s="54" t="inlineStr">
        <is>
          <t>Matched to Munitorum Field Manual v2.3</t>
        </is>
      </c>
      <c r="O633" s="54" t="inlineStr">
        <is>
          <t>Uploaded PDF: Munitorum Field Manual v2.3 / March 2025, p.28</t>
        </is>
      </c>
    </row>
    <row r="634">
      <c r="A634" s="54" t="inlineStr">
        <is>
          <t>Necrons</t>
        </is>
      </c>
      <c r="B634" s="54" t="str"/>
      <c r="C634" s="54" t="inlineStr">
        <is>
          <t>Vehicle / Support</t>
        </is>
      </c>
      <c r="D634" s="54" t="inlineStr">
        <is>
          <t>Super-heavy Vehicle/Monster</t>
        </is>
      </c>
      <c r="E634" s="54" t="inlineStr">
        <is>
          <t>Monolith</t>
        </is>
      </c>
      <c r="F634" s="54" t="inlineStr">
        <is>
          <t>1 model</t>
        </is>
      </c>
      <c r="G634" s="54" t="inlineStr">
        <is>
          <t>Super-heavy Vehicle/Monster</t>
        </is>
      </c>
      <c r="H634" s="54" t="str"/>
      <c r="I634" s="54" t="str"/>
      <c r="J634" s="54" t="str"/>
      <c r="K634" s="54" t="str"/>
      <c r="L634" s="55" t="n">
        <v>400</v>
      </c>
      <c r="M634" s="54" t="str"/>
      <c r="N634" s="54" t="inlineStr">
        <is>
          <t>Matched to Munitorum Field Manual v2.3</t>
        </is>
      </c>
      <c r="O634" s="54" t="inlineStr">
        <is>
          <t>Uploaded PDF: Munitorum Field Manual v2.3 / March 2025, p.28</t>
        </is>
      </c>
    </row>
    <row r="635">
      <c r="A635" s="54" t="inlineStr">
        <is>
          <t>Necrons</t>
        </is>
      </c>
      <c r="B635" s="54" t="str"/>
      <c r="C635" s="54" t="inlineStr">
        <is>
          <t>Battleline / Core</t>
        </is>
      </c>
      <c r="D635" s="54" t="inlineStr">
        <is>
          <t>Infantry</t>
        </is>
      </c>
      <c r="E635" s="54" t="inlineStr">
        <is>
          <t>Necron Warriors</t>
        </is>
      </c>
      <c r="F635" s="54" t="inlineStr">
        <is>
          <t>10 models</t>
        </is>
      </c>
      <c r="G635" s="54" t="inlineStr">
        <is>
          <t>Infantry</t>
        </is>
      </c>
      <c r="H635" s="54" t="str"/>
      <c r="I635" s="54" t="str"/>
      <c r="J635" s="54" t="str"/>
      <c r="K635" s="54" t="str"/>
      <c r="L635" s="55" t="n">
        <v>90</v>
      </c>
      <c r="M635" s="54" t="inlineStr">
        <is>
          <t>Points options: 10 models = 90 pts; 20 models = 200 pts</t>
        </is>
      </c>
      <c r="N635" s="54" t="inlineStr">
        <is>
          <t>Matched to Munitorum Field Manual v2.3</t>
        </is>
      </c>
      <c r="O635" s="54" t="inlineStr">
        <is>
          <t>Uploaded PDF: Munitorum Field Manual v2.3 / March 2025, p.28</t>
        </is>
      </c>
    </row>
    <row r="636">
      <c r="A636" s="54" t="inlineStr">
        <is>
          <t>Necrons</t>
        </is>
      </c>
      <c r="B636" s="54" t="str"/>
      <c r="C636" s="54" t="inlineStr">
        <is>
          <t>Vehicle / Support</t>
        </is>
      </c>
      <c r="D636" s="54" t="inlineStr">
        <is>
          <t>Vehicle</t>
        </is>
      </c>
      <c r="E636" s="54" t="inlineStr">
        <is>
          <t>Night Scythe</t>
        </is>
      </c>
      <c r="F636" s="54" t="inlineStr">
        <is>
          <t>1 model</t>
        </is>
      </c>
      <c r="G636" s="54" t="inlineStr">
        <is>
          <t>Vehicle</t>
        </is>
      </c>
      <c r="H636" s="54" t="str"/>
      <c r="I636" s="54" t="str"/>
      <c r="J636" s="54" t="str"/>
      <c r="K636" s="54" t="str"/>
      <c r="L636" s="55" t="n">
        <v>145</v>
      </c>
      <c r="M636" s="54" t="str"/>
      <c r="N636" s="54" t="inlineStr">
        <is>
          <t>Matched to Munitorum Field Manual v2.3</t>
        </is>
      </c>
      <c r="O636" s="54" t="inlineStr">
        <is>
          <t>Uploaded PDF: Munitorum Field Manual v2.3 / March 2025, p.28</t>
        </is>
      </c>
    </row>
    <row r="637">
      <c r="A637" s="54" t="inlineStr">
        <is>
          <t>Necrons</t>
        </is>
      </c>
      <c r="B637" s="54" t="str"/>
      <c r="C637" s="54" t="inlineStr">
        <is>
          <t>Vehicle / Support</t>
        </is>
      </c>
      <c r="D637" s="54" t="inlineStr">
        <is>
          <t>Vehicle</t>
        </is>
      </c>
      <c r="E637" s="54" t="inlineStr">
        <is>
          <t>Obelisk</t>
        </is>
      </c>
      <c r="F637" s="54" t="inlineStr">
        <is>
          <t>1 model</t>
        </is>
      </c>
      <c r="G637" s="54" t="inlineStr">
        <is>
          <t>Vehicle</t>
        </is>
      </c>
      <c r="H637" s="54" t="str"/>
      <c r="I637" s="54" t="str"/>
      <c r="J637" s="54" t="str"/>
      <c r="K637" s="54" t="str"/>
      <c r="L637" s="55" t="n">
        <v>300</v>
      </c>
      <c r="M637" s="54" t="str"/>
      <c r="N637" s="54" t="inlineStr">
        <is>
          <t>Matched to Munitorum Field Manual v2.3</t>
        </is>
      </c>
      <c r="O637" s="54" t="inlineStr">
        <is>
          <t>Uploaded PDF: Munitorum Field Manual v2.3 / March 2025, p.28</t>
        </is>
      </c>
    </row>
    <row r="638">
      <c r="A638" s="54" t="inlineStr">
        <is>
          <t>Necrons</t>
        </is>
      </c>
      <c r="B638" s="54" t="str"/>
      <c r="C638" s="54" t="inlineStr">
        <is>
          <t>Infantry / Other</t>
        </is>
      </c>
      <c r="D638" s="54" t="inlineStr">
        <is>
          <t>Infantry</t>
        </is>
      </c>
      <c r="E638" s="54" t="inlineStr">
        <is>
          <t>Ophydian Destroyers</t>
        </is>
      </c>
      <c r="F638" s="54" t="inlineStr">
        <is>
          <t>3 models</t>
        </is>
      </c>
      <c r="G638" s="54" t="inlineStr">
        <is>
          <t>Infantry</t>
        </is>
      </c>
      <c r="H638" s="54" t="str"/>
      <c r="I638" s="54" t="str"/>
      <c r="J638" s="54" t="str"/>
      <c r="K638" s="54" t="str"/>
      <c r="L638" s="55" t="n">
        <v>80</v>
      </c>
      <c r="M638" s="54" t="inlineStr">
        <is>
          <t>Points options: 3 models = 80 pts; 6 models = 160 pts</t>
        </is>
      </c>
      <c r="N638" s="54" t="inlineStr">
        <is>
          <t>Matched to Munitorum Field Manual v2.3</t>
        </is>
      </c>
      <c r="O638" s="54" t="inlineStr">
        <is>
          <t>Uploaded PDF: Munitorum Field Manual v2.3 / March 2025, p.28</t>
        </is>
      </c>
    </row>
    <row r="639">
      <c r="A639" s="54" t="inlineStr">
        <is>
          <t>Necrons</t>
        </is>
      </c>
      <c r="B639" s="54" t="str"/>
      <c r="C639" s="54" t="inlineStr">
        <is>
          <t>Infantry / Other</t>
        </is>
      </c>
      <c r="D639" s="54" t="inlineStr">
        <is>
          <t>Infantry</t>
        </is>
      </c>
      <c r="E639" s="54" t="inlineStr">
        <is>
          <t>Orikan the Diviner</t>
        </is>
      </c>
      <c r="F639" s="54" t="inlineStr">
        <is>
          <t>1 model</t>
        </is>
      </c>
      <c r="G639" s="54" t="inlineStr">
        <is>
          <t>Infantry</t>
        </is>
      </c>
      <c r="H639" s="54" t="str"/>
      <c r="I639" s="54" t="str"/>
      <c r="J639" s="54" t="str"/>
      <c r="K639" s="54" t="str"/>
      <c r="L639" s="55" t="n">
        <v>80</v>
      </c>
      <c r="M639" s="54" t="str"/>
      <c r="N639" s="54" t="inlineStr">
        <is>
          <t>Matched to Munitorum Field Manual v2.3</t>
        </is>
      </c>
      <c r="O639" s="54" t="inlineStr">
        <is>
          <t>Uploaded PDF: Munitorum Field Manual v2.3 / March 2025, p.28</t>
        </is>
      </c>
    </row>
    <row r="640">
      <c r="A640" s="54" t="inlineStr">
        <is>
          <t>Necrons</t>
        </is>
      </c>
      <c r="B640" s="54" t="str"/>
      <c r="C640" s="54" t="inlineStr">
        <is>
          <t>Character</t>
        </is>
      </c>
      <c r="D640" s="54" t="inlineStr">
        <is>
          <t>Character</t>
        </is>
      </c>
      <c r="E640" s="54" t="inlineStr">
        <is>
          <t>Overlord</t>
        </is>
      </c>
      <c r="F640" s="54" t="inlineStr">
        <is>
          <t>1 model</t>
        </is>
      </c>
      <c r="G640" s="54" t="inlineStr">
        <is>
          <t>Character</t>
        </is>
      </c>
      <c r="H640" s="54" t="str"/>
      <c r="I640" s="54" t="str"/>
      <c r="J640" s="54" t="str"/>
      <c r="K640" s="54" t="str"/>
      <c r="L640" s="55" t="n">
        <v>85</v>
      </c>
      <c r="M640" s="54" t="str"/>
      <c r="N640" s="54" t="inlineStr">
        <is>
          <t>Matched to Munitorum Field Manual v2.3</t>
        </is>
      </c>
      <c r="O640" s="54" t="inlineStr">
        <is>
          <t>Uploaded PDF: Munitorum Field Manual v2.3 / March 2025, p.28</t>
        </is>
      </c>
    </row>
    <row r="641">
      <c r="A641" s="54" t="inlineStr">
        <is>
          <t>Necrons</t>
        </is>
      </c>
      <c r="B641" s="54" t="str"/>
      <c r="C641" s="54" t="inlineStr">
        <is>
          <t>Character</t>
        </is>
      </c>
      <c r="D641" s="54" t="inlineStr">
        <is>
          <t>Character</t>
        </is>
      </c>
      <c r="E641" s="54" t="inlineStr">
        <is>
          <t>Overlord with Translocation Shroud</t>
        </is>
      </c>
      <c r="F641" s="54" t="inlineStr">
        <is>
          <t>1 model</t>
        </is>
      </c>
      <c r="G641" s="54" t="inlineStr">
        <is>
          <t>Character</t>
        </is>
      </c>
      <c r="H641" s="54" t="str"/>
      <c r="I641" s="54" t="str"/>
      <c r="J641" s="54" t="str"/>
      <c r="K641" s="54" t="str"/>
      <c r="L641" s="55" t="n">
        <v>85</v>
      </c>
      <c r="M641" s="54" t="str"/>
      <c r="N641" s="54" t="inlineStr">
        <is>
          <t>Matched to Munitorum Field Manual v2.3</t>
        </is>
      </c>
      <c r="O641" s="54" t="inlineStr">
        <is>
          <t>Uploaded PDF: Munitorum Field Manual v2.3 / March 2025, p.28</t>
        </is>
      </c>
    </row>
    <row r="642">
      <c r="A642" s="54" t="inlineStr">
        <is>
          <t>Necrons</t>
        </is>
      </c>
      <c r="B642" s="54" t="str"/>
      <c r="C642" s="54" t="inlineStr">
        <is>
          <t>Infantry / Other</t>
        </is>
      </c>
      <c r="D642" s="54" t="inlineStr">
        <is>
          <t>Infantry</t>
        </is>
      </c>
      <c r="E642" s="54" t="inlineStr">
        <is>
          <t>Plasmancer</t>
        </is>
      </c>
      <c r="F642" s="54" t="inlineStr">
        <is>
          <t>1 model</t>
        </is>
      </c>
      <c r="G642" s="54" t="inlineStr">
        <is>
          <t>Infantry</t>
        </is>
      </c>
      <c r="H642" s="54" t="str"/>
      <c r="I642" s="54" t="str"/>
      <c r="J642" s="54" t="str"/>
      <c r="K642" s="54" t="str"/>
      <c r="L642" s="55" t="n">
        <v>60</v>
      </c>
      <c r="M642" s="54" t="str"/>
      <c r="N642" s="54" t="inlineStr">
        <is>
          <t>Matched to Munitorum Field Manual v2.3</t>
        </is>
      </c>
      <c r="O642" s="54" t="inlineStr">
        <is>
          <t>Uploaded PDF: Munitorum Field Manual v2.3 / March 2025, p.28</t>
        </is>
      </c>
    </row>
    <row r="643">
      <c r="A643" s="54" t="inlineStr">
        <is>
          <t>Necrons</t>
        </is>
      </c>
      <c r="B643" s="54" t="str"/>
      <c r="C643" s="54" t="inlineStr">
        <is>
          <t>Infantry / Other</t>
        </is>
      </c>
      <c r="D643" s="54" t="inlineStr">
        <is>
          <t>Infantry</t>
        </is>
      </c>
      <c r="E643" s="54" t="inlineStr">
        <is>
          <t>Psychomancer</t>
        </is>
      </c>
      <c r="F643" s="54" t="inlineStr">
        <is>
          <t>1 model</t>
        </is>
      </c>
      <c r="G643" s="54" t="inlineStr">
        <is>
          <t>Infantry</t>
        </is>
      </c>
      <c r="H643" s="54" t="str"/>
      <c r="I643" s="54" t="str"/>
      <c r="J643" s="54" t="str"/>
      <c r="K643" s="54" t="str"/>
      <c r="L643" s="55" t="n">
        <v>55</v>
      </c>
      <c r="M643" s="54" t="str"/>
      <c r="N643" s="54" t="inlineStr">
        <is>
          <t>Matched to Munitorum Field Manual v2.3</t>
        </is>
      </c>
      <c r="O643" s="54" t="inlineStr">
        <is>
          <t>Uploaded PDF: Munitorum Field Manual v2.3 / March 2025, p.28</t>
        </is>
      </c>
    </row>
    <row r="644">
      <c r="A644" s="54" t="inlineStr">
        <is>
          <t>Necrons</t>
        </is>
      </c>
      <c r="B644" s="54" t="str"/>
      <c r="C644" s="54" t="inlineStr">
        <is>
          <t>Infantry / Other</t>
        </is>
      </c>
      <c r="D644" s="54" t="inlineStr">
        <is>
          <t>Infantry</t>
        </is>
      </c>
      <c r="E644" s="54" t="inlineStr">
        <is>
          <t>Royal Warden</t>
        </is>
      </c>
      <c r="F644" s="54" t="inlineStr">
        <is>
          <t>1 model</t>
        </is>
      </c>
      <c r="G644" s="54" t="inlineStr">
        <is>
          <t>Infantry</t>
        </is>
      </c>
      <c r="H644" s="54" t="str"/>
      <c r="I644" s="54" t="str"/>
      <c r="J644" s="54" t="str"/>
      <c r="K644" s="54" t="str"/>
      <c r="L644" s="55" t="n">
        <v>50</v>
      </c>
      <c r="M644" s="54" t="str"/>
      <c r="N644" s="54" t="inlineStr">
        <is>
          <t>Matched to Munitorum Field Manual v2.3</t>
        </is>
      </c>
      <c r="O644" s="54" t="inlineStr">
        <is>
          <t>Uploaded PDF: Munitorum Field Manual v2.3 / March 2025, p.28</t>
        </is>
      </c>
    </row>
    <row r="645">
      <c r="A645" s="54" t="inlineStr">
        <is>
          <t>Necrons</t>
        </is>
      </c>
      <c r="B645" s="54" t="str"/>
      <c r="C645" s="54" t="inlineStr">
        <is>
          <t>Infantry / Other</t>
        </is>
      </c>
      <c r="D645" s="54" t="inlineStr">
        <is>
          <t>Infantry</t>
        </is>
      </c>
      <c r="E645" s="54" t="inlineStr">
        <is>
          <t>Skorpekh Destroyers</t>
        </is>
      </c>
      <c r="F645" s="54" t="inlineStr">
        <is>
          <t>3 models</t>
        </is>
      </c>
      <c r="G645" s="54" t="inlineStr">
        <is>
          <t>Infantry</t>
        </is>
      </c>
      <c r="H645" s="54" t="str"/>
      <c r="I645" s="54" t="str"/>
      <c r="J645" s="54" t="str"/>
      <c r="K645" s="54" t="str"/>
      <c r="L645" s="55" t="n">
        <v>90</v>
      </c>
      <c r="M645" s="54" t="inlineStr">
        <is>
          <t>Points options: 3 models = 90 pts; 6 models = 180 pts</t>
        </is>
      </c>
      <c r="N645" s="54" t="inlineStr">
        <is>
          <t>Matched to Munitorum Field Manual v2.3</t>
        </is>
      </c>
      <c r="O645" s="54" t="inlineStr">
        <is>
          <t>Uploaded PDF: Munitorum Field Manual v2.3 / March 2025, p.28</t>
        </is>
      </c>
    </row>
    <row r="646">
      <c r="A646" s="54" t="inlineStr">
        <is>
          <t>Necrons</t>
        </is>
      </c>
      <c r="B646" s="54" t="str"/>
      <c r="C646" s="54" t="inlineStr">
        <is>
          <t>Character</t>
        </is>
      </c>
      <c r="D646" s="54" t="inlineStr">
        <is>
          <t>Character</t>
        </is>
      </c>
      <c r="E646" s="54" t="inlineStr">
        <is>
          <t>Skorpekh Lord</t>
        </is>
      </c>
      <c r="F646" s="54" t="inlineStr">
        <is>
          <t>1 model</t>
        </is>
      </c>
      <c r="G646" s="54" t="inlineStr">
        <is>
          <t>Character</t>
        </is>
      </c>
      <c r="H646" s="54" t="str"/>
      <c r="I646" s="54" t="str"/>
      <c r="J646" s="54" t="str"/>
      <c r="K646" s="54" t="str"/>
      <c r="L646" s="55" t="n">
        <v>80</v>
      </c>
      <c r="M646" s="54" t="str"/>
      <c r="N646" s="54" t="inlineStr">
        <is>
          <t>Matched to Munitorum Field Manual v2.3</t>
        </is>
      </c>
      <c r="O646" s="54" t="inlineStr">
        <is>
          <t>Uploaded PDF: Munitorum Field Manual v2.3 / March 2025, p.28</t>
        </is>
      </c>
    </row>
    <row r="647">
      <c r="A647" s="54" t="inlineStr">
        <is>
          <t>Necrons</t>
        </is>
      </c>
      <c r="B647" s="54" t="str"/>
      <c r="C647" s="54" t="inlineStr">
        <is>
          <t>Infantry / Other</t>
        </is>
      </c>
      <c r="D647" s="54" t="inlineStr">
        <is>
          <t>Infantry</t>
        </is>
      </c>
      <c r="E647" s="54" t="inlineStr">
        <is>
          <t>Technomancer</t>
        </is>
      </c>
      <c r="F647" s="54" t="inlineStr">
        <is>
          <t>1 model</t>
        </is>
      </c>
      <c r="G647" s="54" t="inlineStr">
        <is>
          <t>Infantry</t>
        </is>
      </c>
      <c r="H647" s="54" t="str"/>
      <c r="I647" s="54" t="str"/>
      <c r="J647" s="54" t="str"/>
      <c r="K647" s="54" t="str"/>
      <c r="L647" s="55" t="n">
        <v>85</v>
      </c>
      <c r="M647" s="54" t="str"/>
      <c r="N647" s="54" t="inlineStr">
        <is>
          <t>Matched to Munitorum Field Manual v2.3</t>
        </is>
      </c>
      <c r="O647" s="54" t="inlineStr">
        <is>
          <t>Uploaded PDF: Munitorum Field Manual v2.3 / March 2025, p.28</t>
        </is>
      </c>
    </row>
    <row r="648">
      <c r="A648" s="54" t="inlineStr">
        <is>
          <t>Necrons</t>
        </is>
      </c>
      <c r="B648" s="54" t="str"/>
      <c r="C648" s="54" t="inlineStr">
        <is>
          <t>Vehicle / Support</t>
        </is>
      </c>
      <c r="D648" s="54" t="inlineStr">
        <is>
          <t>Super-heavy Vehicle/Monster</t>
        </is>
      </c>
      <c r="E648" s="54" t="inlineStr">
        <is>
          <t>Tesseract Vault</t>
        </is>
      </c>
      <c r="F648" s="54" t="inlineStr">
        <is>
          <t>1 model</t>
        </is>
      </c>
      <c r="G648" s="54" t="inlineStr">
        <is>
          <t>Super-heavy Vehicle/Monster</t>
        </is>
      </c>
      <c r="H648" s="54" t="str"/>
      <c r="I648" s="54" t="str"/>
      <c r="J648" s="54" t="str"/>
      <c r="K648" s="54" t="str"/>
      <c r="L648" s="55" t="n">
        <v>425</v>
      </c>
      <c r="M648" s="54" t="str"/>
      <c r="N648" s="54" t="inlineStr">
        <is>
          <t>Matched to Munitorum Field Manual v2.3</t>
        </is>
      </c>
      <c r="O648" s="54" t="inlineStr">
        <is>
          <t>Uploaded PDF: Munitorum Field Manual v2.3 / March 2025, p.28</t>
        </is>
      </c>
    </row>
    <row r="649">
      <c r="A649" s="54" t="inlineStr">
        <is>
          <t>Necrons</t>
        </is>
      </c>
      <c r="B649" s="54" t="str"/>
      <c r="C649" s="54" t="inlineStr">
        <is>
          <t>Infantry / Other</t>
        </is>
      </c>
      <c r="D649" s="54" t="inlineStr">
        <is>
          <t>Infantry</t>
        </is>
      </c>
      <c r="E649" s="54" t="inlineStr">
        <is>
          <t>The Silent King</t>
        </is>
      </c>
      <c r="F649" s="54" t="inlineStr">
        <is>
          <t>3 models</t>
        </is>
      </c>
      <c r="G649" s="54" t="inlineStr">
        <is>
          <t>Infantry, Epic Hero</t>
        </is>
      </c>
      <c r="H649" s="54" t="str"/>
      <c r="I649" s="54" t="str"/>
      <c r="J649" s="54" t="str"/>
      <c r="K649" s="54" t="str"/>
      <c r="L649" s="55" t="n">
        <v>420</v>
      </c>
      <c r="M649" s="54" t="str"/>
      <c r="N649" s="54" t="inlineStr">
        <is>
          <t>Matched to Munitorum Field Manual v2.3</t>
        </is>
      </c>
      <c r="O649" s="54" t="inlineStr">
        <is>
          <t>Uploaded PDF: Munitorum Field Manual v2.3 / March 2025, p.28</t>
        </is>
      </c>
    </row>
    <row r="650">
      <c r="A650" s="54" t="inlineStr">
        <is>
          <t>Necrons</t>
        </is>
      </c>
      <c r="B650" s="54" t="str"/>
      <c r="C650" s="54" t="inlineStr">
        <is>
          <t>Infantry / Other</t>
        </is>
      </c>
      <c r="D650" s="54" t="inlineStr">
        <is>
          <t>Infantry</t>
        </is>
      </c>
      <c r="E650" s="54" t="inlineStr">
        <is>
          <t>Tomb Blades</t>
        </is>
      </c>
      <c r="F650" s="54" t="inlineStr">
        <is>
          <t>3 models</t>
        </is>
      </c>
      <c r="G650" s="54" t="inlineStr">
        <is>
          <t>Infantry</t>
        </is>
      </c>
      <c r="H650" s="54" t="str"/>
      <c r="I650" s="54" t="str"/>
      <c r="J650" s="54" t="str"/>
      <c r="K650" s="54" t="str"/>
      <c r="L650" s="55" t="n">
        <v>75</v>
      </c>
      <c r="M650" s="54" t="inlineStr">
        <is>
          <t>Points options: 3 models = 75 pts; 6 models = 150 pts</t>
        </is>
      </c>
      <c r="N650" s="54" t="inlineStr">
        <is>
          <t>Matched to Munitorum Field Manual v2.3</t>
        </is>
      </c>
      <c r="O650" s="54" t="inlineStr">
        <is>
          <t>Uploaded PDF: Munitorum Field Manual v2.3 / March 2025, p.28</t>
        </is>
      </c>
    </row>
    <row r="651">
      <c r="A651" s="54" t="inlineStr">
        <is>
          <t>Necrons</t>
        </is>
      </c>
      <c r="B651" s="54" t="str"/>
      <c r="C651" s="54" t="inlineStr">
        <is>
          <t>Infantry / Other</t>
        </is>
      </c>
      <c r="D651" s="54" t="inlineStr">
        <is>
          <t>Infantry</t>
        </is>
      </c>
      <c r="E651" s="54" t="inlineStr">
        <is>
          <t>Transcendent C'tan</t>
        </is>
      </c>
      <c r="F651" s="54" t="inlineStr">
        <is>
          <t>1 model</t>
        </is>
      </c>
      <c r="G651" s="54" t="inlineStr">
        <is>
          <t>Infantry</t>
        </is>
      </c>
      <c r="H651" s="54" t="str"/>
      <c r="I651" s="54" t="str"/>
      <c r="J651" s="54" t="str"/>
      <c r="K651" s="54" t="str"/>
      <c r="L651" s="55" t="n">
        <v>295</v>
      </c>
      <c r="M651" s="54" t="str"/>
      <c r="N651" s="54" t="inlineStr">
        <is>
          <t>Matched to Munitorum Field Manual v2.3</t>
        </is>
      </c>
      <c r="O651" s="54" t="inlineStr">
        <is>
          <t>Uploaded PDF: Munitorum Field Manual v2.3 / March 2025, p.28</t>
        </is>
      </c>
    </row>
    <row r="652">
      <c r="A652" s="54" t="inlineStr">
        <is>
          <t>Necrons</t>
        </is>
      </c>
      <c r="B652" s="54" t="str"/>
      <c r="C652" s="54" t="inlineStr">
        <is>
          <t>Infantry / Other</t>
        </is>
      </c>
      <c r="D652" s="54" t="inlineStr">
        <is>
          <t>Infantry</t>
        </is>
      </c>
      <c r="E652" s="54" t="inlineStr">
        <is>
          <t>Triarch Praetorians</t>
        </is>
      </c>
      <c r="F652" s="54" t="inlineStr">
        <is>
          <t>5 models</t>
        </is>
      </c>
      <c r="G652" s="54" t="inlineStr">
        <is>
          <t>Infantry</t>
        </is>
      </c>
      <c r="H652" s="54" t="str"/>
      <c r="I652" s="54" t="str"/>
      <c r="J652" s="54" t="str"/>
      <c r="K652" s="54" t="str"/>
      <c r="L652" s="55" t="n">
        <v>100</v>
      </c>
      <c r="M652" s="54" t="inlineStr">
        <is>
          <t>Points options: 5 models = 100 pts; 10 models = 200 pts</t>
        </is>
      </c>
      <c r="N652" s="54" t="inlineStr">
        <is>
          <t>Matched to Munitorum Field Manual v2.3</t>
        </is>
      </c>
      <c r="O652" s="54" t="inlineStr">
        <is>
          <t>Uploaded PDF: Munitorum Field Manual v2.3 / March 2025, p.28</t>
        </is>
      </c>
    </row>
    <row r="653">
      <c r="A653" s="54" t="inlineStr">
        <is>
          <t>Necrons</t>
        </is>
      </c>
      <c r="B653" s="54" t="str"/>
      <c r="C653" s="54" t="inlineStr">
        <is>
          <t>Vehicle / Support</t>
        </is>
      </c>
      <c r="D653" s="54" t="inlineStr">
        <is>
          <t>Walker / Battlesuit</t>
        </is>
      </c>
      <c r="E653" s="54" t="inlineStr">
        <is>
          <t>Triarch Stalker</t>
        </is>
      </c>
      <c r="F653" s="54" t="inlineStr">
        <is>
          <t>1 model</t>
        </is>
      </c>
      <c r="G653" s="54" t="inlineStr">
        <is>
          <t>Walker / Battlesuit</t>
        </is>
      </c>
      <c r="H653" s="54" t="str"/>
      <c r="I653" s="54" t="str"/>
      <c r="J653" s="54" t="str"/>
      <c r="K653" s="54" t="str"/>
      <c r="L653" s="55" t="n">
        <v>110</v>
      </c>
      <c r="M653" s="54" t="str"/>
      <c r="N653" s="54" t="inlineStr">
        <is>
          <t>Matched to Munitorum Field Manual v2.3</t>
        </is>
      </c>
      <c r="O653" s="54" t="inlineStr">
        <is>
          <t>Uploaded PDF: Munitorum Field Manual v2.3 / March 2025, p.28</t>
        </is>
      </c>
    </row>
    <row r="654">
      <c r="A654" s="54" t="inlineStr">
        <is>
          <t>Necrons</t>
        </is>
      </c>
      <c r="B654" s="54" t="str"/>
      <c r="C654" s="54" t="inlineStr">
        <is>
          <t>Infantry / Other</t>
        </is>
      </c>
      <c r="D654" s="54" t="inlineStr">
        <is>
          <t>Infantry</t>
        </is>
      </c>
      <c r="E654" s="54" t="inlineStr">
        <is>
          <t>Trazyn the Infinite</t>
        </is>
      </c>
      <c r="F654" s="54" t="inlineStr">
        <is>
          <t>1 model</t>
        </is>
      </c>
      <c r="G654" s="54" t="inlineStr">
        <is>
          <t>Infantry</t>
        </is>
      </c>
      <c r="H654" s="54" t="str"/>
      <c r="I654" s="54" t="str"/>
      <c r="J654" s="54" t="str"/>
      <c r="K654" s="54" t="str"/>
      <c r="L654" s="55" t="n">
        <v>75</v>
      </c>
      <c r="M654" s="54" t="str"/>
      <c r="N654" s="54" t="inlineStr">
        <is>
          <t>Matched to Munitorum Field Manual v2.3</t>
        </is>
      </c>
      <c r="O654" s="54" t="inlineStr">
        <is>
          <t>Uploaded PDF: Munitorum Field Manual v2.3 / March 2025, p.28</t>
        </is>
      </c>
    </row>
    <row r="655">
      <c r="A655" s="54" t="inlineStr">
        <is>
          <t>Orks</t>
        </is>
      </c>
      <c r="B655" s="54" t="str"/>
      <c r="C655" s="54" t="inlineStr">
        <is>
          <t>Vehicle / Support</t>
        </is>
      </c>
      <c r="D655" s="54" t="inlineStr">
        <is>
          <t>Vehicle</t>
        </is>
      </c>
      <c r="E655" s="54" t="inlineStr">
        <is>
          <t>Battlewagon</t>
        </is>
      </c>
      <c r="F655" s="54" t="inlineStr">
        <is>
          <t>1 model</t>
        </is>
      </c>
      <c r="G655" s="54" t="inlineStr">
        <is>
          <t>Vehicle</t>
        </is>
      </c>
      <c r="H655" s="54" t="str"/>
      <c r="I655" s="54" t="str"/>
      <c r="J655" s="54" t="str"/>
      <c r="K655" s="54" t="str"/>
      <c r="L655" s="55" t="n">
        <v>160</v>
      </c>
      <c r="M655" s="54" t="str"/>
      <c r="N655" s="54" t="inlineStr">
        <is>
          <t>Matched to Munitorum Field Manual v2.3</t>
        </is>
      </c>
      <c r="O655" s="54" t="inlineStr">
        <is>
          <t>Uploaded PDF: Munitorum Field Manual v2.3 / March 2025, p.29</t>
        </is>
      </c>
    </row>
    <row r="656">
      <c r="A656" s="54" t="inlineStr">
        <is>
          <t>Orks</t>
        </is>
      </c>
      <c r="B656" s="54" t="str"/>
      <c r="C656" s="54" t="inlineStr">
        <is>
          <t>Battleline / Core</t>
        </is>
      </c>
      <c r="D656" s="54" t="inlineStr">
        <is>
          <t>Beast / Swarm</t>
        </is>
      </c>
      <c r="E656" s="54" t="inlineStr">
        <is>
          <t>Beast Snagga Boyz</t>
        </is>
      </c>
      <c r="F656" s="54" t="inlineStr">
        <is>
          <t>10 models</t>
        </is>
      </c>
      <c r="G656" s="54" t="inlineStr">
        <is>
          <t>Beast / Swarm</t>
        </is>
      </c>
      <c r="H656" s="54" t="str"/>
      <c r="I656" s="54" t="str"/>
      <c r="J656" s="54" t="str"/>
      <c r="K656" s="54" t="str"/>
      <c r="L656" s="55" t="n">
        <v>95</v>
      </c>
      <c r="M656" s="54" t="inlineStr">
        <is>
          <t>Points options: 10 models = 95 pts; 20 models = 190 pts</t>
        </is>
      </c>
      <c r="N656" s="54" t="inlineStr">
        <is>
          <t>Matched to Munitorum Field Manual v2.3</t>
        </is>
      </c>
      <c r="O656" s="54" t="inlineStr">
        <is>
          <t>Uploaded PDF: Munitorum Field Manual v2.3 / March 2025, p.29</t>
        </is>
      </c>
    </row>
    <row r="657">
      <c r="A657" s="54" t="inlineStr">
        <is>
          <t>Orks</t>
        </is>
      </c>
      <c r="B657" s="54" t="str"/>
      <c r="C657" s="54" t="inlineStr">
        <is>
          <t>Character</t>
        </is>
      </c>
      <c r="D657" s="54" t="inlineStr">
        <is>
          <t>Character</t>
        </is>
      </c>
      <c r="E657" s="54" t="inlineStr">
        <is>
          <t>Beastboss</t>
        </is>
      </c>
      <c r="F657" s="54" t="inlineStr">
        <is>
          <t>1 model</t>
        </is>
      </c>
      <c r="G657" s="54" t="inlineStr">
        <is>
          <t>Character</t>
        </is>
      </c>
      <c r="H657" s="54" t="str"/>
      <c r="I657" s="54" t="str"/>
      <c r="J657" s="54" t="str"/>
      <c r="K657" s="54" t="str"/>
      <c r="L657" s="55" t="n">
        <v>80</v>
      </c>
      <c r="M657" s="54" t="str"/>
      <c r="N657" s="54" t="inlineStr">
        <is>
          <t>Matched to Munitorum Field Manual v2.3</t>
        </is>
      </c>
      <c r="O657" s="54" t="inlineStr">
        <is>
          <t>Uploaded PDF: Munitorum Field Manual v2.3 / March 2025, p.29</t>
        </is>
      </c>
    </row>
    <row r="658">
      <c r="A658" s="54" t="inlineStr">
        <is>
          <t>Orks</t>
        </is>
      </c>
      <c r="B658" s="54" t="str"/>
      <c r="C658" s="54" t="inlineStr">
        <is>
          <t>Character</t>
        </is>
      </c>
      <c r="D658" s="54" t="inlineStr">
        <is>
          <t>Character</t>
        </is>
      </c>
      <c r="E658" s="54" t="inlineStr">
        <is>
          <t>Beastboss on Squigosaur</t>
        </is>
      </c>
      <c r="F658" s="54" t="inlineStr">
        <is>
          <t>1 model</t>
        </is>
      </c>
      <c r="G658" s="54" t="inlineStr">
        <is>
          <t>Character</t>
        </is>
      </c>
      <c r="H658" s="54" t="str"/>
      <c r="I658" s="54" t="str"/>
      <c r="J658" s="54" t="str"/>
      <c r="K658" s="54" t="str"/>
      <c r="L658" s="55" t="n">
        <v>130</v>
      </c>
      <c r="M658" s="54" t="str"/>
      <c r="N658" s="54" t="inlineStr">
        <is>
          <t>Matched to Munitorum Field Manual v2.3</t>
        </is>
      </c>
      <c r="O658" s="54" t="inlineStr">
        <is>
          <t>Uploaded PDF: Munitorum Field Manual v2.3 / March 2025, p.29</t>
        </is>
      </c>
    </row>
    <row r="659">
      <c r="A659" s="54" t="inlineStr">
        <is>
          <t>Orks</t>
        </is>
      </c>
      <c r="B659" s="54" t="str"/>
      <c r="C659" s="54" t="inlineStr">
        <is>
          <t>Character</t>
        </is>
      </c>
      <c r="D659" s="54" t="inlineStr">
        <is>
          <t>Character</t>
        </is>
      </c>
      <c r="E659" s="54" t="inlineStr">
        <is>
          <t>Big Mek</t>
        </is>
      </c>
      <c r="F659" s="54" t="inlineStr">
        <is>
          <t>1 model</t>
        </is>
      </c>
      <c r="G659" s="54" t="inlineStr">
        <is>
          <t>Character</t>
        </is>
      </c>
      <c r="H659" s="54" t="str"/>
      <c r="I659" s="54" t="str"/>
      <c r="J659" s="54" t="str"/>
      <c r="K659" s="54" t="str"/>
      <c r="L659" s="55" t="n">
        <v>70</v>
      </c>
      <c r="M659" s="54" t="str"/>
      <c r="N659" s="54" t="inlineStr">
        <is>
          <t>Matched to Munitorum Field Manual v2.3</t>
        </is>
      </c>
      <c r="O659" s="54" t="inlineStr">
        <is>
          <t>Uploaded PDF: Munitorum Field Manual v2.3 / March 2025, p.29</t>
        </is>
      </c>
    </row>
    <row r="660">
      <c r="A660" s="54" t="inlineStr">
        <is>
          <t>Orks</t>
        </is>
      </c>
      <c r="B660" s="54" t="str"/>
      <c r="C660" s="54" t="inlineStr">
        <is>
          <t>Character</t>
        </is>
      </c>
      <c r="D660" s="54" t="inlineStr">
        <is>
          <t>Character</t>
        </is>
      </c>
      <c r="E660" s="54" t="inlineStr">
        <is>
          <t>Big Mek in Mega Armour</t>
        </is>
      </c>
      <c r="F660" s="54" t="inlineStr">
        <is>
          <t>1 model</t>
        </is>
      </c>
      <c r="G660" s="54" t="inlineStr">
        <is>
          <t>Character</t>
        </is>
      </c>
      <c r="H660" s="54" t="str"/>
      <c r="I660" s="54" t="str"/>
      <c r="J660" s="54" t="str"/>
      <c r="K660" s="54" t="str"/>
      <c r="L660" s="55" t="n">
        <v>90</v>
      </c>
      <c r="M660" s="54" t="str"/>
      <c r="N660" s="54" t="inlineStr">
        <is>
          <t>Matched to Munitorum Field Manual v2.3</t>
        </is>
      </c>
      <c r="O660" s="54" t="inlineStr">
        <is>
          <t>Uploaded PDF: Munitorum Field Manual v2.3 / March 2025, p.29</t>
        </is>
      </c>
    </row>
    <row r="661">
      <c r="A661" s="54" t="inlineStr">
        <is>
          <t>Orks</t>
        </is>
      </c>
      <c r="B661" s="54" t="str"/>
      <c r="C661" s="54" t="inlineStr">
        <is>
          <t>Character</t>
        </is>
      </c>
      <c r="D661" s="54" t="inlineStr">
        <is>
          <t>Character</t>
        </is>
      </c>
      <c r="E661" s="54" t="inlineStr">
        <is>
          <t>Big Mek with Shokk Attack Gun</t>
        </is>
      </c>
      <c r="F661" s="54" t="inlineStr">
        <is>
          <t>1 model</t>
        </is>
      </c>
      <c r="G661" s="54" t="inlineStr">
        <is>
          <t>Character</t>
        </is>
      </c>
      <c r="H661" s="54" t="str"/>
      <c r="I661" s="54" t="str"/>
      <c r="J661" s="54" t="str"/>
      <c r="K661" s="54" t="str"/>
      <c r="L661" s="55" t="n">
        <v>75</v>
      </c>
      <c r="M661" s="54" t="str"/>
      <c r="N661" s="54" t="inlineStr">
        <is>
          <t>Matched to Munitorum Field Manual v2.3</t>
        </is>
      </c>
      <c r="O661" s="54" t="inlineStr">
        <is>
          <t>Uploaded PDF: Munitorum Field Manual v2.3 / March 2025, p.29</t>
        </is>
      </c>
    </row>
    <row r="662">
      <c r="A662" s="54" t="inlineStr">
        <is>
          <t>Orks</t>
        </is>
      </c>
      <c r="B662" s="54" t="str"/>
      <c r="C662" s="54" t="inlineStr">
        <is>
          <t>Vehicle / Support</t>
        </is>
      </c>
      <c r="D662" s="54" t="inlineStr">
        <is>
          <t>Vehicle</t>
        </is>
      </c>
      <c r="E662" s="54" t="inlineStr">
        <is>
          <t>Blitza-bommer</t>
        </is>
      </c>
      <c r="F662" s="54" t="inlineStr">
        <is>
          <t>1 model</t>
        </is>
      </c>
      <c r="G662" s="54" t="inlineStr">
        <is>
          <t>Vehicle</t>
        </is>
      </c>
      <c r="H662" s="54" t="str"/>
      <c r="I662" s="54" t="str"/>
      <c r="J662" s="54" t="str"/>
      <c r="K662" s="54" t="str"/>
      <c r="L662" s="55" t="n">
        <v>115</v>
      </c>
      <c r="M662" s="54" t="str"/>
      <c r="N662" s="54" t="inlineStr">
        <is>
          <t>Matched to Munitorum Field Manual v2.3</t>
        </is>
      </c>
      <c r="O662" s="54" t="inlineStr">
        <is>
          <t>Uploaded PDF: Munitorum Field Manual v2.3 / March 2025, p.29</t>
        </is>
      </c>
    </row>
    <row r="663">
      <c r="A663" s="54" t="inlineStr">
        <is>
          <t>Orks</t>
        </is>
      </c>
      <c r="B663" s="54" t="str"/>
      <c r="C663" s="54" t="inlineStr">
        <is>
          <t>Vehicle / Support</t>
        </is>
      </c>
      <c r="D663" s="54" t="inlineStr">
        <is>
          <t>Vehicle</t>
        </is>
      </c>
      <c r="E663" s="54" t="inlineStr">
        <is>
          <t>Boomdakka Snazzwagon</t>
        </is>
      </c>
      <c r="F663" s="54" t="inlineStr">
        <is>
          <t>1 model</t>
        </is>
      </c>
      <c r="G663" s="54" t="inlineStr">
        <is>
          <t>Vehicle</t>
        </is>
      </c>
      <c r="H663" s="54" t="str"/>
      <c r="I663" s="54" t="str"/>
      <c r="J663" s="54" t="str"/>
      <c r="K663" s="54" t="str"/>
      <c r="L663" s="55" t="n">
        <v>80</v>
      </c>
      <c r="M663" s="54" t="str"/>
      <c r="N663" s="54" t="inlineStr">
        <is>
          <t>Matched to Munitorum Field Manual v2.3</t>
        </is>
      </c>
      <c r="O663" s="54" t="inlineStr">
        <is>
          <t>Uploaded PDF: Munitorum Field Manual v2.3 / March 2025, p.29</t>
        </is>
      </c>
    </row>
    <row r="664">
      <c r="A664" s="54" t="inlineStr">
        <is>
          <t>Orks</t>
        </is>
      </c>
      <c r="B664" s="54" t="str"/>
      <c r="C664" s="54" t="inlineStr">
        <is>
          <t>Character</t>
        </is>
      </c>
      <c r="D664" s="54" t="inlineStr">
        <is>
          <t>Character</t>
        </is>
      </c>
      <c r="E664" s="54" t="inlineStr">
        <is>
          <t>Boss Snikrot</t>
        </is>
      </c>
      <c r="F664" s="54" t="inlineStr">
        <is>
          <t>1 model</t>
        </is>
      </c>
      <c r="G664" s="54" t="inlineStr">
        <is>
          <t>Character</t>
        </is>
      </c>
      <c r="H664" s="54" t="str"/>
      <c r="I664" s="54" t="str"/>
      <c r="J664" s="54" t="str"/>
      <c r="K664" s="54" t="str"/>
      <c r="L664" s="55" t="n">
        <v>95</v>
      </c>
      <c r="M664" s="54" t="str"/>
      <c r="N664" s="54" t="inlineStr">
        <is>
          <t>Matched to Munitorum Field Manual v2.3</t>
        </is>
      </c>
      <c r="O664" s="54" t="inlineStr">
        <is>
          <t>Uploaded PDF: Munitorum Field Manual v2.3 / March 2025, p.29</t>
        </is>
      </c>
    </row>
    <row r="665">
      <c r="A665" s="54" t="inlineStr">
        <is>
          <t>Orks</t>
        </is>
      </c>
      <c r="B665" s="54" t="str"/>
      <c r="C665" s="54" t="inlineStr">
        <is>
          <t>Character</t>
        </is>
      </c>
      <c r="D665" s="54" t="inlineStr">
        <is>
          <t>Character</t>
        </is>
      </c>
      <c r="E665" s="54" t="inlineStr">
        <is>
          <t>Boss Zagstruk</t>
        </is>
      </c>
      <c r="F665" s="54" t="n"/>
      <c r="G665" s="54" t="inlineStr">
        <is>
          <t>Character</t>
        </is>
      </c>
      <c r="H665" s="54" t="str"/>
      <c r="I665" s="54" t="str"/>
      <c r="J665" s="54" t="str"/>
      <c r="K665" s="54" t="str"/>
      <c r="L665" s="55" t="n"/>
      <c r="M665" s="54" t="inlineStr">
        <is>
          <t>No matching points entry found in uploaded PDF; verify unit name/current support.</t>
        </is>
      </c>
      <c r="N665" s="54" t="inlineStr">
        <is>
          <t>Not found in uploaded PDF</t>
        </is>
      </c>
      <c r="O665" s="54" t="inlineStr">
        <is>
          <t>Uploaded PDF: Munitorum Field Manual v2.3 / March 2025</t>
        </is>
      </c>
    </row>
    <row r="666">
      <c r="A666" s="54" t="inlineStr">
        <is>
          <t>Orks</t>
        </is>
      </c>
      <c r="B666" s="54" t="str"/>
      <c r="C666" s="54" t="inlineStr">
        <is>
          <t>Battleline / Core</t>
        </is>
      </c>
      <c r="D666" s="54" t="inlineStr">
        <is>
          <t>Infantry</t>
        </is>
      </c>
      <c r="E666" s="54" t="inlineStr">
        <is>
          <t>Boyz</t>
        </is>
      </c>
      <c r="F666" s="54" t="inlineStr">
        <is>
          <t>10 models</t>
        </is>
      </c>
      <c r="G666" s="54" t="inlineStr">
        <is>
          <t>Infantry</t>
        </is>
      </c>
      <c r="H666" s="54" t="str"/>
      <c r="I666" s="54" t="str"/>
      <c r="J666" s="54" t="str"/>
      <c r="K666" s="54" t="str"/>
      <c r="L666" s="55" t="n">
        <v>80</v>
      </c>
      <c r="M666" s="54" t="inlineStr">
        <is>
          <t>Points options: 10 models = 80 pts; 20 models = 160 pts</t>
        </is>
      </c>
      <c r="N666" s="54" t="inlineStr">
        <is>
          <t>Matched to Munitorum Field Manual v2.3</t>
        </is>
      </c>
      <c r="O666" s="54" t="inlineStr">
        <is>
          <t>Uploaded PDF: Munitorum Field Manual v2.3 / March 2025, p.29</t>
        </is>
      </c>
    </row>
    <row r="667">
      <c r="A667" s="54" t="inlineStr">
        <is>
          <t>Orks</t>
        </is>
      </c>
      <c r="B667" s="54" t="str"/>
      <c r="C667" s="54" t="inlineStr">
        <is>
          <t>Battleline / Core</t>
        </is>
      </c>
      <c r="D667" s="54" t="inlineStr">
        <is>
          <t>Infantry</t>
        </is>
      </c>
      <c r="E667" s="54" t="inlineStr">
        <is>
          <t>Burna Boyz</t>
        </is>
      </c>
      <c r="F667" s="54" t="inlineStr">
        <is>
          <t>1 Spanner and 4 Burna Boyz</t>
        </is>
      </c>
      <c r="G667" s="54" t="inlineStr">
        <is>
          <t>Infantry</t>
        </is>
      </c>
      <c r="H667" s="54" t="str"/>
      <c r="I667" s="54" t="str"/>
      <c r="J667" s="54" t="str"/>
      <c r="K667" s="54" t="str"/>
      <c r="L667" s="55" t="n">
        <v>60</v>
      </c>
      <c r="M667" s="54" t="inlineStr">
        <is>
          <t>Points options: 1 Spanner and 4 Burna Boyz = 60 pts; 2 Spanners and 8 Burna Boyz = 120 pts</t>
        </is>
      </c>
      <c r="N667" s="54" t="inlineStr">
        <is>
          <t>Matched to Munitorum Field Manual v2.3</t>
        </is>
      </c>
      <c r="O667" s="54" t="inlineStr">
        <is>
          <t>Uploaded PDF: Munitorum Field Manual v2.3 / March 2025, p.29</t>
        </is>
      </c>
    </row>
    <row r="668">
      <c r="A668" s="54" t="inlineStr">
        <is>
          <t>Orks</t>
        </is>
      </c>
      <c r="B668" s="54" t="str"/>
      <c r="C668" s="54" t="inlineStr">
        <is>
          <t>Vehicle / Support</t>
        </is>
      </c>
      <c r="D668" s="54" t="inlineStr">
        <is>
          <t>Vehicle</t>
        </is>
      </c>
      <c r="E668" s="54" t="inlineStr">
        <is>
          <t>Burna-bommer</t>
        </is>
      </c>
      <c r="F668" s="54" t="inlineStr">
        <is>
          <t>1 model</t>
        </is>
      </c>
      <c r="G668" s="54" t="inlineStr">
        <is>
          <t>Vehicle</t>
        </is>
      </c>
      <c r="H668" s="54" t="str"/>
      <c r="I668" s="54" t="str"/>
      <c r="J668" s="54" t="str"/>
      <c r="K668" s="54" t="str"/>
      <c r="L668" s="55" t="n">
        <v>125</v>
      </c>
      <c r="M668" s="54" t="str"/>
      <c r="N668" s="54" t="inlineStr">
        <is>
          <t>Matched to Munitorum Field Manual v2.3</t>
        </is>
      </c>
      <c r="O668" s="54" t="inlineStr">
        <is>
          <t>Uploaded PDF: Munitorum Field Manual v2.3 / March 2025, p.29</t>
        </is>
      </c>
    </row>
    <row r="669">
      <c r="A669" s="54" t="inlineStr">
        <is>
          <t>Orks</t>
        </is>
      </c>
      <c r="B669" s="54" t="str"/>
      <c r="C669" s="54" t="inlineStr">
        <is>
          <t>Vehicle / Support</t>
        </is>
      </c>
      <c r="D669" s="54" t="inlineStr">
        <is>
          <t>Vehicle</t>
        </is>
      </c>
      <c r="E669" s="54" t="inlineStr">
        <is>
          <t>Dakkajet</t>
        </is>
      </c>
      <c r="F669" s="54" t="inlineStr">
        <is>
          <t>1 model</t>
        </is>
      </c>
      <c r="G669" s="54" t="inlineStr">
        <is>
          <t>Vehicle</t>
        </is>
      </c>
      <c r="H669" s="54" t="str"/>
      <c r="I669" s="54" t="str"/>
      <c r="J669" s="54" t="str"/>
      <c r="K669" s="54" t="str"/>
      <c r="L669" s="55" t="n">
        <v>135</v>
      </c>
      <c r="M669" s="54" t="str"/>
      <c r="N669" s="54" t="inlineStr">
        <is>
          <t>Matched to Munitorum Field Manual v2.3</t>
        </is>
      </c>
      <c r="O669" s="54" t="inlineStr">
        <is>
          <t>Uploaded PDF: Munitorum Field Manual v2.3 / March 2025, p.29</t>
        </is>
      </c>
    </row>
    <row r="670">
      <c r="A670" s="54" t="inlineStr">
        <is>
          <t>Orks</t>
        </is>
      </c>
      <c r="B670" s="54" t="str"/>
      <c r="C670" s="54" t="inlineStr">
        <is>
          <t>Vehicle / Support</t>
        </is>
      </c>
      <c r="D670" s="54" t="inlineStr">
        <is>
          <t>Walker / Battlesuit</t>
        </is>
      </c>
      <c r="E670" s="54" t="inlineStr">
        <is>
          <t>Deff Dread</t>
        </is>
      </c>
      <c r="F670" s="54" t="inlineStr">
        <is>
          <t>1 model</t>
        </is>
      </c>
      <c r="G670" s="54" t="inlineStr">
        <is>
          <t>Walker / Battlesuit</t>
        </is>
      </c>
      <c r="H670" s="54" t="str"/>
      <c r="I670" s="54" t="str"/>
      <c r="J670" s="54" t="str"/>
      <c r="K670" s="54" t="str"/>
      <c r="L670" s="55" t="n">
        <v>120</v>
      </c>
      <c r="M670" s="54" t="str"/>
      <c r="N670" s="54" t="inlineStr">
        <is>
          <t>Matched to Munitorum Field Manual v2.3</t>
        </is>
      </c>
      <c r="O670" s="54" t="inlineStr">
        <is>
          <t>Uploaded PDF: Munitorum Field Manual v2.3 / March 2025, p.29</t>
        </is>
      </c>
    </row>
    <row r="671">
      <c r="A671" s="54" t="inlineStr">
        <is>
          <t>Orks</t>
        </is>
      </c>
      <c r="B671" s="54" t="str"/>
      <c r="C671" s="54" t="inlineStr">
        <is>
          <t>Infantry / Other</t>
        </is>
      </c>
      <c r="D671" s="54" t="inlineStr">
        <is>
          <t>Infantry</t>
        </is>
      </c>
      <c r="E671" s="54" t="inlineStr">
        <is>
          <t>Deffkilla Wartrike</t>
        </is>
      </c>
      <c r="F671" s="54" t="inlineStr">
        <is>
          <t>1 model</t>
        </is>
      </c>
      <c r="G671" s="54" t="inlineStr">
        <is>
          <t>Infantry</t>
        </is>
      </c>
      <c r="H671" s="54" t="str"/>
      <c r="I671" s="54" t="str"/>
      <c r="J671" s="54" t="str"/>
      <c r="K671" s="54" t="str"/>
      <c r="L671" s="55" t="n">
        <v>80</v>
      </c>
      <c r="M671" s="54" t="str"/>
      <c r="N671" s="54" t="inlineStr">
        <is>
          <t>Matched to Munitorum Field Manual v2.3</t>
        </is>
      </c>
      <c r="O671" s="54" t="inlineStr">
        <is>
          <t>Uploaded PDF: Munitorum Field Manual v2.3 / March 2025, p.29</t>
        </is>
      </c>
    </row>
    <row r="672">
      <c r="A672" s="54" t="inlineStr">
        <is>
          <t>Orks</t>
        </is>
      </c>
      <c r="B672" s="54" t="str"/>
      <c r="C672" s="54" t="inlineStr">
        <is>
          <t>Infantry / Other</t>
        </is>
      </c>
      <c r="D672" s="54" t="inlineStr">
        <is>
          <t>Infantry</t>
        </is>
      </c>
      <c r="E672" s="54" t="inlineStr">
        <is>
          <t>Deffkoptas</t>
        </is>
      </c>
      <c r="F672" s="54" t="inlineStr">
        <is>
          <t>3 models</t>
        </is>
      </c>
      <c r="G672" s="54" t="inlineStr">
        <is>
          <t>Infantry</t>
        </is>
      </c>
      <c r="H672" s="54" t="str"/>
      <c r="I672" s="54" t="str"/>
      <c r="J672" s="54" t="str"/>
      <c r="K672" s="54" t="str"/>
      <c r="L672" s="55" t="n">
        <v>90</v>
      </c>
      <c r="M672" s="54" t="inlineStr">
        <is>
          <t>Points options: 3 models = 90 pts; 6 models = 180 pts</t>
        </is>
      </c>
      <c r="N672" s="54" t="inlineStr">
        <is>
          <t>Matched to Munitorum Field Manual v2.3</t>
        </is>
      </c>
      <c r="O672" s="54" t="inlineStr">
        <is>
          <t>Uploaded PDF: Munitorum Field Manual v2.3 / March 2025, p.29</t>
        </is>
      </c>
    </row>
    <row r="673">
      <c r="A673" s="54" t="inlineStr">
        <is>
          <t>Orks</t>
        </is>
      </c>
      <c r="B673" s="54" t="str"/>
      <c r="C673" s="54" t="inlineStr">
        <is>
          <t>Infantry / Other</t>
        </is>
      </c>
      <c r="D673" s="54" t="inlineStr">
        <is>
          <t>Infantry</t>
        </is>
      </c>
      <c r="E673" s="54" t="inlineStr">
        <is>
          <t>Flash Gitz</t>
        </is>
      </c>
      <c r="F673" s="54" t="inlineStr">
        <is>
          <t>5 models</t>
        </is>
      </c>
      <c r="G673" s="54" t="inlineStr">
        <is>
          <t>Infantry</t>
        </is>
      </c>
      <c r="H673" s="54" t="str"/>
      <c r="I673" s="54" t="str"/>
      <c r="J673" s="54" t="str"/>
      <c r="K673" s="54" t="str"/>
      <c r="L673" s="55" t="n">
        <v>80</v>
      </c>
      <c r="M673" s="54" t="inlineStr">
        <is>
          <t>Points options: 5 models = 80 pts; 10 models = 160 pts</t>
        </is>
      </c>
      <c r="N673" s="54" t="inlineStr">
        <is>
          <t>Matched to Munitorum Field Manual v2.3</t>
        </is>
      </c>
      <c r="O673" s="54" t="inlineStr">
        <is>
          <t>Uploaded PDF: Munitorum Field Manual v2.3 / March 2025, p.29</t>
        </is>
      </c>
    </row>
    <row r="674">
      <c r="A674" s="54" t="inlineStr">
        <is>
          <t>Orks</t>
        </is>
      </c>
      <c r="B674" s="54" t="str"/>
      <c r="C674" s="54" t="inlineStr">
        <is>
          <t>Character</t>
        </is>
      </c>
      <c r="D674" s="54" t="inlineStr">
        <is>
          <t>Character</t>
        </is>
      </c>
      <c r="E674" s="54" t="inlineStr">
        <is>
          <t>Ghazghkull Thraka</t>
        </is>
      </c>
      <c r="F674" s="54" t="inlineStr">
        <is>
          <t>2 models</t>
        </is>
      </c>
      <c r="G674" s="54" t="inlineStr">
        <is>
          <t>Character, Epic Hero</t>
        </is>
      </c>
      <c r="H674" s="54" t="str"/>
      <c r="I674" s="54" t="str"/>
      <c r="J674" s="54" t="str"/>
      <c r="K674" s="54" t="str"/>
      <c r="L674" s="55" t="n">
        <v>235</v>
      </c>
      <c r="M674" s="54" t="str"/>
      <c r="N674" s="54" t="inlineStr">
        <is>
          <t>Matched to Munitorum Field Manual v2.3</t>
        </is>
      </c>
      <c r="O674" s="54" t="inlineStr">
        <is>
          <t>Uploaded PDF: Munitorum Field Manual v2.3 / March 2025, p.29</t>
        </is>
      </c>
    </row>
    <row r="675">
      <c r="A675" s="54" t="inlineStr">
        <is>
          <t>Orks</t>
        </is>
      </c>
      <c r="B675" s="54" t="str"/>
      <c r="C675" s="54" t="inlineStr">
        <is>
          <t>Vehicle / Support</t>
        </is>
      </c>
      <c r="D675" s="54" t="inlineStr">
        <is>
          <t>Walker / Battlesuit</t>
        </is>
      </c>
      <c r="E675" s="54" t="inlineStr">
        <is>
          <t>Gorkanaut</t>
        </is>
      </c>
      <c r="F675" s="54" t="inlineStr">
        <is>
          <t>1 model</t>
        </is>
      </c>
      <c r="G675" s="54" t="inlineStr">
        <is>
          <t>Walker / Battlesuit</t>
        </is>
      </c>
      <c r="H675" s="54" t="str"/>
      <c r="I675" s="54" t="str"/>
      <c r="J675" s="54" t="str"/>
      <c r="K675" s="54" t="str"/>
      <c r="L675" s="55" t="n">
        <v>265</v>
      </c>
      <c r="M675" s="54" t="str"/>
      <c r="N675" s="54" t="inlineStr">
        <is>
          <t>Matched to Munitorum Field Manual v2.3</t>
        </is>
      </c>
      <c r="O675" s="54" t="inlineStr">
        <is>
          <t>Uploaded PDF: Munitorum Field Manual v2.3 / March 2025, p.29</t>
        </is>
      </c>
    </row>
    <row r="676">
      <c r="A676" s="54" t="inlineStr">
        <is>
          <t>Orks</t>
        </is>
      </c>
      <c r="B676" s="54" t="str"/>
      <c r="C676" s="54" t="inlineStr">
        <is>
          <t>Infantry / Other</t>
        </is>
      </c>
      <c r="D676" s="54" t="inlineStr">
        <is>
          <t>Infantry</t>
        </is>
      </c>
      <c r="E676" s="54" t="inlineStr">
        <is>
          <t>Gretchin</t>
        </is>
      </c>
      <c r="F676" s="54" t="inlineStr">
        <is>
          <t>11 models</t>
        </is>
      </c>
      <c r="G676" s="54" t="inlineStr">
        <is>
          <t>Infantry</t>
        </is>
      </c>
      <c r="H676" s="54" t="str"/>
      <c r="I676" s="54" t="str"/>
      <c r="J676" s="54" t="str"/>
      <c r="K676" s="54" t="str"/>
      <c r="L676" s="55" t="n">
        <v>40</v>
      </c>
      <c r="M676" s="54" t="inlineStr">
        <is>
          <t>Points options: 11 models = 40 pts; 22 models = 80 pts</t>
        </is>
      </c>
      <c r="N676" s="54" t="inlineStr">
        <is>
          <t>Matched to Munitorum Field Manual v2.3</t>
        </is>
      </c>
      <c r="O676" s="54" t="inlineStr">
        <is>
          <t>Uploaded PDF: Munitorum Field Manual v2.3 / March 2025, p.29</t>
        </is>
      </c>
    </row>
    <row r="677">
      <c r="A677" s="54" t="inlineStr">
        <is>
          <t>Orks</t>
        </is>
      </c>
      <c r="B677" s="54" t="str"/>
      <c r="C677" s="54" t="inlineStr">
        <is>
          <t>Vehicle / Support</t>
        </is>
      </c>
      <c r="D677" s="54" t="inlineStr">
        <is>
          <t>Vehicle</t>
        </is>
      </c>
      <c r="E677" s="54" t="inlineStr">
        <is>
          <t>Hunta Rig</t>
        </is>
      </c>
      <c r="F677" s="54" t="inlineStr">
        <is>
          <t>1 model</t>
        </is>
      </c>
      <c r="G677" s="54" t="inlineStr">
        <is>
          <t>Vehicle</t>
        </is>
      </c>
      <c r="H677" s="54" t="str"/>
      <c r="I677" s="54" t="str"/>
      <c r="J677" s="54" t="str"/>
      <c r="K677" s="54" t="str"/>
      <c r="L677" s="55" t="n">
        <v>135</v>
      </c>
      <c r="M677" s="54" t="str"/>
      <c r="N677" s="54" t="inlineStr">
        <is>
          <t>Matched to Munitorum Field Manual v2.3</t>
        </is>
      </c>
      <c r="O677" s="54" t="inlineStr">
        <is>
          <t>Uploaded PDF: Munitorum Field Manual v2.3 / March 2025, p.29</t>
        </is>
      </c>
    </row>
    <row r="678">
      <c r="A678" s="54" t="inlineStr">
        <is>
          <t>Orks</t>
        </is>
      </c>
      <c r="B678" s="54" t="str"/>
      <c r="C678" s="54" t="inlineStr">
        <is>
          <t>Character</t>
        </is>
      </c>
      <c r="D678" s="54" t="inlineStr">
        <is>
          <t>Character</t>
        </is>
      </c>
      <c r="E678" s="54" t="inlineStr">
        <is>
          <t>Kaptin Badrukk</t>
        </is>
      </c>
      <c r="F678" s="54" t="n"/>
      <c r="G678" s="54" t="inlineStr">
        <is>
          <t>Character</t>
        </is>
      </c>
      <c r="H678" s="54" t="str"/>
      <c r="I678" s="54" t="str"/>
      <c r="J678" s="54" t="str"/>
      <c r="K678" s="54" t="str"/>
      <c r="L678" s="55" t="n"/>
      <c r="M678" s="54" t="inlineStr">
        <is>
          <t>No matching points entry found in uploaded PDF; verify unit name/current support.</t>
        </is>
      </c>
      <c r="N678" s="54" t="inlineStr">
        <is>
          <t>Not found in uploaded PDF</t>
        </is>
      </c>
      <c r="O678" s="54" t="inlineStr">
        <is>
          <t>Uploaded PDF: Munitorum Field Manual v2.3 / March 2025</t>
        </is>
      </c>
    </row>
    <row r="679">
      <c r="A679" s="54" t="inlineStr">
        <is>
          <t>Orks</t>
        </is>
      </c>
      <c r="B679" s="54" t="str"/>
      <c r="C679" s="54" t="inlineStr">
        <is>
          <t>Vehicle / Support</t>
        </is>
      </c>
      <c r="D679" s="54" t="inlineStr">
        <is>
          <t>Vehicle</t>
        </is>
      </c>
      <c r="E679" s="54" t="inlineStr">
        <is>
          <t>Kill Rig</t>
        </is>
      </c>
      <c r="F679" s="54" t="inlineStr">
        <is>
          <t>1 model</t>
        </is>
      </c>
      <c r="G679" s="54" t="inlineStr">
        <is>
          <t>Vehicle</t>
        </is>
      </c>
      <c r="H679" s="54" t="str"/>
      <c r="I679" s="54" t="str"/>
      <c r="J679" s="54" t="str"/>
      <c r="K679" s="54" t="str"/>
      <c r="L679" s="55" t="n">
        <v>155</v>
      </c>
      <c r="M679" s="54" t="str"/>
      <c r="N679" s="54" t="inlineStr">
        <is>
          <t>Matched to Munitorum Field Manual v2.3</t>
        </is>
      </c>
      <c r="O679" s="54" t="inlineStr">
        <is>
          <t>Uploaded PDF: Munitorum Field Manual v2.3 / March 2025, p.29</t>
        </is>
      </c>
    </row>
    <row r="680">
      <c r="A680" s="54" t="inlineStr">
        <is>
          <t>Orks</t>
        </is>
      </c>
      <c r="B680" s="54" t="str"/>
      <c r="C680" s="54" t="inlineStr">
        <is>
          <t>Vehicle / Support</t>
        </is>
      </c>
      <c r="D680" s="54" t="inlineStr">
        <is>
          <t>Walker / Battlesuit</t>
        </is>
      </c>
      <c r="E680" s="54" t="inlineStr">
        <is>
          <t>Killa Kans</t>
        </is>
      </c>
      <c r="F680" s="54" t="inlineStr">
        <is>
          <t>3 models</t>
        </is>
      </c>
      <c r="G680" s="54" t="inlineStr">
        <is>
          <t>Walker / Battlesuit</t>
        </is>
      </c>
      <c r="H680" s="54" t="str"/>
      <c r="I680" s="54" t="str"/>
      <c r="J680" s="54" t="str"/>
      <c r="K680" s="54" t="str"/>
      <c r="L680" s="55" t="n">
        <v>125</v>
      </c>
      <c r="M680" s="54" t="inlineStr">
        <is>
          <t>Points options: 3 models = 125 pts; 6 models = 250 pts</t>
        </is>
      </c>
      <c r="N680" s="54" t="inlineStr">
        <is>
          <t>Matched to Munitorum Field Manual v2.3</t>
        </is>
      </c>
      <c r="O680" s="54" t="inlineStr">
        <is>
          <t>Uploaded PDF: Munitorum Field Manual v2.3 / March 2025, p.29</t>
        </is>
      </c>
    </row>
    <row r="681">
      <c r="A681" s="54" t="inlineStr">
        <is>
          <t>Orks</t>
        </is>
      </c>
      <c r="B681" s="54" t="str"/>
      <c r="C681" s="54" t="inlineStr">
        <is>
          <t>Infantry / Other</t>
        </is>
      </c>
      <c r="D681" s="54" t="inlineStr">
        <is>
          <t>Infantry</t>
        </is>
      </c>
      <c r="E681" s="54" t="inlineStr">
        <is>
          <t>Kommandos</t>
        </is>
      </c>
      <c r="F681" s="54" t="inlineStr">
        <is>
          <t>10 models</t>
        </is>
      </c>
      <c r="G681" s="54" t="inlineStr">
        <is>
          <t>Infantry</t>
        </is>
      </c>
      <c r="H681" s="54" t="str"/>
      <c r="I681" s="54" t="str"/>
      <c r="J681" s="54" t="str"/>
      <c r="K681" s="54" t="str"/>
      <c r="L681" s="55" t="n">
        <v>120</v>
      </c>
      <c r="M681" s="54" t="str"/>
      <c r="N681" s="54" t="inlineStr">
        <is>
          <t>Matched to Munitorum Field Manual v2.3</t>
        </is>
      </c>
      <c r="O681" s="54" t="inlineStr">
        <is>
          <t>Uploaded PDF: Munitorum Field Manual v2.3 / March 2025, p.29</t>
        </is>
      </c>
    </row>
    <row r="682">
      <c r="A682" s="54" t="inlineStr">
        <is>
          <t>Orks</t>
        </is>
      </c>
      <c r="B682" s="54" t="str"/>
      <c r="C682" s="54" t="inlineStr">
        <is>
          <t>Infantry / Other</t>
        </is>
      </c>
      <c r="D682" s="54" t="inlineStr">
        <is>
          <t>Infantry</t>
        </is>
      </c>
      <c r="E682" s="54" t="inlineStr">
        <is>
          <t>Lootas</t>
        </is>
      </c>
      <c r="F682" s="54" t="inlineStr">
        <is>
          <t>1 Spanner and 4 Lootas</t>
        </is>
      </c>
      <c r="G682" s="54" t="inlineStr">
        <is>
          <t>Infantry</t>
        </is>
      </c>
      <c r="H682" s="54" t="str"/>
      <c r="I682" s="54" t="str"/>
      <c r="J682" s="54" t="str"/>
      <c r="K682" s="54" t="str"/>
      <c r="L682" s="55" t="n">
        <v>50</v>
      </c>
      <c r="M682" s="54" t="inlineStr">
        <is>
          <t>Points options: 1 Spanner and 4 Lootas = 50 pts; 2 Spanners and 8 Lootas = 100 pts</t>
        </is>
      </c>
      <c r="N682" s="54" t="inlineStr">
        <is>
          <t>Matched to Munitorum Field Manual v2.3</t>
        </is>
      </c>
      <c r="O682" s="54" t="inlineStr">
        <is>
          <t>Uploaded PDF: Munitorum Field Manual v2.3 / March 2025, p.29</t>
        </is>
      </c>
    </row>
    <row r="683">
      <c r="A683" s="54" t="inlineStr">
        <is>
          <t>Orks</t>
        </is>
      </c>
      <c r="B683" s="54" t="str"/>
      <c r="C683" s="54" t="inlineStr">
        <is>
          <t>Infantry / Other</t>
        </is>
      </c>
      <c r="D683" s="54" t="inlineStr">
        <is>
          <t>Infantry</t>
        </is>
      </c>
      <c r="E683" s="54" t="inlineStr">
        <is>
          <t>Meganobz</t>
        </is>
      </c>
      <c r="F683" s="54" t="inlineStr">
        <is>
          <t>2 models</t>
        </is>
      </c>
      <c r="G683" s="54" t="inlineStr">
        <is>
          <t>Infantry</t>
        </is>
      </c>
      <c r="H683" s="54" t="str"/>
      <c r="I683" s="54" t="str"/>
      <c r="J683" s="54" t="str"/>
      <c r="K683" s="54" t="str"/>
      <c r="L683" s="55" t="n">
        <v>70</v>
      </c>
      <c r="M683" s="54" t="inlineStr">
        <is>
          <t>Points options: 2 models = 70 pts; 3 models = 105 pts; 5 models = 175 pts; 6 models = 210 pts</t>
        </is>
      </c>
      <c r="N683" s="54" t="inlineStr">
        <is>
          <t>Matched to Munitorum Field Manual v2.3</t>
        </is>
      </c>
      <c r="O683" s="54" t="inlineStr">
        <is>
          <t>Uploaded PDF: Munitorum Field Manual v2.3 / March 2025, p.29</t>
        </is>
      </c>
    </row>
    <row r="684">
      <c r="A684" s="54" t="inlineStr">
        <is>
          <t>Orks</t>
        </is>
      </c>
      <c r="B684" s="54" t="str"/>
      <c r="C684" s="54" t="inlineStr">
        <is>
          <t>Vehicle / Support</t>
        </is>
      </c>
      <c r="D684" s="54" t="inlineStr">
        <is>
          <t>Vehicle</t>
        </is>
      </c>
      <c r="E684" s="54" t="inlineStr">
        <is>
          <t>Megatrakk Scrapjet</t>
        </is>
      </c>
      <c r="F684" s="54" t="inlineStr">
        <is>
          <t>1 model</t>
        </is>
      </c>
      <c r="G684" s="54" t="inlineStr">
        <is>
          <t>Vehicle</t>
        </is>
      </c>
      <c r="H684" s="54" t="str"/>
      <c r="I684" s="54" t="str"/>
      <c r="J684" s="54" t="str"/>
      <c r="K684" s="54" t="str"/>
      <c r="L684" s="55" t="n">
        <v>80</v>
      </c>
      <c r="M684" s="54" t="str"/>
      <c r="N684" s="54" t="inlineStr">
        <is>
          <t>Matched to Munitorum Field Manual v2.3</t>
        </is>
      </c>
      <c r="O684" s="54" t="inlineStr">
        <is>
          <t>Uploaded PDF: Munitorum Field Manual v2.3 / March 2025, p.29</t>
        </is>
      </c>
    </row>
    <row r="685">
      <c r="A685" s="54" t="inlineStr">
        <is>
          <t>Orks</t>
        </is>
      </c>
      <c r="B685" s="54" t="str"/>
      <c r="C685" s="54" t="inlineStr">
        <is>
          <t>Character</t>
        </is>
      </c>
      <c r="D685" s="54" t="inlineStr">
        <is>
          <t>Character</t>
        </is>
      </c>
      <c r="E685" s="54" t="inlineStr">
        <is>
          <t>Mek</t>
        </is>
      </c>
      <c r="F685" s="54" t="inlineStr">
        <is>
          <t>1 model</t>
        </is>
      </c>
      <c r="G685" s="54" t="inlineStr">
        <is>
          <t>Character</t>
        </is>
      </c>
      <c r="H685" s="54" t="str"/>
      <c r="I685" s="54" t="str"/>
      <c r="J685" s="54" t="str"/>
      <c r="K685" s="54" t="str"/>
      <c r="L685" s="55" t="n">
        <v>45</v>
      </c>
      <c r="M685" s="54" t="str"/>
      <c r="N685" s="54" t="inlineStr">
        <is>
          <t>Matched to Munitorum Field Manual v2.3</t>
        </is>
      </c>
      <c r="O685" s="54" t="inlineStr">
        <is>
          <t>Uploaded PDF: Munitorum Field Manual v2.3 / March 2025, p.29</t>
        </is>
      </c>
    </row>
    <row r="686">
      <c r="A686" s="54" t="inlineStr">
        <is>
          <t>Orks</t>
        </is>
      </c>
      <c r="B686" s="54" t="str"/>
      <c r="C686" s="54" t="inlineStr">
        <is>
          <t>Character</t>
        </is>
      </c>
      <c r="D686" s="54" t="inlineStr">
        <is>
          <t>Character</t>
        </is>
      </c>
      <c r="E686" s="54" t="inlineStr">
        <is>
          <t>Mek Gunz</t>
        </is>
      </c>
      <c r="F686" s="54" t="inlineStr">
        <is>
          <t>1 model</t>
        </is>
      </c>
      <c r="G686" s="54" t="inlineStr">
        <is>
          <t>Character</t>
        </is>
      </c>
      <c r="H686" s="54" t="str"/>
      <c r="I686" s="54" t="str"/>
      <c r="J686" s="54" t="str"/>
      <c r="K686" s="54" t="str"/>
      <c r="L686" s="55" t="n">
        <v>50</v>
      </c>
      <c r="M686" s="54" t="inlineStr">
        <is>
          <t>Points options: 1 model = 50 pts; 2 models = 100 pts; 3 models = 150 pts</t>
        </is>
      </c>
      <c r="N686" s="54" t="inlineStr">
        <is>
          <t>Matched to Munitorum Field Manual v2.3</t>
        </is>
      </c>
      <c r="O686" s="54" t="inlineStr">
        <is>
          <t>Uploaded PDF: Munitorum Field Manual v2.3 / March 2025, p.29</t>
        </is>
      </c>
    </row>
    <row r="687">
      <c r="A687" s="54" t="inlineStr">
        <is>
          <t>Orks</t>
        </is>
      </c>
      <c r="B687" s="54" t="str"/>
      <c r="C687" s="54" t="inlineStr">
        <is>
          <t>Vehicle / Support</t>
        </is>
      </c>
      <c r="D687" s="54" t="inlineStr">
        <is>
          <t>Walker / Battlesuit</t>
        </is>
      </c>
      <c r="E687" s="54" t="inlineStr">
        <is>
          <t>Morkanaut</t>
        </is>
      </c>
      <c r="F687" s="54" t="inlineStr">
        <is>
          <t>1 model</t>
        </is>
      </c>
      <c r="G687" s="54" t="inlineStr">
        <is>
          <t>Walker / Battlesuit</t>
        </is>
      </c>
      <c r="H687" s="54" t="str"/>
      <c r="I687" s="54" t="str"/>
      <c r="J687" s="54" t="str"/>
      <c r="K687" s="54" t="str"/>
      <c r="L687" s="55" t="n">
        <v>280</v>
      </c>
      <c r="M687" s="54" t="str"/>
      <c r="N687" s="54" t="inlineStr">
        <is>
          <t>Matched to Munitorum Field Manual v2.3</t>
        </is>
      </c>
      <c r="O687" s="54" t="inlineStr">
        <is>
          <t>Uploaded PDF: Munitorum Field Manual v2.3 / March 2025, p.29</t>
        </is>
      </c>
    </row>
    <row r="688">
      <c r="A688" s="54" t="inlineStr">
        <is>
          <t>Orks</t>
        </is>
      </c>
      <c r="B688" s="54" t="str"/>
      <c r="C688" s="54" t="inlineStr">
        <is>
          <t>Character</t>
        </is>
      </c>
      <c r="D688" s="54" t="inlineStr">
        <is>
          <t>Character</t>
        </is>
      </c>
      <c r="E688" s="54" t="inlineStr">
        <is>
          <t>Mozrog Skragbad</t>
        </is>
      </c>
      <c r="F688" s="54" t="inlineStr">
        <is>
          <t>1 model</t>
        </is>
      </c>
      <c r="G688" s="54" t="inlineStr">
        <is>
          <t>Character</t>
        </is>
      </c>
      <c r="H688" s="54" t="str"/>
      <c r="I688" s="54" t="str"/>
      <c r="J688" s="54" t="str"/>
      <c r="K688" s="54" t="str"/>
      <c r="L688" s="55" t="n">
        <v>165</v>
      </c>
      <c r="M688" s="54" t="str"/>
      <c r="N688" s="54" t="inlineStr">
        <is>
          <t>Matched to Munitorum Field Manual v2.3</t>
        </is>
      </c>
      <c r="O688" s="54" t="inlineStr">
        <is>
          <t>Uploaded PDF: Munitorum Field Manual v2.3 / March 2025, p.29</t>
        </is>
      </c>
    </row>
    <row r="689">
      <c r="A689" s="54" t="inlineStr">
        <is>
          <t>Orks</t>
        </is>
      </c>
      <c r="B689" s="54" t="str"/>
      <c r="C689" s="54" t="inlineStr">
        <is>
          <t>Infantry / Other</t>
        </is>
      </c>
      <c r="D689" s="54" t="inlineStr">
        <is>
          <t>Infantry</t>
        </is>
      </c>
      <c r="E689" s="54" t="inlineStr">
        <is>
          <t>Nob on Smasha Squig</t>
        </is>
      </c>
      <c r="F689" s="54" t="n"/>
      <c r="G689" s="54" t="inlineStr">
        <is>
          <t>Infantry</t>
        </is>
      </c>
      <c r="H689" s="54" t="str"/>
      <c r="I689" s="54" t="str"/>
      <c r="J689" s="54" t="str"/>
      <c r="K689" s="54" t="str"/>
      <c r="L689" s="55" t="n"/>
      <c r="M689" s="54" t="inlineStr">
        <is>
          <t>No matching points entry found in uploaded PDF; verify unit name/current support.</t>
        </is>
      </c>
      <c r="N689" s="54" t="inlineStr">
        <is>
          <t>Not found in uploaded PDF</t>
        </is>
      </c>
      <c r="O689" s="54" t="inlineStr">
        <is>
          <t>Uploaded PDF: Munitorum Field Manual v2.3 / March 2025</t>
        </is>
      </c>
    </row>
    <row r="690">
      <c r="A690" s="54" t="inlineStr">
        <is>
          <t>Orks</t>
        </is>
      </c>
      <c r="B690" s="54" t="str"/>
      <c r="C690" s="54" t="inlineStr">
        <is>
          <t>Infantry / Other</t>
        </is>
      </c>
      <c r="D690" s="54" t="inlineStr">
        <is>
          <t>Infantry</t>
        </is>
      </c>
      <c r="E690" s="54" t="inlineStr">
        <is>
          <t>Nob with Waaagh! Banner</t>
        </is>
      </c>
      <c r="F690" s="54" t="n"/>
      <c r="G690" s="54" t="inlineStr">
        <is>
          <t>Infantry</t>
        </is>
      </c>
      <c r="H690" s="54" t="str"/>
      <c r="I690" s="54" t="str"/>
      <c r="J690" s="54" t="str"/>
      <c r="K690" s="54" t="str"/>
      <c r="L690" s="55" t="n"/>
      <c r="M690" s="54" t="inlineStr">
        <is>
          <t>No matching points entry found in uploaded PDF; verify unit name/current support.</t>
        </is>
      </c>
      <c r="N690" s="54" t="inlineStr">
        <is>
          <t>Not found in uploaded PDF</t>
        </is>
      </c>
      <c r="O690" s="54" t="inlineStr">
        <is>
          <t>Uploaded PDF: Munitorum Field Manual v2.3 / March 2025</t>
        </is>
      </c>
    </row>
    <row r="691">
      <c r="A691" s="54" t="inlineStr">
        <is>
          <t>Orks</t>
        </is>
      </c>
      <c r="B691" s="54" t="str"/>
      <c r="C691" s="54" t="inlineStr">
        <is>
          <t>Infantry / Other</t>
        </is>
      </c>
      <c r="D691" s="54" t="inlineStr">
        <is>
          <t>Infantry</t>
        </is>
      </c>
      <c r="E691" s="54" t="inlineStr">
        <is>
          <t>Nobz</t>
        </is>
      </c>
      <c r="F691" s="54" t="inlineStr">
        <is>
          <t>5 models</t>
        </is>
      </c>
      <c r="G691" s="54" t="inlineStr">
        <is>
          <t>Infantry</t>
        </is>
      </c>
      <c r="H691" s="54" t="str"/>
      <c r="I691" s="54" t="str"/>
      <c r="J691" s="54" t="str"/>
      <c r="K691" s="54" t="str"/>
      <c r="L691" s="55" t="n">
        <v>105</v>
      </c>
      <c r="M691" s="54" t="inlineStr">
        <is>
          <t>Points options: 5 models = 105 pts; 10 models = 210 pts</t>
        </is>
      </c>
      <c r="N691" s="54" t="inlineStr">
        <is>
          <t>Matched to Munitorum Field Manual v2.3</t>
        </is>
      </c>
      <c r="O691" s="54" t="inlineStr">
        <is>
          <t>Uploaded PDF: Munitorum Field Manual v2.3 / March 2025, p.29</t>
        </is>
      </c>
    </row>
    <row r="692">
      <c r="A692" s="54" t="inlineStr">
        <is>
          <t>Orks</t>
        </is>
      </c>
      <c r="B692" s="54" t="str"/>
      <c r="C692" s="54" t="inlineStr">
        <is>
          <t>Character</t>
        </is>
      </c>
      <c r="D692" s="54" t="inlineStr">
        <is>
          <t>Character</t>
        </is>
      </c>
      <c r="E692" s="54" t="inlineStr">
        <is>
          <t>Painboy</t>
        </is>
      </c>
      <c r="F692" s="54" t="inlineStr">
        <is>
          <t>1 model</t>
        </is>
      </c>
      <c r="G692" s="54" t="inlineStr">
        <is>
          <t>Character</t>
        </is>
      </c>
      <c r="H692" s="54" t="str"/>
      <c r="I692" s="54" t="str"/>
      <c r="J692" s="54" t="str"/>
      <c r="K692" s="54" t="str"/>
      <c r="L692" s="55" t="n">
        <v>80</v>
      </c>
      <c r="M692" s="54" t="str"/>
      <c r="N692" s="54" t="inlineStr">
        <is>
          <t>Matched to Munitorum Field Manual v2.3</t>
        </is>
      </c>
      <c r="O692" s="54" t="inlineStr">
        <is>
          <t>Uploaded PDF: Munitorum Field Manual v2.3 / March 2025, p.29</t>
        </is>
      </c>
    </row>
    <row r="693">
      <c r="A693" s="54" t="inlineStr">
        <is>
          <t>Orks</t>
        </is>
      </c>
      <c r="B693" s="54" t="str"/>
      <c r="C693" s="54" t="inlineStr">
        <is>
          <t>Character</t>
        </is>
      </c>
      <c r="D693" s="54" t="inlineStr">
        <is>
          <t>Character</t>
        </is>
      </c>
      <c r="E693" s="54" t="inlineStr">
        <is>
          <t>Painboss</t>
        </is>
      </c>
      <c r="F693" s="54" t="inlineStr">
        <is>
          <t>1 model</t>
        </is>
      </c>
      <c r="G693" s="54" t="inlineStr">
        <is>
          <t>Character</t>
        </is>
      </c>
      <c r="H693" s="54" t="str"/>
      <c r="I693" s="54" t="str"/>
      <c r="J693" s="54" t="str"/>
      <c r="K693" s="54" t="str"/>
      <c r="L693" s="55" t="n">
        <v>70</v>
      </c>
      <c r="M693" s="54" t="str"/>
      <c r="N693" s="54" t="inlineStr">
        <is>
          <t>Matched to Munitorum Field Manual v2.3</t>
        </is>
      </c>
      <c r="O693" s="54" t="inlineStr">
        <is>
          <t>Uploaded PDF: Munitorum Field Manual v2.3 / March 2025, p.29</t>
        </is>
      </c>
    </row>
    <row r="694">
      <c r="A694" s="54" t="inlineStr">
        <is>
          <t>Orks</t>
        </is>
      </c>
      <c r="B694" s="54" t="str"/>
      <c r="C694" s="54" t="inlineStr">
        <is>
          <t>Vehicle / Support</t>
        </is>
      </c>
      <c r="D694" s="54" t="inlineStr">
        <is>
          <t>Vehicle</t>
        </is>
      </c>
      <c r="E694" s="54" t="inlineStr">
        <is>
          <t>Rukkatrukk Squigbuggy</t>
        </is>
      </c>
      <c r="F694" s="54" t="inlineStr">
        <is>
          <t>1 model</t>
        </is>
      </c>
      <c r="G694" s="54" t="inlineStr">
        <is>
          <t>Vehicle</t>
        </is>
      </c>
      <c r="H694" s="54" t="str"/>
      <c r="I694" s="54" t="str"/>
      <c r="J694" s="54" t="str"/>
      <c r="K694" s="54" t="str"/>
      <c r="L694" s="55" t="n">
        <v>100</v>
      </c>
      <c r="M694" s="54" t="str"/>
      <c r="N694" s="54" t="inlineStr">
        <is>
          <t>Matched to Munitorum Field Manual v2.3</t>
        </is>
      </c>
      <c r="O694" s="54" t="inlineStr">
        <is>
          <t>Uploaded PDF: Munitorum Field Manual v2.3 / March 2025, p.29</t>
        </is>
      </c>
    </row>
    <row r="695">
      <c r="A695" s="54" t="inlineStr">
        <is>
          <t>Orks</t>
        </is>
      </c>
      <c r="B695" s="54" t="str"/>
      <c r="C695" s="54" t="inlineStr">
        <is>
          <t>Vehicle / Support</t>
        </is>
      </c>
      <c r="D695" s="54" t="inlineStr">
        <is>
          <t>Vehicle</t>
        </is>
      </c>
      <c r="E695" s="54" t="inlineStr">
        <is>
          <t>Shokkjump Dragsta</t>
        </is>
      </c>
      <c r="F695" s="54" t="inlineStr">
        <is>
          <t>1 model</t>
        </is>
      </c>
      <c r="G695" s="54" t="inlineStr">
        <is>
          <t>Vehicle</t>
        </is>
      </c>
      <c r="H695" s="54" t="str"/>
      <c r="I695" s="54" t="str"/>
      <c r="J695" s="54" t="str"/>
      <c r="K695" s="54" t="str"/>
      <c r="L695" s="55" t="n">
        <v>75</v>
      </c>
      <c r="M695" s="54" t="str"/>
      <c r="N695" s="54" t="inlineStr">
        <is>
          <t>Matched to Munitorum Field Manual v2.3</t>
        </is>
      </c>
      <c r="O695" s="54" t="inlineStr">
        <is>
          <t>Uploaded PDF: Munitorum Field Manual v2.3 / March 2025, p.29</t>
        </is>
      </c>
    </row>
    <row r="696">
      <c r="A696" s="54" t="inlineStr">
        <is>
          <t>Orks</t>
        </is>
      </c>
      <c r="B696" s="54" t="str"/>
      <c r="C696" s="54" t="inlineStr">
        <is>
          <t>Battleline / Core</t>
        </is>
      </c>
      <c r="D696" s="54" t="inlineStr">
        <is>
          <t>Mounted / Bike</t>
        </is>
      </c>
      <c r="E696" s="54" t="inlineStr">
        <is>
          <t>Squighog Boyz</t>
        </is>
      </c>
      <c r="F696" s="54" t="inlineStr">
        <is>
          <t>4 models</t>
        </is>
      </c>
      <c r="G696" s="54" t="inlineStr">
        <is>
          <t>Mounted / Bike</t>
        </is>
      </c>
      <c r="H696" s="54" t="str"/>
      <c r="I696" s="54" t="str"/>
      <c r="J696" s="54" t="str"/>
      <c r="K696" s="54" t="str"/>
      <c r="L696" s="55" t="n">
        <v>160</v>
      </c>
      <c r="M696" s="54" t="inlineStr">
        <is>
          <t>Points options: 4 models = 160 pts; 8 models = 320 pts</t>
        </is>
      </c>
      <c r="N696" s="54" t="inlineStr">
        <is>
          <t>Matched to Munitorum Field Manual v2.3</t>
        </is>
      </c>
      <c r="O696" s="54" t="inlineStr">
        <is>
          <t>Uploaded PDF: Munitorum Field Manual v2.3 / March 2025, p.29</t>
        </is>
      </c>
    </row>
    <row r="697">
      <c r="A697" s="54" t="inlineStr">
        <is>
          <t>Orks</t>
        </is>
      </c>
      <c r="B697" s="54" t="str"/>
      <c r="C697" s="54" t="inlineStr">
        <is>
          <t>Vehicle / Support</t>
        </is>
      </c>
      <c r="D697" s="54" t="inlineStr">
        <is>
          <t>Super-heavy Vehicle/Monster</t>
        </is>
      </c>
      <c r="E697" s="54" t="inlineStr">
        <is>
          <t>Stompa</t>
        </is>
      </c>
      <c r="F697" s="54" t="inlineStr">
        <is>
          <t>1 model</t>
        </is>
      </c>
      <c r="G697" s="54" t="inlineStr">
        <is>
          <t>Super-heavy Vehicle/Monster</t>
        </is>
      </c>
      <c r="H697" s="54" t="str"/>
      <c r="I697" s="54" t="str"/>
      <c r="J697" s="54" t="str"/>
      <c r="K697" s="54" t="str"/>
      <c r="L697" s="55" t="n">
        <v>800</v>
      </c>
      <c r="M697" s="54" t="str"/>
      <c r="N697" s="54" t="inlineStr">
        <is>
          <t>Matched to Munitorum Field Manual v2.3</t>
        </is>
      </c>
      <c r="O697" s="54" t="inlineStr">
        <is>
          <t>Uploaded PDF: Munitorum Field Manual v2.3 / March 2025, p.29</t>
        </is>
      </c>
    </row>
    <row r="698">
      <c r="A698" s="54" t="inlineStr">
        <is>
          <t>Orks</t>
        </is>
      </c>
      <c r="B698" s="54" t="str"/>
      <c r="C698" s="54" t="inlineStr">
        <is>
          <t>Battleline / Core</t>
        </is>
      </c>
      <c r="D698" s="54" t="inlineStr">
        <is>
          <t>Infantry</t>
        </is>
      </c>
      <c r="E698" s="54" t="inlineStr">
        <is>
          <t>Stormboyz</t>
        </is>
      </c>
      <c r="F698" s="54" t="inlineStr">
        <is>
          <t>5 models</t>
        </is>
      </c>
      <c r="G698" s="54" t="inlineStr">
        <is>
          <t>Infantry</t>
        </is>
      </c>
      <c r="H698" s="54" t="str"/>
      <c r="I698" s="54" t="str"/>
      <c r="J698" s="54" t="str"/>
      <c r="K698" s="54" t="str"/>
      <c r="L698" s="55" t="n">
        <v>65</v>
      </c>
      <c r="M698" s="54" t="inlineStr">
        <is>
          <t>Points options: 5 models = 65 pts; 10 models = 130 pts</t>
        </is>
      </c>
      <c r="N698" s="54" t="inlineStr">
        <is>
          <t>Matched to Munitorum Field Manual v2.3</t>
        </is>
      </c>
      <c r="O698" s="54" t="inlineStr">
        <is>
          <t>Uploaded PDF: Munitorum Field Manual v2.3 / March 2025, p.29</t>
        </is>
      </c>
    </row>
    <row r="699">
      <c r="A699" s="54" t="inlineStr">
        <is>
          <t>Orks</t>
        </is>
      </c>
      <c r="B699" s="54" t="str"/>
      <c r="C699" s="54" t="inlineStr">
        <is>
          <t>Infantry / Other</t>
        </is>
      </c>
      <c r="D699" s="54" t="inlineStr">
        <is>
          <t>Infantry</t>
        </is>
      </c>
      <c r="E699" s="54" t="inlineStr">
        <is>
          <t>Tankbustas</t>
        </is>
      </c>
      <c r="F699" s="54" t="inlineStr">
        <is>
          <t>6 models</t>
        </is>
      </c>
      <c r="G699" s="54" t="inlineStr">
        <is>
          <t>Infantry</t>
        </is>
      </c>
      <c r="H699" s="54" t="str"/>
      <c r="I699" s="54" t="str"/>
      <c r="J699" s="54" t="str"/>
      <c r="K699" s="54" t="str"/>
      <c r="L699" s="55" t="n">
        <v>135</v>
      </c>
      <c r="M699" s="54" t="str"/>
      <c r="N699" s="54" t="inlineStr">
        <is>
          <t>Matched to Munitorum Field Manual v2.3</t>
        </is>
      </c>
      <c r="O699" s="54" t="inlineStr">
        <is>
          <t>Uploaded PDF: Munitorum Field Manual v2.3 / March 2025, p.29</t>
        </is>
      </c>
    </row>
    <row r="700">
      <c r="A700" s="54" t="inlineStr">
        <is>
          <t>Orks</t>
        </is>
      </c>
      <c r="B700" s="54" t="str"/>
      <c r="C700" s="54" t="inlineStr">
        <is>
          <t>Vehicle / Support</t>
        </is>
      </c>
      <c r="D700" s="54" t="inlineStr">
        <is>
          <t>Vehicle</t>
        </is>
      </c>
      <c r="E700" s="54" t="inlineStr">
        <is>
          <t>Trukk</t>
        </is>
      </c>
      <c r="F700" s="54" t="inlineStr">
        <is>
          <t>1 model</t>
        </is>
      </c>
      <c r="G700" s="54" t="inlineStr">
        <is>
          <t>Vehicle</t>
        </is>
      </c>
      <c r="H700" s="54" t="str"/>
      <c r="I700" s="54" t="str"/>
      <c r="J700" s="54" t="str"/>
      <c r="K700" s="54" t="str"/>
      <c r="L700" s="55" t="n">
        <v>65</v>
      </c>
      <c r="M700" s="54" t="str"/>
      <c r="N700" s="54" t="inlineStr">
        <is>
          <t>Matched to Munitorum Field Manual v2.3</t>
        </is>
      </c>
      <c r="O700" s="54" t="inlineStr">
        <is>
          <t>Uploaded PDF: Munitorum Field Manual v2.3 / March 2025, p.29</t>
        </is>
      </c>
    </row>
    <row r="701">
      <c r="A701" s="54" t="inlineStr">
        <is>
          <t>Orks</t>
        </is>
      </c>
      <c r="B701" s="54" t="str"/>
      <c r="C701" s="54" t="inlineStr">
        <is>
          <t>Infantry / Other</t>
        </is>
      </c>
      <c r="D701" s="54" t="inlineStr">
        <is>
          <t>Mounted / Bike</t>
        </is>
      </c>
      <c r="E701" s="54" t="inlineStr">
        <is>
          <t>Warbikers</t>
        </is>
      </c>
      <c r="F701" s="54" t="inlineStr">
        <is>
          <t>3 models</t>
        </is>
      </c>
      <c r="G701" s="54" t="inlineStr">
        <is>
          <t>Mounted / Bike</t>
        </is>
      </c>
      <c r="H701" s="54" t="str"/>
      <c r="I701" s="54" t="str"/>
      <c r="J701" s="54" t="str"/>
      <c r="K701" s="54" t="str"/>
      <c r="L701" s="55" t="n">
        <v>70</v>
      </c>
      <c r="M701" s="54" t="inlineStr">
        <is>
          <t>Points options: 3 models = 70 pts; 6 models = 140 pts</t>
        </is>
      </c>
      <c r="N701" s="54" t="inlineStr">
        <is>
          <t>Matched to Munitorum Field Manual v2.3</t>
        </is>
      </c>
      <c r="O701" s="54" t="inlineStr">
        <is>
          <t>Uploaded PDF: Munitorum Field Manual v2.3 / March 2025, p.29</t>
        </is>
      </c>
    </row>
    <row r="702">
      <c r="A702" s="54" t="inlineStr">
        <is>
          <t>Orks</t>
        </is>
      </c>
      <c r="B702" s="54" t="str"/>
      <c r="C702" s="54" t="inlineStr">
        <is>
          <t>Character</t>
        </is>
      </c>
      <c r="D702" s="54" t="inlineStr">
        <is>
          <t>Character</t>
        </is>
      </c>
      <c r="E702" s="54" t="inlineStr">
        <is>
          <t>Warboss</t>
        </is>
      </c>
      <c r="F702" s="54" t="inlineStr">
        <is>
          <t>1 model</t>
        </is>
      </c>
      <c r="G702" s="54" t="inlineStr">
        <is>
          <t>Character</t>
        </is>
      </c>
      <c r="H702" s="54" t="str"/>
      <c r="I702" s="54" t="str"/>
      <c r="J702" s="54" t="str"/>
      <c r="K702" s="54" t="str"/>
      <c r="L702" s="55" t="n">
        <v>75</v>
      </c>
      <c r="M702" s="54" t="str"/>
      <c r="N702" s="54" t="inlineStr">
        <is>
          <t>Matched to Munitorum Field Manual v2.3</t>
        </is>
      </c>
      <c r="O702" s="54" t="inlineStr">
        <is>
          <t>Uploaded PDF: Munitorum Field Manual v2.3 / March 2025, p.29</t>
        </is>
      </c>
    </row>
    <row r="703">
      <c r="A703" s="54" t="inlineStr">
        <is>
          <t>Orks</t>
        </is>
      </c>
      <c r="B703" s="54" t="str"/>
      <c r="C703" s="54" t="inlineStr">
        <is>
          <t>Character</t>
        </is>
      </c>
      <c r="D703" s="54" t="inlineStr">
        <is>
          <t>Character</t>
        </is>
      </c>
      <c r="E703" s="54" t="inlineStr">
        <is>
          <t>Warboss in Mega Armour</t>
        </is>
      </c>
      <c r="F703" s="54" t="inlineStr">
        <is>
          <t>1 model</t>
        </is>
      </c>
      <c r="G703" s="54" t="inlineStr">
        <is>
          <t>Character</t>
        </is>
      </c>
      <c r="H703" s="54" t="str"/>
      <c r="I703" s="54" t="str"/>
      <c r="J703" s="54" t="str"/>
      <c r="K703" s="54" t="str"/>
      <c r="L703" s="55" t="n">
        <v>90</v>
      </c>
      <c r="M703" s="54" t="str"/>
      <c r="N703" s="54" t="inlineStr">
        <is>
          <t>Matched to Munitorum Field Manual v2.3</t>
        </is>
      </c>
      <c r="O703" s="54" t="inlineStr">
        <is>
          <t>Uploaded PDF: Munitorum Field Manual v2.3 / March 2025, p.29</t>
        </is>
      </c>
    </row>
    <row r="704">
      <c r="A704" s="54" t="inlineStr">
        <is>
          <t>Orks</t>
        </is>
      </c>
      <c r="B704" s="54" t="str"/>
      <c r="C704" s="54" t="inlineStr">
        <is>
          <t>Character</t>
        </is>
      </c>
      <c r="D704" s="54" t="inlineStr">
        <is>
          <t>Character</t>
        </is>
      </c>
      <c r="E704" s="54" t="inlineStr">
        <is>
          <t>Weirdboy</t>
        </is>
      </c>
      <c r="F704" s="54" t="inlineStr">
        <is>
          <t>1 model</t>
        </is>
      </c>
      <c r="G704" s="54" t="inlineStr">
        <is>
          <t>Character, Psyker</t>
        </is>
      </c>
      <c r="H704" s="54" t="str"/>
      <c r="I704" s="54" t="str"/>
      <c r="J704" s="54" t="str"/>
      <c r="K704" s="54" t="str"/>
      <c r="L704" s="55" t="n">
        <v>65</v>
      </c>
      <c r="M704" s="54" t="str"/>
      <c r="N704" s="54" t="inlineStr">
        <is>
          <t>Matched to Munitorum Field Manual v2.3</t>
        </is>
      </c>
      <c r="O704" s="54" t="inlineStr">
        <is>
          <t>Uploaded PDF: Munitorum Field Manual v2.3 / March 2025, p.29</t>
        </is>
      </c>
    </row>
    <row r="705">
      <c r="A705" s="54" t="inlineStr">
        <is>
          <t>Orks</t>
        </is>
      </c>
      <c r="B705" s="54" t="str"/>
      <c r="C705" s="54" t="inlineStr">
        <is>
          <t>Infantry / Other</t>
        </is>
      </c>
      <c r="D705" s="54" t="inlineStr">
        <is>
          <t>Infantry</t>
        </is>
      </c>
      <c r="E705" s="54" t="inlineStr">
        <is>
          <t>Wazbom Blastajet</t>
        </is>
      </c>
      <c r="F705" s="54" t="inlineStr">
        <is>
          <t>1 model</t>
        </is>
      </c>
      <c r="G705" s="54" t="inlineStr">
        <is>
          <t>Infantry</t>
        </is>
      </c>
      <c r="H705" s="54" t="str"/>
      <c r="I705" s="54" t="str"/>
      <c r="J705" s="54" t="str"/>
      <c r="K705" s="54" t="str"/>
      <c r="L705" s="55" t="n">
        <v>175</v>
      </c>
      <c r="M705" s="54" t="str"/>
      <c r="N705" s="54" t="inlineStr">
        <is>
          <t>Matched to Munitorum Field Manual v2.3</t>
        </is>
      </c>
      <c r="O705" s="54" t="inlineStr">
        <is>
          <t>Uploaded PDF: Munitorum Field Manual v2.3 / March 2025, p.29</t>
        </is>
      </c>
    </row>
    <row r="706">
      <c r="A706" s="54" t="inlineStr">
        <is>
          <t>Orks</t>
        </is>
      </c>
      <c r="B706" s="54" t="str"/>
      <c r="C706" s="54" t="inlineStr">
        <is>
          <t>Character</t>
        </is>
      </c>
      <c r="D706" s="54" t="inlineStr">
        <is>
          <t>Character</t>
        </is>
      </c>
      <c r="E706" s="54" t="inlineStr">
        <is>
          <t>Zodgrod Wortsnagga</t>
        </is>
      </c>
      <c r="F706" s="54" t="inlineStr">
        <is>
          <t>1 model</t>
        </is>
      </c>
      <c r="G706" s="54" t="inlineStr">
        <is>
          <t>Character</t>
        </is>
      </c>
      <c r="H706" s="54" t="str"/>
      <c r="I706" s="54" t="str"/>
      <c r="J706" s="54" t="str"/>
      <c r="K706" s="54" t="str"/>
      <c r="L706" s="55" t="n">
        <v>80</v>
      </c>
      <c r="M706" s="54" t="str"/>
      <c r="N706" s="54" t="inlineStr">
        <is>
          <t>Matched to Munitorum Field Manual v2.3</t>
        </is>
      </c>
      <c r="O706" s="54" t="inlineStr">
        <is>
          <t>Uploaded PDF: Munitorum Field Manual v2.3 / March 2025, p.29</t>
        </is>
      </c>
    </row>
    <row r="707">
      <c r="A707" s="54" t="inlineStr">
        <is>
          <t>T'au Empire</t>
        </is>
      </c>
      <c r="B707" s="54" t="str"/>
      <c r="C707" s="54" t="inlineStr">
        <is>
          <t>Character</t>
        </is>
      </c>
      <c r="D707" s="54" t="inlineStr">
        <is>
          <t>Character</t>
        </is>
      </c>
      <c r="E707" s="54" t="inlineStr">
        <is>
          <t>Aun'Shi</t>
        </is>
      </c>
      <c r="F707" s="54" t="n"/>
      <c r="G707" s="54" t="inlineStr">
        <is>
          <t>Character</t>
        </is>
      </c>
      <c r="H707" s="54" t="str"/>
      <c r="I707" s="54" t="str"/>
      <c r="J707" s="54" t="str"/>
      <c r="K707" s="54" t="str"/>
      <c r="L707" s="55" t="n"/>
      <c r="M707" s="54" t="inlineStr">
        <is>
          <t>No matching points entry found in uploaded PDF; verify unit name/current support.</t>
        </is>
      </c>
      <c r="N707" s="54" t="inlineStr">
        <is>
          <t>Not found in uploaded PDF</t>
        </is>
      </c>
      <c r="O707" s="54" t="inlineStr">
        <is>
          <t>Uploaded PDF: Munitorum Field Manual v2.3 / March 2025</t>
        </is>
      </c>
    </row>
    <row r="708">
      <c r="A708" s="54" t="inlineStr">
        <is>
          <t>T'au Empire</t>
        </is>
      </c>
      <c r="B708" s="54" t="str"/>
      <c r="C708" s="54" t="inlineStr">
        <is>
          <t>Character</t>
        </is>
      </c>
      <c r="D708" s="54" t="inlineStr">
        <is>
          <t>Character</t>
        </is>
      </c>
      <c r="E708" s="54" t="inlineStr">
        <is>
          <t>Aun'Va</t>
        </is>
      </c>
      <c r="F708" s="54" t="n"/>
      <c r="G708" s="54" t="inlineStr">
        <is>
          <t>Character</t>
        </is>
      </c>
      <c r="H708" s="54" t="str"/>
      <c r="I708" s="54" t="str"/>
      <c r="J708" s="54" t="str"/>
      <c r="K708" s="54" t="str"/>
      <c r="L708" s="55" t="n"/>
      <c r="M708" s="54" t="inlineStr">
        <is>
          <t>No matching points entry found in uploaded PDF; verify unit name/current support.</t>
        </is>
      </c>
      <c r="N708" s="54" t="inlineStr">
        <is>
          <t>Not found in uploaded PDF</t>
        </is>
      </c>
      <c r="O708" s="54" t="inlineStr">
        <is>
          <t>Uploaded PDF: Munitorum Field Manual v2.3 / March 2025</t>
        </is>
      </c>
    </row>
    <row r="709">
      <c r="A709" s="54" t="inlineStr">
        <is>
          <t>T'au Empire</t>
        </is>
      </c>
      <c r="B709" s="54" t="str"/>
      <c r="C709" s="54" t="inlineStr">
        <is>
          <t>Vehicle / Support</t>
        </is>
      </c>
      <c r="D709" s="54" t="inlineStr">
        <is>
          <t>Walker / Battlesuit</t>
        </is>
      </c>
      <c r="E709" s="54" t="inlineStr">
        <is>
          <t>Broadside Battlesuits</t>
        </is>
      </c>
      <c r="F709" s="54" t="inlineStr">
        <is>
          <t>1 model</t>
        </is>
      </c>
      <c r="G709" s="54" t="inlineStr">
        <is>
          <t>Walker / Battlesuit</t>
        </is>
      </c>
      <c r="H709" s="54" t="str"/>
      <c r="I709" s="54" t="str"/>
      <c r="J709" s="54" t="str"/>
      <c r="K709" s="54" t="str"/>
      <c r="L709" s="55" t="n">
        <v>90</v>
      </c>
      <c r="M709" s="54" t="inlineStr">
        <is>
          <t>Points options: 1 model = 90 pts; 2 models = 180 pts; 3 models = 300 pts</t>
        </is>
      </c>
      <c r="N709" s="54" t="inlineStr">
        <is>
          <t>Matched to Munitorum Field Manual v2.3</t>
        </is>
      </c>
      <c r="O709" s="54" t="inlineStr">
        <is>
          <t>Uploaded PDF: Munitorum Field Manual v2.3 / March 2025, p.34</t>
        </is>
      </c>
    </row>
    <row r="710">
      <c r="A710" s="54" t="inlineStr">
        <is>
          <t>T'au Empire</t>
        </is>
      </c>
      <c r="B710" s="54" t="str"/>
      <c r="C710" s="54" t="inlineStr">
        <is>
          <t>Character</t>
        </is>
      </c>
      <c r="D710" s="54" t="inlineStr">
        <is>
          <t>Character</t>
        </is>
      </c>
      <c r="E710" s="54" t="inlineStr">
        <is>
          <t>Cadre Fireblade</t>
        </is>
      </c>
      <c r="F710" s="54" t="inlineStr">
        <is>
          <t>1 model</t>
        </is>
      </c>
      <c r="G710" s="54" t="inlineStr">
        <is>
          <t>Character</t>
        </is>
      </c>
      <c r="H710" s="54" t="str"/>
      <c r="I710" s="54" t="str"/>
      <c r="J710" s="54" t="str"/>
      <c r="K710" s="54" t="str"/>
      <c r="L710" s="55" t="n">
        <v>50</v>
      </c>
      <c r="M710" s="54" t="str"/>
      <c r="N710" s="54" t="inlineStr">
        <is>
          <t>Matched to Munitorum Field Manual v2.3</t>
        </is>
      </c>
      <c r="O710" s="54" t="inlineStr">
        <is>
          <t>Uploaded PDF: Munitorum Field Manual v2.3 / March 2025, p.34</t>
        </is>
      </c>
    </row>
    <row r="711">
      <c r="A711" s="54" t="inlineStr">
        <is>
          <t>T'au Empire</t>
        </is>
      </c>
      <c r="B711" s="54" t="str"/>
      <c r="C711" s="54" t="inlineStr">
        <is>
          <t>Character</t>
        </is>
      </c>
      <c r="D711" s="54" t="inlineStr">
        <is>
          <t>Character</t>
        </is>
      </c>
      <c r="E711" s="54" t="inlineStr">
        <is>
          <t>Commander Farsight</t>
        </is>
      </c>
      <c r="F711" s="54" t="inlineStr">
        <is>
          <t>1 model</t>
        </is>
      </c>
      <c r="G711" s="54" t="inlineStr">
        <is>
          <t>Character, Epic Hero</t>
        </is>
      </c>
      <c r="H711" s="54" t="str"/>
      <c r="I711" s="54" t="str"/>
      <c r="J711" s="54" t="str"/>
      <c r="K711" s="54" t="str"/>
      <c r="L711" s="55" t="n">
        <v>95</v>
      </c>
      <c r="M711" s="54" t="str"/>
      <c r="N711" s="54" t="inlineStr">
        <is>
          <t>Matched to Munitorum Field Manual v2.3</t>
        </is>
      </c>
      <c r="O711" s="54" t="inlineStr">
        <is>
          <t>Uploaded PDF: Munitorum Field Manual v2.3 / March 2025, p.34</t>
        </is>
      </c>
    </row>
    <row r="712">
      <c r="A712" s="54" t="inlineStr">
        <is>
          <t>T'au Empire</t>
        </is>
      </c>
      <c r="B712" s="54" t="str"/>
      <c r="C712" s="54" t="inlineStr">
        <is>
          <t>Character</t>
        </is>
      </c>
      <c r="D712" s="54" t="inlineStr">
        <is>
          <t>Character</t>
        </is>
      </c>
      <c r="E712" s="54" t="inlineStr">
        <is>
          <t>Commander in Coldstar Battlesuit</t>
        </is>
      </c>
      <c r="F712" s="54" t="inlineStr">
        <is>
          <t>1 model</t>
        </is>
      </c>
      <c r="G712" s="54" t="inlineStr">
        <is>
          <t>Character</t>
        </is>
      </c>
      <c r="H712" s="54" t="str"/>
      <c r="I712" s="54" t="str"/>
      <c r="J712" s="54" t="str"/>
      <c r="K712" s="54" t="str"/>
      <c r="L712" s="55" t="n">
        <v>95</v>
      </c>
      <c r="M712" s="54" t="str"/>
      <c r="N712" s="54" t="inlineStr">
        <is>
          <t>Matched to Munitorum Field Manual v2.3</t>
        </is>
      </c>
      <c r="O712" s="54" t="inlineStr">
        <is>
          <t>Uploaded PDF: Munitorum Field Manual v2.3 / March 2025, p.34</t>
        </is>
      </c>
    </row>
    <row r="713">
      <c r="A713" s="54" t="inlineStr">
        <is>
          <t>T'au Empire</t>
        </is>
      </c>
      <c r="B713" s="54" t="str"/>
      <c r="C713" s="54" t="inlineStr">
        <is>
          <t>Character</t>
        </is>
      </c>
      <c r="D713" s="54" t="inlineStr">
        <is>
          <t>Character</t>
        </is>
      </c>
      <c r="E713" s="54" t="inlineStr">
        <is>
          <t>Commander in Enforcer Battlesuit</t>
        </is>
      </c>
      <c r="F713" s="54" t="inlineStr">
        <is>
          <t>1 model</t>
        </is>
      </c>
      <c r="G713" s="54" t="inlineStr">
        <is>
          <t>Character</t>
        </is>
      </c>
      <c r="H713" s="54" t="str"/>
      <c r="I713" s="54" t="str"/>
      <c r="J713" s="54" t="str"/>
      <c r="K713" s="54" t="str"/>
      <c r="L713" s="55" t="n">
        <v>80</v>
      </c>
      <c r="M713" s="54" t="str"/>
      <c r="N713" s="54" t="inlineStr">
        <is>
          <t>Matched to Munitorum Field Manual v2.3</t>
        </is>
      </c>
      <c r="O713" s="54" t="inlineStr">
        <is>
          <t>Uploaded PDF: Munitorum Field Manual v2.3 / March 2025, p.34</t>
        </is>
      </c>
    </row>
    <row r="714">
      <c r="A714" s="54" t="inlineStr">
        <is>
          <t>T'au Empire</t>
        </is>
      </c>
      <c r="B714" s="54" t="str"/>
      <c r="C714" s="54" t="inlineStr">
        <is>
          <t>Character</t>
        </is>
      </c>
      <c r="D714" s="54" t="inlineStr">
        <is>
          <t>Character</t>
        </is>
      </c>
      <c r="E714" s="54" t="inlineStr">
        <is>
          <t>Commander Shadowsun</t>
        </is>
      </c>
      <c r="F714" s="54" t="inlineStr">
        <is>
          <t>1 model</t>
        </is>
      </c>
      <c r="G714" s="54" t="inlineStr">
        <is>
          <t>Character, Epic Hero</t>
        </is>
      </c>
      <c r="H714" s="54" t="str"/>
      <c r="I714" s="54" t="str"/>
      <c r="J714" s="54" t="str"/>
      <c r="K714" s="54" t="str"/>
      <c r="L714" s="55" t="n">
        <v>100</v>
      </c>
      <c r="M714" s="54" t="str"/>
      <c r="N714" s="54" t="inlineStr">
        <is>
          <t>Matched to Munitorum Field Manual v2.3</t>
        </is>
      </c>
      <c r="O714" s="54" t="inlineStr">
        <is>
          <t>Uploaded PDF: Munitorum Field Manual v2.3 / March 2025, p.34</t>
        </is>
      </c>
    </row>
    <row r="715">
      <c r="A715" s="54" t="inlineStr">
        <is>
          <t>T'au Empire</t>
        </is>
      </c>
      <c r="B715" s="54" t="str"/>
      <c r="C715" s="54" t="inlineStr">
        <is>
          <t>Vehicle / Support</t>
        </is>
      </c>
      <c r="D715" s="54" t="inlineStr">
        <is>
          <t>Walker / Battlesuit</t>
        </is>
      </c>
      <c r="E715" s="54" t="inlineStr">
        <is>
          <t>Crisis Fireknife Battlesuits</t>
        </is>
      </c>
      <c r="F715" s="54" t="inlineStr">
        <is>
          <t>3 models</t>
        </is>
      </c>
      <c r="G715" s="54" t="inlineStr">
        <is>
          <t>Walker / Battlesuit</t>
        </is>
      </c>
      <c r="H715" s="54" t="str"/>
      <c r="I715" s="54" t="str"/>
      <c r="J715" s="54" t="str"/>
      <c r="K715" s="54" t="str"/>
      <c r="L715" s="55" t="n">
        <v>130</v>
      </c>
      <c r="M715" s="54" t="str"/>
      <c r="N715" s="54" t="inlineStr">
        <is>
          <t>Matched to Munitorum Field Manual v2.3</t>
        </is>
      </c>
      <c r="O715" s="54" t="inlineStr">
        <is>
          <t>Uploaded PDF: Munitorum Field Manual v2.3 / March 2025, p.34</t>
        </is>
      </c>
    </row>
    <row r="716">
      <c r="A716" s="54" t="inlineStr">
        <is>
          <t>T'au Empire</t>
        </is>
      </c>
      <c r="B716" s="54" t="str"/>
      <c r="C716" s="54" t="inlineStr">
        <is>
          <t>Vehicle / Support</t>
        </is>
      </c>
      <c r="D716" s="54" t="inlineStr">
        <is>
          <t>Walker / Battlesuit</t>
        </is>
      </c>
      <c r="E716" s="54" t="inlineStr">
        <is>
          <t>Crisis Starscythe Battlesuits</t>
        </is>
      </c>
      <c r="F716" s="54" t="inlineStr">
        <is>
          <t>3 models</t>
        </is>
      </c>
      <c r="G716" s="54" t="inlineStr">
        <is>
          <t>Walker / Battlesuit</t>
        </is>
      </c>
      <c r="H716" s="54" t="str"/>
      <c r="I716" s="54" t="str"/>
      <c r="J716" s="54" t="str"/>
      <c r="K716" s="54" t="str"/>
      <c r="L716" s="55" t="n">
        <v>110</v>
      </c>
      <c r="M716" s="54" t="str"/>
      <c r="N716" s="54" t="inlineStr">
        <is>
          <t>Matched to Munitorum Field Manual v2.3</t>
        </is>
      </c>
      <c r="O716" s="54" t="inlineStr">
        <is>
          <t>Uploaded PDF: Munitorum Field Manual v2.3 / March 2025, p.34</t>
        </is>
      </c>
    </row>
    <row r="717">
      <c r="A717" s="54" t="inlineStr">
        <is>
          <t>T'au Empire</t>
        </is>
      </c>
      <c r="B717" s="54" t="str"/>
      <c r="C717" s="54" t="inlineStr">
        <is>
          <t>Vehicle / Support</t>
        </is>
      </c>
      <c r="D717" s="54" t="inlineStr">
        <is>
          <t>Walker / Battlesuit</t>
        </is>
      </c>
      <c r="E717" s="54" t="inlineStr">
        <is>
          <t>Crisis Sunforge Battlesuits</t>
        </is>
      </c>
      <c r="F717" s="54" t="inlineStr">
        <is>
          <t>3 models</t>
        </is>
      </c>
      <c r="G717" s="54" t="inlineStr">
        <is>
          <t>Walker / Battlesuit</t>
        </is>
      </c>
      <c r="H717" s="54" t="str"/>
      <c r="I717" s="54" t="str"/>
      <c r="J717" s="54" t="str"/>
      <c r="K717" s="54" t="str"/>
      <c r="L717" s="55" t="n">
        <v>150</v>
      </c>
      <c r="M717" s="54" t="str"/>
      <c r="N717" s="54" t="inlineStr">
        <is>
          <t>Matched to Munitorum Field Manual v2.3</t>
        </is>
      </c>
      <c r="O717" s="54" t="inlineStr">
        <is>
          <t>Uploaded PDF: Munitorum Field Manual v2.3 / March 2025, p.34</t>
        </is>
      </c>
    </row>
    <row r="718">
      <c r="A718" s="54" t="inlineStr">
        <is>
          <t>T'au Empire</t>
        </is>
      </c>
      <c r="B718" s="54" t="str"/>
      <c r="C718" s="54" t="inlineStr">
        <is>
          <t>Character</t>
        </is>
      </c>
      <c r="D718" s="54" t="inlineStr">
        <is>
          <t>Character</t>
        </is>
      </c>
      <c r="E718" s="54" t="inlineStr">
        <is>
          <t>Darkstrider</t>
        </is>
      </c>
      <c r="F718" s="54" t="inlineStr">
        <is>
          <t>1 model</t>
        </is>
      </c>
      <c r="G718" s="54" t="inlineStr">
        <is>
          <t>Character</t>
        </is>
      </c>
      <c r="H718" s="54" t="str"/>
      <c r="I718" s="54" t="str"/>
      <c r="J718" s="54" t="str"/>
      <c r="K718" s="54" t="str"/>
      <c r="L718" s="55" t="n">
        <v>60</v>
      </c>
      <c r="M718" s="54" t="str"/>
      <c r="N718" s="54" t="inlineStr">
        <is>
          <t>Matched to Munitorum Field Manual v2.3</t>
        </is>
      </c>
      <c r="O718" s="54" t="inlineStr">
        <is>
          <t>Uploaded PDF: Munitorum Field Manual v2.3 / March 2025, p.34</t>
        </is>
      </c>
    </row>
    <row r="719">
      <c r="A719" s="54" t="inlineStr">
        <is>
          <t>T'au Empire</t>
        </is>
      </c>
      <c r="B719" s="54" t="str"/>
      <c r="C719" s="54" t="inlineStr">
        <is>
          <t>Vehicle / Support</t>
        </is>
      </c>
      <c r="D719" s="54" t="inlineStr">
        <is>
          <t>Vehicle</t>
        </is>
      </c>
      <c r="E719" s="54" t="inlineStr">
        <is>
          <t>Devilfish</t>
        </is>
      </c>
      <c r="F719" s="54" t="inlineStr">
        <is>
          <t>1 model</t>
        </is>
      </c>
      <c r="G719" s="54" t="inlineStr">
        <is>
          <t>Vehicle</t>
        </is>
      </c>
      <c r="H719" s="54" t="str"/>
      <c r="I719" s="54" t="str"/>
      <c r="J719" s="54" t="str"/>
      <c r="K719" s="54" t="str"/>
      <c r="L719" s="55" t="n">
        <v>85</v>
      </c>
      <c r="M719" s="54" t="str"/>
      <c r="N719" s="54" t="inlineStr">
        <is>
          <t>Matched to Munitorum Field Manual v2.3</t>
        </is>
      </c>
      <c r="O719" s="54" t="inlineStr">
        <is>
          <t>Uploaded PDF: Munitorum Field Manual v2.3 / March 2025, p.34</t>
        </is>
      </c>
    </row>
    <row r="720">
      <c r="A720" s="54" t="inlineStr">
        <is>
          <t>T'au Empire</t>
        </is>
      </c>
      <c r="B720" s="54" t="str"/>
      <c r="C720" s="54" t="inlineStr">
        <is>
          <t>Character</t>
        </is>
      </c>
      <c r="D720" s="54" t="inlineStr">
        <is>
          <t>Character</t>
        </is>
      </c>
      <c r="E720" s="54" t="inlineStr">
        <is>
          <t>Ethereal</t>
        </is>
      </c>
      <c r="F720" s="54" t="inlineStr">
        <is>
          <t>1 model</t>
        </is>
      </c>
      <c r="G720" s="54" t="inlineStr">
        <is>
          <t>Character</t>
        </is>
      </c>
      <c r="H720" s="54" t="str"/>
      <c r="I720" s="54" t="str"/>
      <c r="J720" s="54" t="str"/>
      <c r="K720" s="54" t="str"/>
      <c r="L720" s="55" t="n">
        <v>50</v>
      </c>
      <c r="M720" s="54" t="str"/>
      <c r="N720" s="54" t="inlineStr">
        <is>
          <t>Matched to Munitorum Field Manual v2.3</t>
        </is>
      </c>
      <c r="O720" s="54" t="inlineStr">
        <is>
          <t>Uploaded PDF: Munitorum Field Manual v2.3 / March 2025, p.34</t>
        </is>
      </c>
    </row>
    <row r="721">
      <c r="A721" s="54" t="inlineStr">
        <is>
          <t>T'au Empire</t>
        </is>
      </c>
      <c r="B721" s="54" t="str"/>
      <c r="C721" s="54" t="inlineStr">
        <is>
          <t>Infantry / Other</t>
        </is>
      </c>
      <c r="D721" s="54" t="inlineStr">
        <is>
          <t>Infantry</t>
        </is>
      </c>
      <c r="E721" s="54" t="inlineStr">
        <is>
          <t>Firesight Team</t>
        </is>
      </c>
      <c r="F721" s="54" t="inlineStr">
        <is>
          <t>1 model</t>
        </is>
      </c>
      <c r="G721" s="54" t="inlineStr">
        <is>
          <t>Infantry</t>
        </is>
      </c>
      <c r="H721" s="54" t="str"/>
      <c r="I721" s="54" t="str"/>
      <c r="J721" s="54" t="str"/>
      <c r="K721" s="54" t="str"/>
      <c r="L721" s="55" t="n">
        <v>70</v>
      </c>
      <c r="M721" s="54" t="str"/>
      <c r="N721" s="54" t="inlineStr">
        <is>
          <t>Matched to Munitorum Field Manual v2.3</t>
        </is>
      </c>
      <c r="O721" s="54" t="inlineStr">
        <is>
          <t>Uploaded PDF: Munitorum Field Manual v2.3 / March 2025, p.34</t>
        </is>
      </c>
    </row>
    <row r="722">
      <c r="A722" s="54" t="inlineStr">
        <is>
          <t>T'au Empire</t>
        </is>
      </c>
      <c r="B722" s="54" t="str"/>
      <c r="C722" s="54" t="inlineStr">
        <is>
          <t>Vehicle / Support</t>
        </is>
      </c>
      <c r="D722" s="54" t="inlineStr">
        <is>
          <t>Walker / Battlesuit</t>
        </is>
      </c>
      <c r="E722" s="54" t="inlineStr">
        <is>
          <t>Ghostkeel Battlesuit</t>
        </is>
      </c>
      <c r="F722" s="54" t="inlineStr">
        <is>
          <t>1 model</t>
        </is>
      </c>
      <c r="G722" s="54" t="inlineStr">
        <is>
          <t>Walker / Battlesuit</t>
        </is>
      </c>
      <c r="H722" s="54" t="str"/>
      <c r="I722" s="54" t="str"/>
      <c r="J722" s="54" t="str"/>
      <c r="K722" s="54" t="str"/>
      <c r="L722" s="55" t="n">
        <v>160</v>
      </c>
      <c r="M722" s="54" t="str"/>
      <c r="N722" s="54" t="inlineStr">
        <is>
          <t>Matched to Munitorum Field Manual v2.3</t>
        </is>
      </c>
      <c r="O722" s="54" t="inlineStr">
        <is>
          <t>Uploaded PDF: Munitorum Field Manual v2.3 / March 2025, p.34</t>
        </is>
      </c>
    </row>
    <row r="723">
      <c r="A723" s="54" t="inlineStr">
        <is>
          <t>T'au Empire</t>
        </is>
      </c>
      <c r="B723" s="54" t="str"/>
      <c r="C723" s="54" t="inlineStr">
        <is>
          <t>Vehicle / Support</t>
        </is>
      </c>
      <c r="D723" s="54" t="inlineStr">
        <is>
          <t>Vehicle</t>
        </is>
      </c>
      <c r="E723" s="54" t="inlineStr">
        <is>
          <t>Hammerhead Gunship</t>
        </is>
      </c>
      <c r="F723" s="54" t="inlineStr">
        <is>
          <t>1 model</t>
        </is>
      </c>
      <c r="G723" s="54" t="inlineStr">
        <is>
          <t>Vehicle</t>
        </is>
      </c>
      <c r="H723" s="54" t="str"/>
      <c r="I723" s="54" t="str"/>
      <c r="J723" s="54" t="str"/>
      <c r="K723" s="54" t="str"/>
      <c r="L723" s="55" t="n">
        <v>145</v>
      </c>
      <c r="M723" s="54" t="str"/>
      <c r="N723" s="54" t="inlineStr">
        <is>
          <t>Matched to Munitorum Field Manual v2.3</t>
        </is>
      </c>
      <c r="O723" s="54" t="inlineStr">
        <is>
          <t>Uploaded PDF: Munitorum Field Manual v2.3 / March 2025, p.34</t>
        </is>
      </c>
    </row>
    <row r="724">
      <c r="A724" s="54" t="inlineStr">
        <is>
          <t>T'au Empire</t>
        </is>
      </c>
      <c r="B724" s="54" t="str"/>
      <c r="C724" s="54" t="inlineStr">
        <is>
          <t>Infantry / Other</t>
        </is>
      </c>
      <c r="D724" s="54" t="inlineStr">
        <is>
          <t>Infantry</t>
        </is>
      </c>
      <c r="E724" s="54" t="inlineStr">
        <is>
          <t>Kroot Carnivores</t>
        </is>
      </c>
      <c r="F724" s="54" t="inlineStr">
        <is>
          <t>10 models</t>
        </is>
      </c>
      <c r="G724" s="54" t="inlineStr">
        <is>
          <t>Infantry</t>
        </is>
      </c>
      <c r="H724" s="54" t="str"/>
      <c r="I724" s="54" t="str"/>
      <c r="J724" s="54" t="str"/>
      <c r="K724" s="54" t="str"/>
      <c r="L724" s="55" t="n">
        <v>65</v>
      </c>
      <c r="M724" s="54" t="inlineStr">
        <is>
          <t>Points options: 10 models = 65 pts; 20 models = 130 pts</t>
        </is>
      </c>
      <c r="N724" s="54" t="inlineStr">
        <is>
          <t>Matched to Munitorum Field Manual v2.3</t>
        </is>
      </c>
      <c r="O724" s="54" t="inlineStr">
        <is>
          <t>Uploaded PDF: Munitorum Field Manual v2.3 / March 2025, p.34</t>
        </is>
      </c>
    </row>
    <row r="725">
      <c r="A725" s="54" t="inlineStr">
        <is>
          <t>T'au Empire</t>
        </is>
      </c>
      <c r="B725" s="54" t="str"/>
      <c r="C725" s="54" t="inlineStr">
        <is>
          <t>Vehicle / Support</t>
        </is>
      </c>
      <c r="D725" s="54" t="inlineStr">
        <is>
          <t>Walker / Battlesuit</t>
        </is>
      </c>
      <c r="E725" s="54" t="inlineStr">
        <is>
          <t>Kroot Farstalkers</t>
        </is>
      </c>
      <c r="F725" s="54" t="inlineStr">
        <is>
          <t>12 models</t>
        </is>
      </c>
      <c r="G725" s="54" t="inlineStr">
        <is>
          <t>Walker / Battlesuit</t>
        </is>
      </c>
      <c r="H725" s="54" t="str"/>
      <c r="I725" s="54" t="str"/>
      <c r="J725" s="54" t="str"/>
      <c r="K725" s="54" t="str"/>
      <c r="L725" s="55" t="n">
        <v>85</v>
      </c>
      <c r="M725" s="54" t="str"/>
      <c r="N725" s="54" t="inlineStr">
        <is>
          <t>Matched to Munitorum Field Manual v2.3</t>
        </is>
      </c>
      <c r="O725" s="54" t="inlineStr">
        <is>
          <t>Uploaded PDF: Munitorum Field Manual v2.3 / March 2025, p.34</t>
        </is>
      </c>
    </row>
    <row r="726">
      <c r="A726" s="54" t="inlineStr">
        <is>
          <t>T'au Empire</t>
        </is>
      </c>
      <c r="B726" s="54" t="str"/>
      <c r="C726" s="54" t="inlineStr">
        <is>
          <t>Infantry / Other</t>
        </is>
      </c>
      <c r="D726" s="54" t="inlineStr">
        <is>
          <t>Beast / Swarm</t>
        </is>
      </c>
      <c r="E726" s="54" t="inlineStr">
        <is>
          <t>Kroot Hounds</t>
        </is>
      </c>
      <c r="F726" s="54" t="inlineStr">
        <is>
          <t>5 models</t>
        </is>
      </c>
      <c r="G726" s="54" t="inlineStr">
        <is>
          <t>Beast / Swarm</t>
        </is>
      </c>
      <c r="H726" s="54" t="str"/>
      <c r="I726" s="54" t="str"/>
      <c r="J726" s="54" t="str"/>
      <c r="K726" s="54" t="str"/>
      <c r="L726" s="55" t="n">
        <v>40</v>
      </c>
      <c r="M726" s="54" t="inlineStr">
        <is>
          <t>Points options: 5 models = 40 pts; 10 models = 80 pts</t>
        </is>
      </c>
      <c r="N726" s="54" t="inlineStr">
        <is>
          <t>Matched to Munitorum Field Manual v2.3</t>
        </is>
      </c>
      <c r="O726" s="54" t="inlineStr">
        <is>
          <t>Uploaded PDF: Munitorum Field Manual v2.3 / March 2025, p.34</t>
        </is>
      </c>
    </row>
    <row r="727">
      <c r="A727" s="54" t="inlineStr">
        <is>
          <t>T'au Empire</t>
        </is>
      </c>
      <c r="B727" s="54" t="str"/>
      <c r="C727" s="54" t="inlineStr">
        <is>
          <t>Infantry / Other</t>
        </is>
      </c>
      <c r="D727" s="54" t="inlineStr">
        <is>
          <t>Infantry</t>
        </is>
      </c>
      <c r="E727" s="54" t="inlineStr">
        <is>
          <t>Kroot Lone-spear</t>
        </is>
      </c>
      <c r="F727" s="54" t="inlineStr">
        <is>
          <t>1 model</t>
        </is>
      </c>
      <c r="G727" s="54" t="inlineStr">
        <is>
          <t>Infantry</t>
        </is>
      </c>
      <c r="H727" s="54" t="str"/>
      <c r="I727" s="54" t="str"/>
      <c r="J727" s="54" t="str"/>
      <c r="K727" s="54" t="str"/>
      <c r="L727" s="55" t="n">
        <v>80</v>
      </c>
      <c r="M727" s="54" t="str"/>
      <c r="N727" s="54" t="inlineStr">
        <is>
          <t>Matched to Munitorum Field Manual v2.3</t>
        </is>
      </c>
      <c r="O727" s="54" t="inlineStr">
        <is>
          <t>Uploaded PDF: Munitorum Field Manual v2.3 / March 2025, p.34</t>
        </is>
      </c>
    </row>
    <row r="728">
      <c r="A728" s="54" t="inlineStr">
        <is>
          <t>T'au Empire</t>
        </is>
      </c>
      <c r="B728" s="54" t="str"/>
      <c r="C728" s="54" t="inlineStr">
        <is>
          <t>Vehicle / Support</t>
        </is>
      </c>
      <c r="D728" s="54" t="inlineStr">
        <is>
          <t>Vehicle</t>
        </is>
      </c>
      <c r="E728" s="54" t="inlineStr">
        <is>
          <t>Krootox Rampagers</t>
        </is>
      </c>
      <c r="F728" s="54" t="inlineStr">
        <is>
          <t>3 models</t>
        </is>
      </c>
      <c r="G728" s="54" t="inlineStr">
        <is>
          <t>Vehicle</t>
        </is>
      </c>
      <c r="H728" s="54" t="str"/>
      <c r="I728" s="54" t="str"/>
      <c r="J728" s="54" t="str"/>
      <c r="K728" s="54" t="str"/>
      <c r="L728" s="55" t="n">
        <v>85</v>
      </c>
      <c r="M728" s="54" t="inlineStr">
        <is>
          <t>Points options: 3 models = 85 pts; 6 models = 170 pts</t>
        </is>
      </c>
      <c r="N728" s="54" t="inlineStr">
        <is>
          <t>Matched to Munitorum Field Manual v2.3</t>
        </is>
      </c>
      <c r="O728" s="54" t="inlineStr">
        <is>
          <t>Uploaded PDF: Munitorum Field Manual v2.3 / March 2025, p.34</t>
        </is>
      </c>
    </row>
    <row r="729">
      <c r="A729" s="54" t="inlineStr">
        <is>
          <t>T'au Empire</t>
        </is>
      </c>
      <c r="B729" s="54" t="str"/>
      <c r="C729" s="54" t="inlineStr">
        <is>
          <t>Infantry / Other</t>
        </is>
      </c>
      <c r="D729" s="54" t="inlineStr">
        <is>
          <t>Infantry</t>
        </is>
      </c>
      <c r="E729" s="54" t="inlineStr">
        <is>
          <t>Krootox Riders</t>
        </is>
      </c>
      <c r="F729" s="54" t="inlineStr">
        <is>
          <t>1 model</t>
        </is>
      </c>
      <c r="G729" s="54" t="inlineStr">
        <is>
          <t>Infantry</t>
        </is>
      </c>
      <c r="H729" s="54" t="str"/>
      <c r="I729" s="54" t="str"/>
      <c r="J729" s="54" t="str"/>
      <c r="K729" s="54" t="str"/>
      <c r="L729" s="55" t="n">
        <v>40</v>
      </c>
      <c r="M729" s="54" t="inlineStr">
        <is>
          <t>Points options: 1 model = 40 pts; 2 models = 60 pts; 3 models = 90 pts</t>
        </is>
      </c>
      <c r="N729" s="54" t="inlineStr">
        <is>
          <t>Matched to Munitorum Field Manual v2.3</t>
        </is>
      </c>
      <c r="O729" s="54" t="inlineStr">
        <is>
          <t>Uploaded PDF: Munitorum Field Manual v2.3 / March 2025, p.34</t>
        </is>
      </c>
    </row>
    <row r="730">
      <c r="A730" s="54" t="inlineStr">
        <is>
          <t>T'au Empire</t>
        </is>
      </c>
      <c r="B730" s="54" t="str"/>
      <c r="C730" s="54" t="inlineStr">
        <is>
          <t>Infantry / Other</t>
        </is>
      </c>
      <c r="D730" s="54" t="inlineStr">
        <is>
          <t>Infantry</t>
        </is>
      </c>
      <c r="E730" s="54" t="inlineStr">
        <is>
          <t>Pathfinder Team</t>
        </is>
      </c>
      <c r="F730" s="54" t="inlineStr">
        <is>
          <t>10 models</t>
        </is>
      </c>
      <c r="G730" s="54" t="inlineStr">
        <is>
          <t>Infantry</t>
        </is>
      </c>
      <c r="H730" s="54" t="str"/>
      <c r="I730" s="54" t="str"/>
      <c r="J730" s="54" t="str"/>
      <c r="K730" s="54" t="str"/>
      <c r="L730" s="55" t="n">
        <v>90</v>
      </c>
      <c r="M730" s="54" t="str"/>
      <c r="N730" s="54" t="inlineStr">
        <is>
          <t>Matched to Munitorum Field Manual v2.3</t>
        </is>
      </c>
      <c r="O730" s="54" t="inlineStr">
        <is>
          <t>Uploaded PDF: Munitorum Field Manual v2.3 / March 2025, p.34</t>
        </is>
      </c>
    </row>
    <row r="731">
      <c r="A731" s="54" t="inlineStr">
        <is>
          <t>T'au Empire</t>
        </is>
      </c>
      <c r="B731" s="54" t="str"/>
      <c r="C731" s="54" t="inlineStr">
        <is>
          <t>Vehicle / Support</t>
        </is>
      </c>
      <c r="D731" s="54" t="inlineStr">
        <is>
          <t>Vehicle</t>
        </is>
      </c>
      <c r="E731" s="54" t="inlineStr">
        <is>
          <t>Piranhas</t>
        </is>
      </c>
      <c r="F731" s="54" t="inlineStr">
        <is>
          <t>1 model</t>
        </is>
      </c>
      <c r="G731" s="54" t="inlineStr">
        <is>
          <t>Vehicle</t>
        </is>
      </c>
      <c r="H731" s="54" t="str"/>
      <c r="I731" s="54" t="str"/>
      <c r="J731" s="54" t="str"/>
      <c r="K731" s="54" t="str"/>
      <c r="L731" s="55" t="n">
        <v>60</v>
      </c>
      <c r="M731" s="54" t="inlineStr">
        <is>
          <t>Points options: 1 model = 60 pts; 2 models = 120 pts; 3 models = 180 pts</t>
        </is>
      </c>
      <c r="N731" s="54" t="inlineStr">
        <is>
          <t>Matched to Munitorum Field Manual v2.3</t>
        </is>
      </c>
      <c r="O731" s="54" t="inlineStr">
        <is>
          <t>Uploaded PDF: Munitorum Field Manual v2.3 / March 2025, p.34</t>
        </is>
      </c>
    </row>
    <row r="732">
      <c r="A732" s="54" t="inlineStr">
        <is>
          <t>T'au Empire</t>
        </is>
      </c>
      <c r="B732" s="54" t="str"/>
      <c r="C732" s="54" t="inlineStr">
        <is>
          <t>Infantry / Other</t>
        </is>
      </c>
      <c r="D732" s="54" t="inlineStr">
        <is>
          <t>Infantry</t>
        </is>
      </c>
      <c r="E732" s="54" t="inlineStr">
        <is>
          <t>Razorshark Strike Fighter</t>
        </is>
      </c>
      <c r="F732" s="54" t="inlineStr">
        <is>
          <t>1 model</t>
        </is>
      </c>
      <c r="G732" s="54" t="inlineStr">
        <is>
          <t>Infantry</t>
        </is>
      </c>
      <c r="H732" s="54" t="str"/>
      <c r="I732" s="54" t="str"/>
      <c r="J732" s="54" t="str"/>
      <c r="K732" s="54" t="str"/>
      <c r="L732" s="55" t="n">
        <v>170</v>
      </c>
      <c r="M732" s="54" t="str"/>
      <c r="N732" s="54" t="inlineStr">
        <is>
          <t>Matched to Munitorum Field Manual v2.3</t>
        </is>
      </c>
      <c r="O732" s="54" t="inlineStr">
        <is>
          <t>Uploaded PDF: Munitorum Field Manual v2.3 / March 2025, p.34</t>
        </is>
      </c>
    </row>
    <row r="733">
      <c r="A733" s="54" t="inlineStr">
        <is>
          <t>T'au Empire</t>
        </is>
      </c>
      <c r="B733" s="54" t="str"/>
      <c r="C733" s="54" t="inlineStr">
        <is>
          <t>Vehicle / Support</t>
        </is>
      </c>
      <c r="D733" s="54" t="inlineStr">
        <is>
          <t>Walker / Battlesuit</t>
        </is>
      </c>
      <c r="E733" s="54" t="inlineStr">
        <is>
          <t>Riptide Battlesuit</t>
        </is>
      </c>
      <c r="F733" s="54" t="inlineStr">
        <is>
          <t>1 model</t>
        </is>
      </c>
      <c r="G733" s="54" t="inlineStr">
        <is>
          <t>Walker / Battlesuit</t>
        </is>
      </c>
      <c r="H733" s="54" t="str"/>
      <c r="I733" s="54" t="str"/>
      <c r="J733" s="54" t="str"/>
      <c r="K733" s="54" t="str"/>
      <c r="L733" s="55" t="n">
        <v>190</v>
      </c>
      <c r="M733" s="54" t="str"/>
      <c r="N733" s="54" t="inlineStr">
        <is>
          <t>Matched to Munitorum Field Manual v2.3</t>
        </is>
      </c>
      <c r="O733" s="54" t="inlineStr">
        <is>
          <t>Uploaded PDF: Munitorum Field Manual v2.3 / March 2025, p.34</t>
        </is>
      </c>
    </row>
    <row r="734">
      <c r="A734" s="54" t="inlineStr">
        <is>
          <t>T'au Empire</t>
        </is>
      </c>
      <c r="B734" s="54" t="str"/>
      <c r="C734" s="54" t="inlineStr">
        <is>
          <t>Vehicle / Support</t>
        </is>
      </c>
      <c r="D734" s="54" t="inlineStr">
        <is>
          <t>Vehicle</t>
        </is>
      </c>
      <c r="E734" s="54" t="inlineStr">
        <is>
          <t>Sky Ray Gunship</t>
        </is>
      </c>
      <c r="F734" s="54" t="inlineStr">
        <is>
          <t>1 model</t>
        </is>
      </c>
      <c r="G734" s="54" t="inlineStr">
        <is>
          <t>Vehicle</t>
        </is>
      </c>
      <c r="H734" s="54" t="str"/>
      <c r="I734" s="54" t="str"/>
      <c r="J734" s="54" t="str"/>
      <c r="K734" s="54" t="str"/>
      <c r="L734" s="55" t="n">
        <v>140</v>
      </c>
      <c r="M734" s="54" t="str"/>
      <c r="N734" s="54" t="inlineStr">
        <is>
          <t>Matched to Munitorum Field Manual v2.3</t>
        </is>
      </c>
      <c r="O734" s="54" t="inlineStr">
        <is>
          <t>Uploaded PDF: Munitorum Field Manual v2.3 / March 2025, p.34</t>
        </is>
      </c>
    </row>
    <row r="735">
      <c r="A735" s="54" t="inlineStr">
        <is>
          <t>T'au Empire</t>
        </is>
      </c>
      <c r="B735" s="54" t="str"/>
      <c r="C735" s="54" t="inlineStr">
        <is>
          <t>Vehicle / Support</t>
        </is>
      </c>
      <c r="D735" s="54" t="inlineStr">
        <is>
          <t>Walker / Battlesuit</t>
        </is>
      </c>
      <c r="E735" s="54" t="inlineStr">
        <is>
          <t>Stealth Battlesuits</t>
        </is>
      </c>
      <c r="F735" s="54" t="inlineStr">
        <is>
          <t>3 models</t>
        </is>
      </c>
      <c r="G735" s="54" t="inlineStr">
        <is>
          <t>Walker / Battlesuit</t>
        </is>
      </c>
      <c r="H735" s="54" t="str"/>
      <c r="I735" s="54" t="str"/>
      <c r="J735" s="54" t="str"/>
      <c r="K735" s="54" t="str"/>
      <c r="L735" s="55" t="n">
        <v>60</v>
      </c>
      <c r="M735" s="54" t="inlineStr">
        <is>
          <t>Points options: 3 models = 60 pts; 6 models = 120 pts</t>
        </is>
      </c>
      <c r="N735" s="54" t="inlineStr">
        <is>
          <t>Matched to Munitorum Field Manual v2.3</t>
        </is>
      </c>
      <c r="O735" s="54" t="inlineStr">
        <is>
          <t>Uploaded PDF: Munitorum Field Manual v2.3 / March 2025, p.34</t>
        </is>
      </c>
    </row>
    <row r="736">
      <c r="A736" s="54" t="inlineStr">
        <is>
          <t>T'au Empire</t>
        </is>
      </c>
      <c r="B736" s="54" t="str"/>
      <c r="C736" s="54" t="inlineStr">
        <is>
          <t>Vehicle / Support</t>
        </is>
      </c>
      <c r="D736" s="54" t="inlineStr">
        <is>
          <t>Super-heavy Vehicle/Monster</t>
        </is>
      </c>
      <c r="E736" s="54" t="inlineStr">
        <is>
          <t>Stormsurge</t>
        </is>
      </c>
      <c r="F736" s="54" t="inlineStr">
        <is>
          <t>1 model</t>
        </is>
      </c>
      <c r="G736" s="54" t="inlineStr">
        <is>
          <t>Super-heavy Vehicle/Monster</t>
        </is>
      </c>
      <c r="H736" s="54" t="str"/>
      <c r="I736" s="54" t="str"/>
      <c r="J736" s="54" t="str"/>
      <c r="K736" s="54" t="str"/>
      <c r="L736" s="55" t="n">
        <v>400</v>
      </c>
      <c r="M736" s="54" t="str"/>
      <c r="N736" s="54" t="inlineStr">
        <is>
          <t>Matched to Munitorum Field Manual v2.3</t>
        </is>
      </c>
      <c r="O736" s="54" t="inlineStr">
        <is>
          <t>Uploaded PDF: Munitorum Field Manual v2.3 / March 2025, p.34</t>
        </is>
      </c>
    </row>
    <row r="737">
      <c r="A737" s="54" t="inlineStr">
        <is>
          <t>T'au Empire</t>
        </is>
      </c>
      <c r="B737" s="54" t="str"/>
      <c r="C737" s="54" t="inlineStr">
        <is>
          <t>Battleline / Core</t>
        </is>
      </c>
      <c r="D737" s="54" t="inlineStr">
        <is>
          <t>Infantry</t>
        </is>
      </c>
      <c r="E737" s="54" t="inlineStr">
        <is>
          <t>Strike Team</t>
        </is>
      </c>
      <c r="F737" s="54" t="inlineStr">
        <is>
          <t>10 models</t>
        </is>
      </c>
      <c r="G737" s="54" t="inlineStr">
        <is>
          <t>Infantry</t>
        </is>
      </c>
      <c r="H737" s="54" t="str"/>
      <c r="I737" s="54" t="str"/>
      <c r="J737" s="54" t="str"/>
      <c r="K737" s="54" t="str"/>
      <c r="L737" s="55" t="n">
        <v>75</v>
      </c>
      <c r="M737" s="54" t="str"/>
      <c r="N737" s="54" t="inlineStr">
        <is>
          <t>Matched to Munitorum Field Manual v2.3</t>
        </is>
      </c>
      <c r="O737" s="54" t="inlineStr">
        <is>
          <t>Uploaded PDF: Munitorum Field Manual v2.3 / March 2025, p.34</t>
        </is>
      </c>
    </row>
    <row r="738">
      <c r="A738" s="54" t="inlineStr">
        <is>
          <t>T'au Empire</t>
        </is>
      </c>
      <c r="B738" s="54" t="str"/>
      <c r="C738" s="54" t="inlineStr">
        <is>
          <t>Vehicle / Support</t>
        </is>
      </c>
      <c r="D738" s="54" t="inlineStr">
        <is>
          <t>Aircraft</t>
        </is>
      </c>
      <c r="E738" s="54" t="inlineStr">
        <is>
          <t>Sun Shark Bomber</t>
        </is>
      </c>
      <c r="F738" s="54" t="inlineStr">
        <is>
          <t>1 model</t>
        </is>
      </c>
      <c r="G738" s="54" t="inlineStr">
        <is>
          <t>Aircraft</t>
        </is>
      </c>
      <c r="H738" s="54" t="str"/>
      <c r="I738" s="54" t="str"/>
      <c r="J738" s="54" t="str"/>
      <c r="K738" s="54" t="str"/>
      <c r="L738" s="55" t="n">
        <v>160</v>
      </c>
      <c r="M738" s="54" t="str"/>
      <c r="N738" s="54" t="inlineStr">
        <is>
          <t>Matched to Munitorum Field Manual v2.3</t>
        </is>
      </c>
      <c r="O738" s="54" t="inlineStr">
        <is>
          <t>Uploaded PDF: Munitorum Field Manual v2.3 / March 2025, p.34</t>
        </is>
      </c>
    </row>
    <row r="739">
      <c r="A739" s="54" t="inlineStr">
        <is>
          <t>T'au Empire</t>
        </is>
      </c>
      <c r="B739" s="54" t="str"/>
      <c r="C739" s="54" t="inlineStr">
        <is>
          <t>Infantry / Other</t>
        </is>
      </c>
      <c r="D739" s="54" t="inlineStr">
        <is>
          <t>Infantry</t>
        </is>
      </c>
      <c r="E739" s="54" t="inlineStr">
        <is>
          <t>Vespid Stingwings</t>
        </is>
      </c>
      <c r="F739" s="54" t="inlineStr">
        <is>
          <t>5 models</t>
        </is>
      </c>
      <c r="G739" s="54" t="inlineStr">
        <is>
          <t>Infantry</t>
        </is>
      </c>
      <c r="H739" s="54" t="str"/>
      <c r="I739" s="54" t="str"/>
      <c r="J739" s="54" t="str"/>
      <c r="K739" s="54" t="str"/>
      <c r="L739" s="55" t="n">
        <v>65</v>
      </c>
      <c r="M739" s="54" t="inlineStr">
        <is>
          <t>Points options: 5 models = 65 pts; 10 models = 130 pts</t>
        </is>
      </c>
      <c r="N739" s="54" t="inlineStr">
        <is>
          <t>Matched to Munitorum Field Manual v2.3</t>
        </is>
      </c>
      <c r="O739" s="54" t="inlineStr">
        <is>
          <t>Uploaded PDF: Munitorum Field Manual v2.3 / March 2025, p.34</t>
        </is>
      </c>
    </row>
    <row r="740">
      <c r="A740" s="54" t="inlineStr">
        <is>
          <t>Tyranids</t>
        </is>
      </c>
      <c r="B740" s="54" t="str"/>
      <c r="C740" s="54" t="inlineStr">
        <is>
          <t>Character</t>
        </is>
      </c>
      <c r="D740" s="54" t="inlineStr">
        <is>
          <t>Character</t>
        </is>
      </c>
      <c r="E740" s="54" t="inlineStr">
        <is>
          <t>Barbgaunts</t>
        </is>
      </c>
      <c r="F740" s="54" t="inlineStr">
        <is>
          <t>5 models</t>
        </is>
      </c>
      <c r="G740" s="54" t="inlineStr">
        <is>
          <t>Character</t>
        </is>
      </c>
      <c r="H740" s="54" t="str"/>
      <c r="I740" s="54" t="str"/>
      <c r="J740" s="54" t="str"/>
      <c r="K740" s="54" t="str"/>
      <c r="L740" s="55" t="n">
        <v>55</v>
      </c>
      <c r="M740" s="54" t="inlineStr">
        <is>
          <t>Points options: 5 models = 55 pts; 10 models = 110 pts</t>
        </is>
      </c>
      <c r="N740" s="54" t="inlineStr">
        <is>
          <t>Matched to Munitorum Field Manual v2.3</t>
        </is>
      </c>
      <c r="O740" s="54" t="inlineStr">
        <is>
          <t>Uploaded PDF: Munitorum Field Manual v2.3 / March 2025, p.36</t>
        </is>
      </c>
    </row>
    <row r="741">
      <c r="A741" s="54" t="inlineStr">
        <is>
          <t>Tyranids</t>
        </is>
      </c>
      <c r="B741" s="54" t="str"/>
      <c r="C741" s="54" t="inlineStr">
        <is>
          <t>Infantry / Other</t>
        </is>
      </c>
      <c r="D741" s="54" t="inlineStr">
        <is>
          <t>Infantry</t>
        </is>
      </c>
      <c r="E741" s="54" t="inlineStr">
        <is>
          <t>Biovores</t>
        </is>
      </c>
      <c r="F741" s="54" t="inlineStr">
        <is>
          <t>1 model</t>
        </is>
      </c>
      <c r="G741" s="54" t="inlineStr">
        <is>
          <t>Infantry</t>
        </is>
      </c>
      <c r="H741" s="54" t="str"/>
      <c r="I741" s="54" t="str"/>
      <c r="J741" s="54" t="str"/>
      <c r="K741" s="54" t="str"/>
      <c r="L741" s="55" t="n">
        <v>50</v>
      </c>
      <c r="M741" s="54" t="inlineStr">
        <is>
          <t>Points options: 1 model = 50 pts; 2 models = 100 pts; 3 models = 150 pts</t>
        </is>
      </c>
      <c r="N741" s="54" t="inlineStr">
        <is>
          <t>Matched to Munitorum Field Manual v2.3</t>
        </is>
      </c>
      <c r="O741" s="54" t="inlineStr">
        <is>
          <t>Uploaded PDF: Munitorum Field Manual v2.3 / March 2025, p.36</t>
        </is>
      </c>
    </row>
    <row r="742">
      <c r="A742" s="54" t="inlineStr">
        <is>
          <t>Tyranids</t>
        </is>
      </c>
      <c r="B742" s="54" t="str"/>
      <c r="C742" s="54" t="inlineStr">
        <is>
          <t>Character</t>
        </is>
      </c>
      <c r="D742" s="54" t="inlineStr">
        <is>
          <t>Character</t>
        </is>
      </c>
      <c r="E742" s="54" t="inlineStr">
        <is>
          <t>Broodlord</t>
        </is>
      </c>
      <c r="F742" s="54" t="inlineStr">
        <is>
          <t>1 model</t>
        </is>
      </c>
      <c r="G742" s="54" t="inlineStr">
        <is>
          <t>Character</t>
        </is>
      </c>
      <c r="H742" s="54" t="str"/>
      <c r="I742" s="54" t="str"/>
      <c r="J742" s="54" t="str"/>
      <c r="K742" s="54" t="str"/>
      <c r="L742" s="55" t="n">
        <v>80</v>
      </c>
      <c r="M742" s="54" t="str"/>
      <c r="N742" s="54" t="inlineStr">
        <is>
          <t>Matched to Munitorum Field Manual v2.3</t>
        </is>
      </c>
      <c r="O742" s="54" t="inlineStr">
        <is>
          <t>Uploaded PDF: Munitorum Field Manual v2.3 / March 2025, p.36</t>
        </is>
      </c>
    </row>
    <row r="743">
      <c r="A743" s="54" t="inlineStr">
        <is>
          <t>Tyranids</t>
        </is>
      </c>
      <c r="B743" s="54" t="str"/>
      <c r="C743" s="54" t="inlineStr">
        <is>
          <t>Vehicle / Support</t>
        </is>
      </c>
      <c r="D743" s="54" t="inlineStr">
        <is>
          <t>Walker / Battlesuit</t>
        </is>
      </c>
      <c r="E743" s="54" t="inlineStr">
        <is>
          <t>Carnifexes</t>
        </is>
      </c>
      <c r="F743" s="54" t="inlineStr">
        <is>
          <t>1 model</t>
        </is>
      </c>
      <c r="G743" s="54" t="inlineStr">
        <is>
          <t>Walker / Battlesuit</t>
        </is>
      </c>
      <c r="H743" s="54" t="str"/>
      <c r="I743" s="54" t="str"/>
      <c r="J743" s="54" t="str"/>
      <c r="K743" s="54" t="str"/>
      <c r="L743" s="55" t="n">
        <v>115</v>
      </c>
      <c r="M743" s="54" t="inlineStr">
        <is>
          <t>Points options: 1 model = 115 pts; 2 models = 230 pts</t>
        </is>
      </c>
      <c r="N743" s="54" t="inlineStr">
        <is>
          <t>Matched to Munitorum Field Manual v2.3</t>
        </is>
      </c>
      <c r="O743" s="54" t="inlineStr">
        <is>
          <t>Uploaded PDF: Munitorum Field Manual v2.3 / March 2025, p.36</t>
        </is>
      </c>
    </row>
    <row r="744">
      <c r="A744" s="54" t="inlineStr">
        <is>
          <t>Tyranids</t>
        </is>
      </c>
      <c r="B744" s="54" t="str"/>
      <c r="C744" s="54" t="inlineStr">
        <is>
          <t>Character</t>
        </is>
      </c>
      <c r="D744" s="54" t="inlineStr">
        <is>
          <t>Character</t>
        </is>
      </c>
      <c r="E744" s="54" t="inlineStr">
        <is>
          <t>Deathleaper</t>
        </is>
      </c>
      <c r="F744" s="54" t="inlineStr">
        <is>
          <t>1 model</t>
        </is>
      </c>
      <c r="G744" s="54" t="inlineStr">
        <is>
          <t>Character</t>
        </is>
      </c>
      <c r="H744" s="54" t="str"/>
      <c r="I744" s="54" t="str"/>
      <c r="J744" s="54" t="str"/>
      <c r="K744" s="54" t="str"/>
      <c r="L744" s="55" t="n">
        <v>80</v>
      </c>
      <c r="M744" s="54" t="str"/>
      <c r="N744" s="54" t="inlineStr">
        <is>
          <t>Matched to Munitorum Field Manual v2.3</t>
        </is>
      </c>
      <c r="O744" s="54" t="inlineStr">
        <is>
          <t>Uploaded PDF: Munitorum Field Manual v2.3 / March 2025, p.36</t>
        </is>
      </c>
    </row>
    <row r="745">
      <c r="A745" s="54" t="inlineStr">
        <is>
          <t>Tyranids</t>
        </is>
      </c>
      <c r="B745" s="54" t="str"/>
      <c r="C745" s="54" t="inlineStr">
        <is>
          <t>Monster / Heavy Support</t>
        </is>
      </c>
      <c r="D745" s="54" t="inlineStr">
        <is>
          <t>Monster</t>
        </is>
      </c>
      <c r="E745" s="54" t="inlineStr">
        <is>
          <t>Exocrine</t>
        </is>
      </c>
      <c r="F745" s="54" t="inlineStr">
        <is>
          <t>1 model</t>
        </is>
      </c>
      <c r="G745" s="54" t="inlineStr">
        <is>
          <t>Monster</t>
        </is>
      </c>
      <c r="H745" s="54" t="str"/>
      <c r="I745" s="54" t="str"/>
      <c r="J745" s="54" t="str"/>
      <c r="K745" s="54" t="str"/>
      <c r="L745" s="55" t="n">
        <v>140</v>
      </c>
      <c r="M745" s="54" t="str"/>
      <c r="N745" s="54" t="inlineStr">
        <is>
          <t>Matched to Munitorum Field Manual v2.3</t>
        </is>
      </c>
      <c r="O745" s="54" t="inlineStr">
        <is>
          <t>Uploaded PDF: Munitorum Field Manual v2.3 / March 2025, p.36</t>
        </is>
      </c>
    </row>
    <row r="746">
      <c r="A746" s="54" t="inlineStr">
        <is>
          <t>Tyranids</t>
        </is>
      </c>
      <c r="B746" s="54" t="str"/>
      <c r="C746" s="54" t="inlineStr">
        <is>
          <t>Infantry / Other</t>
        </is>
      </c>
      <c r="D746" s="54" t="inlineStr">
        <is>
          <t>Infantry</t>
        </is>
      </c>
      <c r="E746" s="54" t="inlineStr">
        <is>
          <t>Genestealers</t>
        </is>
      </c>
      <c r="F746" s="54" t="inlineStr">
        <is>
          <t>5 models</t>
        </is>
      </c>
      <c r="G746" s="54" t="inlineStr">
        <is>
          <t>Infantry</t>
        </is>
      </c>
      <c r="H746" s="54" t="str"/>
      <c r="I746" s="54" t="str"/>
      <c r="J746" s="54" t="str"/>
      <c r="K746" s="54" t="str"/>
      <c r="L746" s="55" t="n">
        <v>75</v>
      </c>
      <c r="M746" s="54" t="inlineStr">
        <is>
          <t>Points options: 5 models = 75 pts; 10 models = 150 pts</t>
        </is>
      </c>
      <c r="N746" s="54" t="inlineStr">
        <is>
          <t>Matched to Munitorum Field Manual v2.3</t>
        </is>
      </c>
      <c r="O746" s="54" t="inlineStr">
        <is>
          <t>Uploaded PDF: Munitorum Field Manual v2.3 / March 2025, p.36</t>
        </is>
      </c>
    </row>
    <row r="747">
      <c r="A747" s="54" t="inlineStr">
        <is>
          <t>Tyranids</t>
        </is>
      </c>
      <c r="B747" s="54" t="str"/>
      <c r="C747" s="54" t="inlineStr">
        <is>
          <t>Infantry / Other</t>
        </is>
      </c>
      <c r="D747" s="54" t="inlineStr">
        <is>
          <t>Infantry</t>
        </is>
      </c>
      <c r="E747" s="54" t="inlineStr">
        <is>
          <t>Gargoyles</t>
        </is>
      </c>
      <c r="F747" s="54" t="inlineStr">
        <is>
          <t>10 models</t>
        </is>
      </c>
      <c r="G747" s="54" t="inlineStr">
        <is>
          <t>Infantry</t>
        </is>
      </c>
      <c r="H747" s="54" t="str"/>
      <c r="I747" s="54" t="str"/>
      <c r="J747" s="54" t="str"/>
      <c r="K747" s="54" t="str"/>
      <c r="L747" s="55" t="n">
        <v>85</v>
      </c>
      <c r="M747" s="54" t="inlineStr">
        <is>
          <t>Points options: 10 models = 85 pts; 20 models = 170 pts</t>
        </is>
      </c>
      <c r="N747" s="54" t="inlineStr">
        <is>
          <t>Matched to Munitorum Field Manual v2.3</t>
        </is>
      </c>
      <c r="O747" s="54" t="inlineStr">
        <is>
          <t>Uploaded PDF: Munitorum Field Manual v2.3 / March 2025, p.36</t>
        </is>
      </c>
    </row>
    <row r="748">
      <c r="A748" s="54" t="inlineStr">
        <is>
          <t>Tyranids</t>
        </is>
      </c>
      <c r="B748" s="54" t="str"/>
      <c r="C748" s="54" t="inlineStr">
        <is>
          <t>Vehicle / Support</t>
        </is>
      </c>
      <c r="D748" s="54" t="inlineStr">
        <is>
          <t>Vehicle</t>
        </is>
      </c>
      <c r="E748" s="54" t="inlineStr">
        <is>
          <t>Harpy</t>
        </is>
      </c>
      <c r="F748" s="54" t="inlineStr">
        <is>
          <t>1 model</t>
        </is>
      </c>
      <c r="G748" s="54" t="inlineStr">
        <is>
          <t>Vehicle</t>
        </is>
      </c>
      <c r="H748" s="54" t="str"/>
      <c r="I748" s="54" t="str"/>
      <c r="J748" s="54" t="str"/>
      <c r="K748" s="54" t="str"/>
      <c r="L748" s="55" t="n">
        <v>215</v>
      </c>
      <c r="M748" s="54" t="str"/>
      <c r="N748" s="54" t="inlineStr">
        <is>
          <t>Matched to Munitorum Field Manual v2.3</t>
        </is>
      </c>
      <c r="O748" s="54" t="inlineStr">
        <is>
          <t>Uploaded PDF: Munitorum Field Manual v2.3 / March 2025, p.36</t>
        </is>
      </c>
    </row>
    <row r="749">
      <c r="A749" s="54" t="inlineStr">
        <is>
          <t>Tyranids</t>
        </is>
      </c>
      <c r="B749" s="54" t="str"/>
      <c r="C749" s="54" t="inlineStr">
        <is>
          <t>Monster / Heavy Support</t>
        </is>
      </c>
      <c r="D749" s="54" t="inlineStr">
        <is>
          <t>Monster</t>
        </is>
      </c>
      <c r="E749" s="54" t="inlineStr">
        <is>
          <t>Haruspex</t>
        </is>
      </c>
      <c r="F749" s="54" t="inlineStr">
        <is>
          <t>1 model</t>
        </is>
      </c>
      <c r="G749" s="54" t="inlineStr">
        <is>
          <t>Monster</t>
        </is>
      </c>
      <c r="H749" s="54" t="str"/>
      <c r="I749" s="54" t="str"/>
      <c r="J749" s="54" t="str"/>
      <c r="K749" s="54" t="str"/>
      <c r="L749" s="55" t="n">
        <v>125</v>
      </c>
      <c r="M749" s="54" t="str"/>
      <c r="N749" s="54" t="inlineStr">
        <is>
          <t>Matched to Munitorum Field Manual v2.3</t>
        </is>
      </c>
      <c r="O749" s="54" t="inlineStr">
        <is>
          <t>Uploaded PDF: Munitorum Field Manual v2.3 / March 2025, p.36</t>
        </is>
      </c>
    </row>
    <row r="750">
      <c r="A750" s="54" t="inlineStr">
        <is>
          <t>Tyranids</t>
        </is>
      </c>
      <c r="B750" s="54" t="str"/>
      <c r="C750" s="54" t="inlineStr">
        <is>
          <t>Vehicle / Support</t>
        </is>
      </c>
      <c r="D750" s="54" t="inlineStr">
        <is>
          <t>Vehicle</t>
        </is>
      </c>
      <c r="E750" s="54" t="inlineStr">
        <is>
          <t>Hive Crone</t>
        </is>
      </c>
      <c r="F750" s="54" t="inlineStr">
        <is>
          <t>1 model</t>
        </is>
      </c>
      <c r="G750" s="54" t="inlineStr">
        <is>
          <t>Vehicle</t>
        </is>
      </c>
      <c r="H750" s="54" t="str"/>
      <c r="I750" s="54" t="str"/>
      <c r="J750" s="54" t="str"/>
      <c r="K750" s="54" t="str"/>
      <c r="L750" s="55" t="n">
        <v>200</v>
      </c>
      <c r="M750" s="54" t="str"/>
      <c r="N750" s="54" t="inlineStr">
        <is>
          <t>Matched to Munitorum Field Manual v2.3</t>
        </is>
      </c>
      <c r="O750" s="54" t="inlineStr">
        <is>
          <t>Uploaded PDF: Munitorum Field Manual v2.3 / March 2025, p.36</t>
        </is>
      </c>
    </row>
    <row r="751">
      <c r="A751" s="54" t="inlineStr">
        <is>
          <t>Tyranids</t>
        </is>
      </c>
      <c r="B751" s="54" t="str"/>
      <c r="C751" s="54" t="inlineStr">
        <is>
          <t>Infantry / Other</t>
        </is>
      </c>
      <c r="D751" s="54" t="inlineStr">
        <is>
          <t>Infantry</t>
        </is>
      </c>
      <c r="E751" s="54" t="inlineStr">
        <is>
          <t>Hive Guard</t>
        </is>
      </c>
      <c r="F751" s="54" t="inlineStr">
        <is>
          <t>3 models</t>
        </is>
      </c>
      <c r="G751" s="54" t="inlineStr">
        <is>
          <t>Infantry</t>
        </is>
      </c>
      <c r="H751" s="54" t="str"/>
      <c r="I751" s="54" t="str"/>
      <c r="J751" s="54" t="str"/>
      <c r="K751" s="54" t="str"/>
      <c r="L751" s="55" t="n">
        <v>100</v>
      </c>
      <c r="M751" s="54" t="inlineStr">
        <is>
          <t>Points options: 3 models = 100 pts; 6 models = 200 pts</t>
        </is>
      </c>
      <c r="N751" s="54" t="inlineStr">
        <is>
          <t>Matched to Munitorum Field Manual v2.3</t>
        </is>
      </c>
      <c r="O751" s="54" t="inlineStr">
        <is>
          <t>Uploaded PDF: Munitorum Field Manual v2.3 / March 2025, p.36</t>
        </is>
      </c>
    </row>
    <row r="752">
      <c r="A752" s="54" t="inlineStr">
        <is>
          <t>Tyranids</t>
        </is>
      </c>
      <c r="B752" s="54" t="str"/>
      <c r="C752" s="54" t="inlineStr">
        <is>
          <t>Character</t>
        </is>
      </c>
      <c r="D752" s="54" t="inlineStr">
        <is>
          <t>Character</t>
        </is>
      </c>
      <c r="E752" s="54" t="inlineStr">
        <is>
          <t>Hive Tyrant</t>
        </is>
      </c>
      <c r="F752" s="54" t="inlineStr">
        <is>
          <t>1 model</t>
        </is>
      </c>
      <c r="G752" s="54" t="inlineStr">
        <is>
          <t>Character, Psyker</t>
        </is>
      </c>
      <c r="H752" s="54" t="str"/>
      <c r="I752" s="54" t="str"/>
      <c r="J752" s="54" t="str"/>
      <c r="K752" s="54" t="str"/>
      <c r="L752" s="55" t="n">
        <v>225</v>
      </c>
      <c r="M752" s="54" t="str"/>
      <c r="N752" s="54" t="inlineStr">
        <is>
          <t>Matched to Munitorum Field Manual v2.3</t>
        </is>
      </c>
      <c r="O752" s="54" t="inlineStr">
        <is>
          <t>Uploaded PDF: Munitorum Field Manual v2.3 / March 2025, p.36</t>
        </is>
      </c>
    </row>
    <row r="753">
      <c r="A753" s="54" t="inlineStr">
        <is>
          <t>Tyranids</t>
        </is>
      </c>
      <c r="B753" s="54" t="str"/>
      <c r="C753" s="54" t="inlineStr">
        <is>
          <t>Character</t>
        </is>
      </c>
      <c r="D753" s="54" t="inlineStr">
        <is>
          <t>Character</t>
        </is>
      </c>
      <c r="E753" s="54" t="inlineStr">
        <is>
          <t>Hormagaunts</t>
        </is>
      </c>
      <c r="F753" s="54" t="inlineStr">
        <is>
          <t>10 models</t>
        </is>
      </c>
      <c r="G753" s="54" t="inlineStr">
        <is>
          <t>Character</t>
        </is>
      </c>
      <c r="H753" s="54" t="str"/>
      <c r="I753" s="54" t="str"/>
      <c r="J753" s="54" t="str"/>
      <c r="K753" s="54" t="str"/>
      <c r="L753" s="55" t="n">
        <v>65</v>
      </c>
      <c r="M753" s="54" t="inlineStr">
        <is>
          <t>Points options: 10 models = 65 pts; 20 models = 130 pts</t>
        </is>
      </c>
      <c r="N753" s="54" t="inlineStr">
        <is>
          <t>Matched to Munitorum Field Manual v2.3</t>
        </is>
      </c>
      <c r="O753" s="54" t="inlineStr">
        <is>
          <t>Uploaded PDF: Munitorum Field Manual v2.3 / March 2025, p.36</t>
        </is>
      </c>
    </row>
    <row r="754">
      <c r="A754" s="54" t="inlineStr">
        <is>
          <t>Tyranids</t>
        </is>
      </c>
      <c r="B754" s="54" t="str"/>
      <c r="C754" s="54" t="inlineStr">
        <is>
          <t>Infantry / Other</t>
        </is>
      </c>
      <c r="D754" s="54" t="inlineStr">
        <is>
          <t>Infantry</t>
        </is>
      </c>
      <c r="E754" s="54" t="inlineStr">
        <is>
          <t>Lictor</t>
        </is>
      </c>
      <c r="F754" s="54" t="inlineStr">
        <is>
          <t>1 model</t>
        </is>
      </c>
      <c r="G754" s="54" t="inlineStr">
        <is>
          <t>Infantry</t>
        </is>
      </c>
      <c r="H754" s="54" t="str"/>
      <c r="I754" s="54" t="str"/>
      <c r="J754" s="54" t="str"/>
      <c r="K754" s="54" t="str"/>
      <c r="L754" s="55" t="n">
        <v>60</v>
      </c>
      <c r="M754" s="54" t="str"/>
      <c r="N754" s="54" t="inlineStr">
        <is>
          <t>Matched to Munitorum Field Manual v2.3</t>
        </is>
      </c>
      <c r="O754" s="54" t="inlineStr">
        <is>
          <t>Uploaded PDF: Munitorum Field Manual v2.3 / March 2025, p.36</t>
        </is>
      </c>
    </row>
    <row r="755">
      <c r="A755" s="54" t="inlineStr">
        <is>
          <t>Tyranids</t>
        </is>
      </c>
      <c r="B755" s="54" t="str"/>
      <c r="C755" s="54" t="inlineStr">
        <is>
          <t>Monster / Heavy Support</t>
        </is>
      </c>
      <c r="D755" s="54" t="inlineStr">
        <is>
          <t>Monster</t>
        </is>
      </c>
      <c r="E755" s="54" t="inlineStr">
        <is>
          <t>Maleceptor</t>
        </is>
      </c>
      <c r="F755" s="54" t="inlineStr">
        <is>
          <t>1 model</t>
        </is>
      </c>
      <c r="G755" s="54" t="inlineStr">
        <is>
          <t>Monster</t>
        </is>
      </c>
      <c r="H755" s="54" t="str"/>
      <c r="I755" s="54" t="str"/>
      <c r="J755" s="54" t="str"/>
      <c r="K755" s="54" t="str"/>
      <c r="L755" s="55" t="n">
        <v>170</v>
      </c>
      <c r="M755" s="54" t="str"/>
      <c r="N755" s="54" t="inlineStr">
        <is>
          <t>Matched to Munitorum Field Manual v2.3</t>
        </is>
      </c>
      <c r="O755" s="54" t="inlineStr">
        <is>
          <t>Uploaded PDF: Munitorum Field Manual v2.3 / March 2025, p.36</t>
        </is>
      </c>
    </row>
    <row r="756">
      <c r="A756" s="54" t="inlineStr">
        <is>
          <t>Tyranids</t>
        </is>
      </c>
      <c r="B756" s="54" t="str"/>
      <c r="C756" s="54" t="inlineStr">
        <is>
          <t>Monster / Heavy Support</t>
        </is>
      </c>
      <c r="D756" s="54" t="inlineStr">
        <is>
          <t>Monster</t>
        </is>
      </c>
      <c r="E756" s="54" t="inlineStr">
        <is>
          <t>Mawloc</t>
        </is>
      </c>
      <c r="F756" s="54" t="inlineStr">
        <is>
          <t>1 model</t>
        </is>
      </c>
      <c r="G756" s="54" t="inlineStr">
        <is>
          <t>Monster</t>
        </is>
      </c>
      <c r="H756" s="54" t="str"/>
      <c r="I756" s="54" t="str"/>
      <c r="J756" s="54" t="str"/>
      <c r="K756" s="54" t="str"/>
      <c r="L756" s="55" t="n">
        <v>145</v>
      </c>
      <c r="M756" s="54" t="str"/>
      <c r="N756" s="54" t="inlineStr">
        <is>
          <t>Matched to Munitorum Field Manual v2.3</t>
        </is>
      </c>
      <c r="O756" s="54" t="inlineStr">
        <is>
          <t>Uploaded PDF: Munitorum Field Manual v2.3 / March 2025, p.36</t>
        </is>
      </c>
    </row>
    <row r="757">
      <c r="A757" s="54" t="inlineStr">
        <is>
          <t>Tyranids</t>
        </is>
      </c>
      <c r="B757" s="54" t="str"/>
      <c r="C757" s="54" t="inlineStr">
        <is>
          <t>Infantry / Other</t>
        </is>
      </c>
      <c r="D757" s="54" t="inlineStr">
        <is>
          <t>Beast / Swarm</t>
        </is>
      </c>
      <c r="E757" s="54" t="inlineStr">
        <is>
          <t>Mucolid Spores</t>
        </is>
      </c>
      <c r="F757" s="54" t="inlineStr">
        <is>
          <t>1 model</t>
        </is>
      </c>
      <c r="G757" s="54" t="inlineStr">
        <is>
          <t>Beast / Swarm</t>
        </is>
      </c>
      <c r="H757" s="54" t="str"/>
      <c r="I757" s="54" t="str"/>
      <c r="J757" s="54" t="str"/>
      <c r="K757" s="54" t="str"/>
      <c r="L757" s="55" t="n">
        <v>30</v>
      </c>
      <c r="M757" s="54" t="inlineStr">
        <is>
          <t>Points options: 1 model = 30 pts; 2 models = 60 pts</t>
        </is>
      </c>
      <c r="N757" s="54" t="inlineStr">
        <is>
          <t>Matched to Munitorum Field Manual v2.3</t>
        </is>
      </c>
      <c r="O757" s="54" t="inlineStr">
        <is>
          <t>Uploaded PDF: Munitorum Field Manual v2.3 / March 2025, p.36</t>
        </is>
      </c>
    </row>
    <row r="758">
      <c r="A758" s="54" t="inlineStr">
        <is>
          <t>Tyranids</t>
        </is>
      </c>
      <c r="B758" s="54" t="str"/>
      <c r="C758" s="54" t="inlineStr">
        <is>
          <t>Character</t>
        </is>
      </c>
      <c r="D758" s="54" t="inlineStr">
        <is>
          <t>Character</t>
        </is>
      </c>
      <c r="E758" s="54" t="inlineStr">
        <is>
          <t>Neurogaunts</t>
        </is>
      </c>
      <c r="F758" s="54" t="inlineStr">
        <is>
          <t>11 models</t>
        </is>
      </c>
      <c r="G758" s="54" t="inlineStr">
        <is>
          <t>Character</t>
        </is>
      </c>
      <c r="H758" s="54" t="str"/>
      <c r="I758" s="54" t="str"/>
      <c r="J758" s="54" t="str"/>
      <c r="K758" s="54" t="str"/>
      <c r="L758" s="55" t="n">
        <v>45</v>
      </c>
      <c r="M758" s="54" t="inlineStr">
        <is>
          <t>Points options: 11 models = 45 pts; 22 models = 90 pts</t>
        </is>
      </c>
      <c r="N758" s="54" t="inlineStr">
        <is>
          <t>Matched to Munitorum Field Manual v2.3</t>
        </is>
      </c>
      <c r="O758" s="54" t="inlineStr">
        <is>
          <t>Uploaded PDF: Munitorum Field Manual v2.3 / March 2025, p.36</t>
        </is>
      </c>
    </row>
    <row r="759">
      <c r="A759" s="54" t="inlineStr">
        <is>
          <t>Tyranids</t>
        </is>
      </c>
      <c r="B759" s="54" t="str"/>
      <c r="C759" s="54" t="inlineStr">
        <is>
          <t>Infantry / Other</t>
        </is>
      </c>
      <c r="D759" s="54" t="inlineStr">
        <is>
          <t>Infantry</t>
        </is>
      </c>
      <c r="E759" s="54" t="inlineStr">
        <is>
          <t>Neurolictor</t>
        </is>
      </c>
      <c r="F759" s="54" t="inlineStr">
        <is>
          <t>1 model</t>
        </is>
      </c>
      <c r="G759" s="54" t="inlineStr">
        <is>
          <t>Infantry</t>
        </is>
      </c>
      <c r="H759" s="54" t="str"/>
      <c r="I759" s="54" t="str"/>
      <c r="J759" s="54" t="str"/>
      <c r="K759" s="54" t="str"/>
      <c r="L759" s="55" t="n">
        <v>80</v>
      </c>
      <c r="M759" s="54" t="str"/>
      <c r="N759" s="54" t="inlineStr">
        <is>
          <t>Matched to Munitorum Field Manual v2.3</t>
        </is>
      </c>
      <c r="O759" s="54" t="inlineStr">
        <is>
          <t>Uploaded PDF: Munitorum Field Manual v2.3 / March 2025, p.36</t>
        </is>
      </c>
    </row>
    <row r="760">
      <c r="A760" s="54" t="inlineStr">
        <is>
          <t>Tyranids</t>
        </is>
      </c>
      <c r="B760" s="54" t="str"/>
      <c r="C760" s="54" t="inlineStr">
        <is>
          <t>Character</t>
        </is>
      </c>
      <c r="D760" s="54" t="inlineStr">
        <is>
          <t>Character</t>
        </is>
      </c>
      <c r="E760" s="54" t="inlineStr">
        <is>
          <t>Neurotyrant</t>
        </is>
      </c>
      <c r="F760" s="54" t="inlineStr">
        <is>
          <t>1 model</t>
        </is>
      </c>
      <c r="G760" s="54" t="inlineStr">
        <is>
          <t>Character, Psyker</t>
        </is>
      </c>
      <c r="H760" s="54" t="str"/>
      <c r="I760" s="54" t="str"/>
      <c r="J760" s="54" t="str"/>
      <c r="K760" s="54" t="str"/>
      <c r="L760" s="55" t="n">
        <v>105</v>
      </c>
      <c r="M760" s="54" t="str"/>
      <c r="N760" s="54" t="inlineStr">
        <is>
          <t>Matched to Munitorum Field Manual v2.3</t>
        </is>
      </c>
      <c r="O760" s="54" t="inlineStr">
        <is>
          <t>Uploaded PDF: Munitorum Field Manual v2.3 / March 2025, p.36</t>
        </is>
      </c>
    </row>
    <row r="761">
      <c r="A761" s="54" t="inlineStr">
        <is>
          <t>Tyranids</t>
        </is>
      </c>
      <c r="B761" s="54" t="str"/>
      <c r="C761" s="54" t="inlineStr">
        <is>
          <t>Monster / Heavy Support</t>
        </is>
      </c>
      <c r="D761" s="54" t="inlineStr">
        <is>
          <t>Monster</t>
        </is>
      </c>
      <c r="E761" s="54" t="inlineStr">
        <is>
          <t>Norn Assimilator</t>
        </is>
      </c>
      <c r="F761" s="54" t="inlineStr">
        <is>
          <t>1 model</t>
        </is>
      </c>
      <c r="G761" s="54" t="inlineStr">
        <is>
          <t>Monster</t>
        </is>
      </c>
      <c r="H761" s="54" t="str"/>
      <c r="I761" s="54" t="str"/>
      <c r="J761" s="54" t="str"/>
      <c r="K761" s="54" t="str"/>
      <c r="L761" s="55" t="n">
        <v>275</v>
      </c>
      <c r="M761" s="54" t="str"/>
      <c r="N761" s="54" t="inlineStr">
        <is>
          <t>Matched to Munitorum Field Manual v2.3</t>
        </is>
      </c>
      <c r="O761" s="54" t="inlineStr">
        <is>
          <t>Uploaded PDF: Munitorum Field Manual v2.3 / March 2025, p.36</t>
        </is>
      </c>
    </row>
    <row r="762">
      <c r="A762" s="54" t="inlineStr">
        <is>
          <t>Tyranids</t>
        </is>
      </c>
      <c r="B762" s="54" t="str"/>
      <c r="C762" s="54" t="inlineStr">
        <is>
          <t>Monster / Heavy Support</t>
        </is>
      </c>
      <c r="D762" s="54" t="inlineStr">
        <is>
          <t>Monster</t>
        </is>
      </c>
      <c r="E762" s="54" t="inlineStr">
        <is>
          <t>Norn Emissary</t>
        </is>
      </c>
      <c r="F762" s="54" t="inlineStr">
        <is>
          <t>1 model</t>
        </is>
      </c>
      <c r="G762" s="54" t="inlineStr">
        <is>
          <t>Monster</t>
        </is>
      </c>
      <c r="H762" s="54" t="str"/>
      <c r="I762" s="54" t="str"/>
      <c r="J762" s="54" t="str"/>
      <c r="K762" s="54" t="str"/>
      <c r="L762" s="55" t="n">
        <v>260</v>
      </c>
      <c r="M762" s="54" t="str"/>
      <c r="N762" s="54" t="inlineStr">
        <is>
          <t>Matched to Munitorum Field Manual v2.3</t>
        </is>
      </c>
      <c r="O762" s="54" t="inlineStr">
        <is>
          <t>Uploaded PDF: Munitorum Field Manual v2.3 / March 2025, p.36</t>
        </is>
      </c>
    </row>
    <row r="763">
      <c r="A763" s="54" t="inlineStr">
        <is>
          <t>Tyranids</t>
        </is>
      </c>
      <c r="B763" s="54" t="str"/>
      <c r="C763" s="54" t="inlineStr">
        <is>
          <t>Infantry / Other</t>
        </is>
      </c>
      <c r="D763" s="54" t="inlineStr">
        <is>
          <t>Infantry</t>
        </is>
      </c>
      <c r="E763" s="54" t="inlineStr">
        <is>
          <t>Old One Eye</t>
        </is>
      </c>
      <c r="F763" s="54" t="inlineStr">
        <is>
          <t>1 model</t>
        </is>
      </c>
      <c r="G763" s="54" t="inlineStr">
        <is>
          <t>Infantry</t>
        </is>
      </c>
      <c r="H763" s="54" t="str"/>
      <c r="I763" s="54" t="str"/>
      <c r="J763" s="54" t="str"/>
      <c r="K763" s="54" t="str"/>
      <c r="L763" s="55" t="n">
        <v>150</v>
      </c>
      <c r="M763" s="54" t="str"/>
      <c r="N763" s="54" t="inlineStr">
        <is>
          <t>Matched to Munitorum Field Manual v2.3</t>
        </is>
      </c>
      <c r="O763" s="54" t="inlineStr">
        <is>
          <t>Uploaded PDF: Munitorum Field Manual v2.3 / March 2025, p.36</t>
        </is>
      </c>
    </row>
    <row r="764">
      <c r="A764" s="54" t="inlineStr">
        <is>
          <t>Tyranids</t>
        </is>
      </c>
      <c r="B764" s="54" t="str"/>
      <c r="C764" s="54" t="inlineStr">
        <is>
          <t>Infantry / Other</t>
        </is>
      </c>
      <c r="D764" s="54" t="inlineStr">
        <is>
          <t>Infantry</t>
        </is>
      </c>
      <c r="E764" s="54" t="inlineStr">
        <is>
          <t>Parasite of Mortrex</t>
        </is>
      </c>
      <c r="F764" s="54" t="inlineStr">
        <is>
          <t>1 model</t>
        </is>
      </c>
      <c r="G764" s="54" t="inlineStr">
        <is>
          <t>Infantry</t>
        </is>
      </c>
      <c r="H764" s="54" t="str"/>
      <c r="I764" s="54" t="str"/>
      <c r="J764" s="54" t="str"/>
      <c r="K764" s="54" t="str"/>
      <c r="L764" s="55" t="n">
        <v>80</v>
      </c>
      <c r="M764" s="54" t="str"/>
      <c r="N764" s="54" t="inlineStr">
        <is>
          <t>Matched to Munitorum Field Manual v2.3</t>
        </is>
      </c>
      <c r="O764" s="54" t="inlineStr">
        <is>
          <t>Uploaded PDF: Munitorum Field Manual v2.3 / March 2025, p.36</t>
        </is>
      </c>
    </row>
    <row r="765">
      <c r="A765" s="54" t="inlineStr">
        <is>
          <t>Tyranids</t>
        </is>
      </c>
      <c r="B765" s="54" t="str"/>
      <c r="C765" s="54" t="inlineStr">
        <is>
          <t>Monster / Heavy Support</t>
        </is>
      </c>
      <c r="D765" s="54" t="inlineStr">
        <is>
          <t>Monster</t>
        </is>
      </c>
      <c r="E765" s="54" t="inlineStr">
        <is>
          <t>Psychophage</t>
        </is>
      </c>
      <c r="F765" s="54" t="inlineStr">
        <is>
          <t>1 model</t>
        </is>
      </c>
      <c r="G765" s="54" t="inlineStr">
        <is>
          <t>Monster</t>
        </is>
      </c>
      <c r="H765" s="54" t="str"/>
      <c r="I765" s="54" t="str"/>
      <c r="J765" s="54" t="str"/>
      <c r="K765" s="54" t="str"/>
      <c r="L765" s="55" t="n">
        <v>95</v>
      </c>
      <c r="M765" s="54" t="str"/>
      <c r="N765" s="54" t="inlineStr">
        <is>
          <t>Matched to Munitorum Field Manual v2.3</t>
        </is>
      </c>
      <c r="O765" s="54" t="inlineStr">
        <is>
          <t>Uploaded PDF: Munitorum Field Manual v2.3 / March 2025, p.36</t>
        </is>
      </c>
    </row>
    <row r="766">
      <c r="A766" s="54" t="inlineStr">
        <is>
          <t>Tyranids</t>
        </is>
      </c>
      <c r="B766" s="54" t="str"/>
      <c r="C766" s="54" t="inlineStr">
        <is>
          <t>Infantry / Other</t>
        </is>
      </c>
      <c r="D766" s="54" t="inlineStr">
        <is>
          <t>Infantry</t>
        </is>
      </c>
      <c r="E766" s="54" t="inlineStr">
        <is>
          <t>Pyrovores</t>
        </is>
      </c>
      <c r="F766" s="54" t="inlineStr">
        <is>
          <t>1 model</t>
        </is>
      </c>
      <c r="G766" s="54" t="inlineStr">
        <is>
          <t>Infantry</t>
        </is>
      </c>
      <c r="H766" s="54" t="str"/>
      <c r="I766" s="54" t="str"/>
      <c r="J766" s="54" t="str"/>
      <c r="K766" s="54" t="str"/>
      <c r="L766" s="55" t="n">
        <v>40</v>
      </c>
      <c r="M766" s="54" t="inlineStr">
        <is>
          <t>Points options: 1 model = 40 pts; 2 models = 70 pts; 3 models = 105 pts</t>
        </is>
      </c>
      <c r="N766" s="54" t="inlineStr">
        <is>
          <t>Matched to Munitorum Field Manual v2.3</t>
        </is>
      </c>
      <c r="O766" s="54" t="inlineStr">
        <is>
          <t>Uploaded PDF: Munitorum Field Manual v2.3 / March 2025, p.36</t>
        </is>
      </c>
    </row>
    <row r="767">
      <c r="A767" s="54" t="inlineStr">
        <is>
          <t>Tyranids</t>
        </is>
      </c>
      <c r="B767" s="54" t="str"/>
      <c r="C767" s="54" t="inlineStr">
        <is>
          <t>Infantry / Other</t>
        </is>
      </c>
      <c r="D767" s="54" t="inlineStr">
        <is>
          <t>Infantry</t>
        </is>
      </c>
      <c r="E767" s="54" t="inlineStr">
        <is>
          <t>Raveners</t>
        </is>
      </c>
      <c r="F767" s="54" t="inlineStr">
        <is>
          <t>3 models</t>
        </is>
      </c>
      <c r="G767" s="54" t="inlineStr">
        <is>
          <t>Infantry</t>
        </is>
      </c>
      <c r="H767" s="54" t="str"/>
      <c r="I767" s="54" t="str"/>
      <c r="J767" s="54" t="str"/>
      <c r="K767" s="54" t="str"/>
      <c r="L767" s="55" t="n">
        <v>75</v>
      </c>
      <c r="M767" s="54" t="inlineStr">
        <is>
          <t>Points options: 3 models = 75 pts; 6 models = 150 pts</t>
        </is>
      </c>
      <c r="N767" s="54" t="inlineStr">
        <is>
          <t>Matched to Munitorum Field Manual v2.3</t>
        </is>
      </c>
      <c r="O767" s="54" t="inlineStr">
        <is>
          <t>Uploaded PDF: Munitorum Field Manual v2.3 / March 2025, p.36</t>
        </is>
      </c>
    </row>
    <row r="768">
      <c r="A768" s="54" t="inlineStr">
        <is>
          <t>Tyranids</t>
        </is>
      </c>
      <c r="B768" s="54" t="str"/>
      <c r="C768" s="54" t="inlineStr">
        <is>
          <t>Infantry / Other</t>
        </is>
      </c>
      <c r="D768" s="54" t="inlineStr">
        <is>
          <t>Beast / Swarm</t>
        </is>
      </c>
      <c r="E768" s="54" t="inlineStr">
        <is>
          <t>Ripper Swarms</t>
        </is>
      </c>
      <c r="F768" s="54" t="inlineStr">
        <is>
          <t>1 model</t>
        </is>
      </c>
      <c r="G768" s="54" t="inlineStr">
        <is>
          <t>Beast / Swarm</t>
        </is>
      </c>
      <c r="H768" s="54" t="str"/>
      <c r="I768" s="54" t="str"/>
      <c r="J768" s="54" t="str"/>
      <c r="K768" s="54" t="str"/>
      <c r="L768" s="55" t="n">
        <v>25</v>
      </c>
      <c r="M768" s="54" t="inlineStr">
        <is>
          <t>Points options: 1 model = 25 pts; 2 models = 40 pts; 3 models = 50 pts</t>
        </is>
      </c>
      <c r="N768" s="54" t="inlineStr">
        <is>
          <t>Matched to Munitorum Field Manual v2.3</t>
        </is>
      </c>
      <c r="O768" s="54" t="inlineStr">
        <is>
          <t>Uploaded PDF: Munitorum Field Manual v2.3 / March 2025, p.36</t>
        </is>
      </c>
    </row>
    <row r="769">
      <c r="A769" s="54" t="inlineStr">
        <is>
          <t>Tyranids</t>
        </is>
      </c>
      <c r="B769" s="54" t="str"/>
      <c r="C769" s="54" t="inlineStr">
        <is>
          <t>Vehicle / Support</t>
        </is>
      </c>
      <c r="D769" s="54" t="inlineStr">
        <is>
          <t>Walker / Battlesuit</t>
        </is>
      </c>
      <c r="E769" s="54" t="inlineStr">
        <is>
          <t>Screamer-Killer</t>
        </is>
      </c>
      <c r="F769" s="54" t="inlineStr">
        <is>
          <t>1 model</t>
        </is>
      </c>
      <c r="G769" s="54" t="inlineStr">
        <is>
          <t>Walker / Battlesuit</t>
        </is>
      </c>
      <c r="H769" s="54" t="str"/>
      <c r="I769" s="54" t="str"/>
      <c r="J769" s="54" t="str"/>
      <c r="K769" s="54" t="str"/>
      <c r="L769" s="55" t="n">
        <v>145</v>
      </c>
      <c r="M769" s="54" t="str"/>
      <c r="N769" s="54" t="inlineStr">
        <is>
          <t>Matched to Munitorum Field Manual v2.3</t>
        </is>
      </c>
      <c r="O769" s="54" t="inlineStr">
        <is>
          <t>Uploaded PDF: Munitorum Field Manual v2.3 / March 2025, p.36</t>
        </is>
      </c>
    </row>
    <row r="770">
      <c r="A770" s="54" t="inlineStr">
        <is>
          <t>Tyranids</t>
        </is>
      </c>
      <c r="B770" s="54" t="str"/>
      <c r="C770" s="54" t="inlineStr">
        <is>
          <t>Infantry / Other</t>
        </is>
      </c>
      <c r="D770" s="54" t="inlineStr">
        <is>
          <t>Beast / Swarm</t>
        </is>
      </c>
      <c r="E770" s="54" t="inlineStr">
        <is>
          <t>Spore Mines</t>
        </is>
      </c>
      <c r="F770" s="54" t="inlineStr">
        <is>
          <t>3 models</t>
        </is>
      </c>
      <c r="G770" s="54" t="inlineStr">
        <is>
          <t>Beast / Swarm</t>
        </is>
      </c>
      <c r="H770" s="54" t="str"/>
      <c r="I770" s="54" t="str"/>
      <c r="J770" s="54" t="str"/>
      <c r="K770" s="54" t="str"/>
      <c r="L770" s="55" t="n">
        <v>55</v>
      </c>
      <c r="M770" s="54" t="inlineStr">
        <is>
          <t>Points options: 3 models = 55 pts; 6 models = 110 pts</t>
        </is>
      </c>
      <c r="N770" s="54" t="inlineStr">
        <is>
          <t>Matched to Munitorum Field Manual v2.3</t>
        </is>
      </c>
      <c r="O770" s="54" t="inlineStr">
        <is>
          <t>Uploaded PDF: Munitorum Field Manual v2.3 / March 2025, p.36</t>
        </is>
      </c>
    </row>
    <row r="771">
      <c r="A771" s="54" t="inlineStr">
        <is>
          <t>Tyranids</t>
        </is>
      </c>
      <c r="B771" s="54" t="str"/>
      <c r="C771" s="54" t="inlineStr">
        <is>
          <t>Vehicle / Support</t>
        </is>
      </c>
      <c r="D771" s="54" t="inlineStr">
        <is>
          <t>Vehicle</t>
        </is>
      </c>
      <c r="E771" s="54" t="inlineStr">
        <is>
          <t>Sporocyst</t>
        </is>
      </c>
      <c r="F771" s="54" t="inlineStr">
        <is>
          <t>1 model</t>
        </is>
      </c>
      <c r="G771" s="54" t="inlineStr">
        <is>
          <t>Vehicle</t>
        </is>
      </c>
      <c r="H771" s="54" t="str"/>
      <c r="I771" s="54" t="str"/>
      <c r="J771" s="54" t="str"/>
      <c r="K771" s="54" t="str"/>
      <c r="L771" s="55" t="n">
        <v>145</v>
      </c>
      <c r="M771" s="54" t="str"/>
      <c r="N771" s="54" t="inlineStr">
        <is>
          <t>Matched to Munitorum Field Manual v2.3</t>
        </is>
      </c>
      <c r="O771" s="54" t="inlineStr">
        <is>
          <t>Uploaded PDF: Munitorum Field Manual v2.3 / March 2025, p.36</t>
        </is>
      </c>
    </row>
    <row r="772">
      <c r="A772" s="54" t="inlineStr">
        <is>
          <t>Tyranids</t>
        </is>
      </c>
      <c r="B772" s="54" t="str"/>
      <c r="C772" s="54" t="inlineStr">
        <is>
          <t>Battleline / Core</t>
        </is>
      </c>
      <c r="D772" s="54" t="inlineStr">
        <is>
          <t>Infantry</t>
        </is>
      </c>
      <c r="E772" s="54" t="inlineStr">
        <is>
          <t>Termagants</t>
        </is>
      </c>
      <c r="F772" s="54" t="inlineStr">
        <is>
          <t>10 models</t>
        </is>
      </c>
      <c r="G772" s="54" t="inlineStr">
        <is>
          <t>Infantry</t>
        </is>
      </c>
      <c r="H772" s="54" t="str"/>
      <c r="I772" s="54" t="str"/>
      <c r="J772" s="54" t="str"/>
      <c r="K772" s="54" t="str"/>
      <c r="L772" s="55" t="n">
        <v>60</v>
      </c>
      <c r="M772" s="54" t="inlineStr">
        <is>
          <t>Points options: 10 models = 60 pts; 20 models = 120 pts</t>
        </is>
      </c>
      <c r="N772" s="54" t="inlineStr">
        <is>
          <t>Matched to Munitorum Field Manual v2.3</t>
        </is>
      </c>
      <c r="O772" s="54" t="inlineStr">
        <is>
          <t>Uploaded PDF: Munitorum Field Manual v2.3 / March 2025, p.36</t>
        </is>
      </c>
    </row>
    <row r="773">
      <c r="A773" s="54" t="inlineStr">
        <is>
          <t>Tyranids</t>
        </is>
      </c>
      <c r="B773" s="54" t="str"/>
      <c r="C773" s="54" t="inlineStr">
        <is>
          <t>Monster / Heavy Support</t>
        </is>
      </c>
      <c r="D773" s="54" t="inlineStr">
        <is>
          <t>Monster</t>
        </is>
      </c>
      <c r="E773" s="54" t="inlineStr">
        <is>
          <t>Tervigon</t>
        </is>
      </c>
      <c r="F773" s="54" t="inlineStr">
        <is>
          <t>1 model</t>
        </is>
      </c>
      <c r="G773" s="54" t="inlineStr">
        <is>
          <t>Monster</t>
        </is>
      </c>
      <c r="H773" s="54" t="str"/>
      <c r="I773" s="54" t="str"/>
      <c r="J773" s="54" t="str"/>
      <c r="K773" s="54" t="str"/>
      <c r="L773" s="55" t="n">
        <v>175</v>
      </c>
      <c r="M773" s="54" t="str"/>
      <c r="N773" s="54" t="inlineStr">
        <is>
          <t>Matched to Munitorum Field Manual v2.3</t>
        </is>
      </c>
      <c r="O773" s="54" t="inlineStr">
        <is>
          <t>Uploaded PDF: Munitorum Field Manual v2.3 / March 2025, p.36</t>
        </is>
      </c>
    </row>
    <row r="774">
      <c r="A774" s="54" t="inlineStr">
        <is>
          <t>Tyranids</t>
        </is>
      </c>
      <c r="B774" s="54" t="str"/>
      <c r="C774" s="54" t="inlineStr">
        <is>
          <t>Character</t>
        </is>
      </c>
      <c r="D774" s="54" t="inlineStr">
        <is>
          <t>Character</t>
        </is>
      </c>
      <c r="E774" s="54" t="inlineStr">
        <is>
          <t>The Swarmlord</t>
        </is>
      </c>
      <c r="F774" s="54" t="inlineStr">
        <is>
          <t>1 model</t>
        </is>
      </c>
      <c r="G774" s="54" t="inlineStr">
        <is>
          <t>Character, Epic Hero</t>
        </is>
      </c>
      <c r="H774" s="54" t="str"/>
      <c r="I774" s="54" t="str"/>
      <c r="J774" s="54" t="str"/>
      <c r="K774" s="54" t="str"/>
      <c r="L774" s="55" t="n">
        <v>240</v>
      </c>
      <c r="M774" s="54" t="str"/>
      <c r="N774" s="54" t="inlineStr">
        <is>
          <t>Matched to Munitorum Field Manual v2.3</t>
        </is>
      </c>
      <c r="O774" s="54" t="inlineStr">
        <is>
          <t>Uploaded PDF: Munitorum Field Manual v2.3 / March 2025, p.36</t>
        </is>
      </c>
    </row>
    <row r="775">
      <c r="A775" s="54" t="inlineStr">
        <is>
          <t>Tyranids</t>
        </is>
      </c>
      <c r="B775" s="54" t="str"/>
      <c r="C775" s="54" t="inlineStr">
        <is>
          <t>Monster / Heavy Support</t>
        </is>
      </c>
      <c r="D775" s="54" t="inlineStr">
        <is>
          <t>Monster</t>
        </is>
      </c>
      <c r="E775" s="54" t="inlineStr">
        <is>
          <t>Toxicrene</t>
        </is>
      </c>
      <c r="F775" s="54" t="inlineStr">
        <is>
          <t>1 model</t>
        </is>
      </c>
      <c r="G775" s="54" t="inlineStr">
        <is>
          <t>Monster</t>
        </is>
      </c>
      <c r="H775" s="54" t="str"/>
      <c r="I775" s="54" t="str"/>
      <c r="J775" s="54" t="str"/>
      <c r="K775" s="54" t="str"/>
      <c r="L775" s="55" t="n">
        <v>150</v>
      </c>
      <c r="M775" s="54" t="str"/>
      <c r="N775" s="54" t="inlineStr">
        <is>
          <t>Matched to Munitorum Field Manual v2.3</t>
        </is>
      </c>
      <c r="O775" s="54" t="inlineStr">
        <is>
          <t>Uploaded PDF: Munitorum Field Manual v2.3 / March 2025, p.36</t>
        </is>
      </c>
    </row>
    <row r="776">
      <c r="A776" s="54" t="inlineStr">
        <is>
          <t>Tyranids</t>
        </is>
      </c>
      <c r="B776" s="54" t="str"/>
      <c r="C776" s="54" t="inlineStr">
        <is>
          <t>Monster / Heavy Support</t>
        </is>
      </c>
      <c r="D776" s="54" t="inlineStr">
        <is>
          <t>Monster</t>
        </is>
      </c>
      <c r="E776" s="54" t="inlineStr">
        <is>
          <t>Trygon</t>
        </is>
      </c>
      <c r="F776" s="54" t="inlineStr">
        <is>
          <t>1 model</t>
        </is>
      </c>
      <c r="G776" s="54" t="inlineStr">
        <is>
          <t>Monster</t>
        </is>
      </c>
      <c r="H776" s="54" t="str"/>
      <c r="I776" s="54" t="str"/>
      <c r="J776" s="54" t="str"/>
      <c r="K776" s="54" t="str"/>
      <c r="L776" s="55" t="n">
        <v>140</v>
      </c>
      <c r="M776" s="54" t="str"/>
      <c r="N776" s="54" t="inlineStr">
        <is>
          <t>Matched to Munitorum Field Manual v2.3</t>
        </is>
      </c>
      <c r="O776" s="54" t="inlineStr">
        <is>
          <t>Uploaded PDF: Munitorum Field Manual v2.3 / March 2025, p.36</t>
        </is>
      </c>
    </row>
    <row r="777">
      <c r="A777" s="54" t="inlineStr">
        <is>
          <t>Tyranids</t>
        </is>
      </c>
      <c r="B777" s="54" t="str"/>
      <c r="C777" s="54" t="inlineStr">
        <is>
          <t>Infantry / Other</t>
        </is>
      </c>
      <c r="D777" s="54" t="inlineStr">
        <is>
          <t>Infantry</t>
        </is>
      </c>
      <c r="E777" s="54" t="inlineStr">
        <is>
          <t>Tyranid Warriors with Melee Bio-weapons</t>
        </is>
      </c>
      <c r="F777" s="54" t="inlineStr">
        <is>
          <t>3 models</t>
        </is>
      </c>
      <c r="G777" s="54" t="inlineStr">
        <is>
          <t>Infantry</t>
        </is>
      </c>
      <c r="H777" s="54" t="str"/>
      <c r="I777" s="54" t="str"/>
      <c r="J777" s="54" t="str"/>
      <c r="K777" s="54" t="str"/>
      <c r="L777" s="55" t="n">
        <v>75</v>
      </c>
      <c r="M777" s="54" t="inlineStr">
        <is>
          <t>Points options: 3 models = 75 pts; 6 models = 150 pts</t>
        </is>
      </c>
      <c r="N777" s="54" t="inlineStr">
        <is>
          <t>Matched to Munitorum Field Manual v2.3</t>
        </is>
      </c>
      <c r="O777" s="54" t="inlineStr">
        <is>
          <t>Uploaded PDF: Munitorum Field Manual v2.3 / March 2025, p.36</t>
        </is>
      </c>
    </row>
    <row r="778">
      <c r="A778" s="54" t="inlineStr">
        <is>
          <t>Tyranids</t>
        </is>
      </c>
      <c r="B778" s="54" t="str"/>
      <c r="C778" s="54" t="inlineStr">
        <is>
          <t>Infantry / Other</t>
        </is>
      </c>
      <c r="D778" s="54" t="inlineStr">
        <is>
          <t>Infantry</t>
        </is>
      </c>
      <c r="E778" s="54" t="inlineStr">
        <is>
          <t>Tyranid Warriors with Ranged Bio-weapons</t>
        </is>
      </c>
      <c r="F778" s="54" t="inlineStr">
        <is>
          <t>3 models</t>
        </is>
      </c>
      <c r="G778" s="54" t="inlineStr">
        <is>
          <t>Infantry</t>
        </is>
      </c>
      <c r="H778" s="54" t="str"/>
      <c r="I778" s="54" t="str"/>
      <c r="J778" s="54" t="str"/>
      <c r="K778" s="54" t="str"/>
      <c r="L778" s="55" t="n">
        <v>65</v>
      </c>
      <c r="M778" s="54" t="inlineStr">
        <is>
          <t>Points options: 3 models = 65 pts; 6 models = 130 pts</t>
        </is>
      </c>
      <c r="N778" s="54" t="inlineStr">
        <is>
          <t>Matched to Munitorum Field Manual v2.3</t>
        </is>
      </c>
      <c r="O778" s="54" t="inlineStr">
        <is>
          <t>Uploaded PDF: Munitorum Field Manual v2.3 / March 2025, p.36</t>
        </is>
      </c>
    </row>
    <row r="779">
      <c r="A779" s="54" t="inlineStr">
        <is>
          <t>Tyranids</t>
        </is>
      </c>
      <c r="B779" s="54" t="str"/>
      <c r="C779" s="54" t="inlineStr">
        <is>
          <t>Vehicle / Support</t>
        </is>
      </c>
      <c r="D779" s="54" t="inlineStr">
        <is>
          <t>Vehicle</t>
        </is>
      </c>
      <c r="E779" s="54" t="inlineStr">
        <is>
          <t>Tyrannocyte</t>
        </is>
      </c>
      <c r="F779" s="54" t="inlineStr">
        <is>
          <t>1 model</t>
        </is>
      </c>
      <c r="G779" s="54" t="inlineStr">
        <is>
          <t>Vehicle</t>
        </is>
      </c>
      <c r="H779" s="54" t="str"/>
      <c r="I779" s="54" t="str"/>
      <c r="J779" s="54" t="str"/>
      <c r="K779" s="54" t="str"/>
      <c r="L779" s="55" t="n">
        <v>105</v>
      </c>
      <c r="M779" s="54" t="str"/>
      <c r="N779" s="54" t="inlineStr">
        <is>
          <t>Matched to Munitorum Field Manual v2.3</t>
        </is>
      </c>
      <c r="O779" s="54" t="inlineStr">
        <is>
          <t>Uploaded PDF: Munitorum Field Manual v2.3 / March 2025, p.36</t>
        </is>
      </c>
    </row>
    <row r="780">
      <c r="A780" s="54" t="inlineStr">
        <is>
          <t>Tyranids</t>
        </is>
      </c>
      <c r="B780" s="54" t="str"/>
      <c r="C780" s="54" t="inlineStr">
        <is>
          <t>Monster / Heavy Support</t>
        </is>
      </c>
      <c r="D780" s="54" t="inlineStr">
        <is>
          <t>Monster</t>
        </is>
      </c>
      <c r="E780" s="54" t="inlineStr">
        <is>
          <t>Tyrannofex</t>
        </is>
      </c>
      <c r="F780" s="54" t="inlineStr">
        <is>
          <t>1 model</t>
        </is>
      </c>
      <c r="G780" s="54" t="inlineStr">
        <is>
          <t>Monster</t>
        </is>
      </c>
      <c r="H780" s="54" t="str"/>
      <c r="I780" s="54" t="str"/>
      <c r="J780" s="54" t="str"/>
      <c r="K780" s="54" t="str"/>
      <c r="L780" s="55" t="n">
        <v>200</v>
      </c>
      <c r="M780" s="54" t="str"/>
      <c r="N780" s="54" t="inlineStr">
        <is>
          <t>Matched to Munitorum Field Manual v2.3</t>
        </is>
      </c>
      <c r="O780" s="54" t="inlineStr">
        <is>
          <t>Uploaded PDF: Munitorum Field Manual v2.3 / March 2025, p.36</t>
        </is>
      </c>
    </row>
    <row r="781">
      <c r="A781" s="54" t="inlineStr">
        <is>
          <t>Tyranids</t>
        </is>
      </c>
      <c r="B781" s="54" t="str"/>
      <c r="C781" s="54" t="inlineStr">
        <is>
          <t>Character</t>
        </is>
      </c>
      <c r="D781" s="54" t="inlineStr">
        <is>
          <t>Character</t>
        </is>
      </c>
      <c r="E781" s="54" t="inlineStr">
        <is>
          <t>Tyrant Guard</t>
        </is>
      </c>
      <c r="F781" s="54" t="inlineStr">
        <is>
          <t>3 models</t>
        </is>
      </c>
      <c r="G781" s="54" t="inlineStr">
        <is>
          <t>Character</t>
        </is>
      </c>
      <c r="H781" s="54" t="str"/>
      <c r="I781" s="54" t="str"/>
      <c r="J781" s="54" t="str"/>
      <c r="K781" s="54" t="str"/>
      <c r="L781" s="55" t="n">
        <v>80</v>
      </c>
      <c r="M781" s="54" t="inlineStr">
        <is>
          <t>Points options: 3 models = 80 pts; 6 models = 160 pts</t>
        </is>
      </c>
      <c r="N781" s="54" t="inlineStr">
        <is>
          <t>Matched to Munitorum Field Manual v2.3</t>
        </is>
      </c>
      <c r="O781" s="54" t="inlineStr">
        <is>
          <t>Uploaded PDF: Munitorum Field Manual v2.3 / March 2025, p.36</t>
        </is>
      </c>
    </row>
    <row r="782">
      <c r="A782" s="54" t="inlineStr">
        <is>
          <t>Tyranids</t>
        </is>
      </c>
      <c r="B782" s="54" t="str"/>
      <c r="C782" s="54" t="inlineStr">
        <is>
          <t>Infantry / Other</t>
        </is>
      </c>
      <c r="D782" s="54" t="inlineStr">
        <is>
          <t>Infantry</t>
        </is>
      </c>
      <c r="E782" s="54" t="inlineStr">
        <is>
          <t>Von Ryan's Leapers</t>
        </is>
      </c>
      <c r="F782" s="54" t="inlineStr">
        <is>
          <t>3 models</t>
        </is>
      </c>
      <c r="G782" s="54" t="inlineStr">
        <is>
          <t>Infantry</t>
        </is>
      </c>
      <c r="H782" s="54" t="str"/>
      <c r="I782" s="54" t="str"/>
      <c r="J782" s="54" t="str"/>
      <c r="K782" s="54" t="str"/>
      <c r="L782" s="55" t="n">
        <v>70</v>
      </c>
      <c r="M782" s="54" t="inlineStr">
        <is>
          <t>Points options: 3 models = 70 pts; 6 models = 140 pts</t>
        </is>
      </c>
      <c r="N782" s="54" t="inlineStr">
        <is>
          <t>Matched to Munitorum Field Manual v2.3</t>
        </is>
      </c>
      <c r="O782" s="54" t="inlineStr">
        <is>
          <t>Uploaded PDF: Munitorum Field Manual v2.3 / March 2025, p.36</t>
        </is>
      </c>
    </row>
    <row r="783">
      <c r="A783" s="54" t="inlineStr">
        <is>
          <t>Tyranids</t>
        </is>
      </c>
      <c r="B783" s="54" t="str"/>
      <c r="C783" s="54" t="inlineStr">
        <is>
          <t>Character</t>
        </is>
      </c>
      <c r="D783" s="54" t="inlineStr">
        <is>
          <t>Character</t>
        </is>
      </c>
      <c r="E783" s="54" t="inlineStr">
        <is>
          <t>Winged Hive Tyrant</t>
        </is>
      </c>
      <c r="F783" s="54" t="inlineStr">
        <is>
          <t>1 model</t>
        </is>
      </c>
      <c r="G783" s="54" t="inlineStr">
        <is>
          <t>Character, Psyker</t>
        </is>
      </c>
      <c r="H783" s="54" t="str"/>
      <c r="I783" s="54" t="str"/>
      <c r="J783" s="54" t="str"/>
      <c r="K783" s="54" t="str"/>
      <c r="L783" s="55" t="n">
        <v>200</v>
      </c>
      <c r="M783" s="54" t="str"/>
      <c r="N783" s="54" t="inlineStr">
        <is>
          <t>Matched to Munitorum Field Manual v2.3</t>
        </is>
      </c>
      <c r="O783" s="54" t="inlineStr">
        <is>
          <t>Uploaded PDF: Munitorum Field Manual v2.3 / March 2025, p.36</t>
        </is>
      </c>
    </row>
    <row r="784">
      <c r="A784" s="54" t="inlineStr">
        <is>
          <t>Tyranids</t>
        </is>
      </c>
      <c r="B784" s="54" t="str"/>
      <c r="C784" s="54" t="inlineStr">
        <is>
          <t>Character</t>
        </is>
      </c>
      <c r="D784" s="54" t="inlineStr">
        <is>
          <t>Character</t>
        </is>
      </c>
      <c r="E784" s="54" t="inlineStr">
        <is>
          <t>Winged Tyranid Prime</t>
        </is>
      </c>
      <c r="F784" s="54" t="inlineStr">
        <is>
          <t>1 model</t>
        </is>
      </c>
      <c r="G784" s="54" t="inlineStr">
        <is>
          <t>Character</t>
        </is>
      </c>
      <c r="H784" s="54" t="str"/>
      <c r="I784" s="54" t="str"/>
      <c r="J784" s="54" t="str"/>
      <c r="K784" s="54" t="str"/>
      <c r="L784" s="55" t="n">
        <v>65</v>
      </c>
      <c r="M784" s="54" t="str"/>
      <c r="N784" s="54" t="inlineStr">
        <is>
          <t>Matched to Munitorum Field Manual v2.3</t>
        </is>
      </c>
      <c r="O784" s="54" t="inlineStr">
        <is>
          <t>Uploaded PDF: Munitorum Field Manual v2.3 / March 2025, p.36</t>
        </is>
      </c>
    </row>
    <row r="785">
      <c r="A785" s="54" t="inlineStr">
        <is>
          <t>Tyranids</t>
        </is>
      </c>
      <c r="B785" s="54" t="str"/>
      <c r="C785" s="54" t="inlineStr">
        <is>
          <t>Infantry / Other</t>
        </is>
      </c>
      <c r="D785" s="54" t="inlineStr">
        <is>
          <t>Infantry</t>
        </is>
      </c>
      <c r="E785" s="54" t="inlineStr">
        <is>
          <t>Zoanthropes</t>
        </is>
      </c>
      <c r="F785" s="54" t="inlineStr">
        <is>
          <t>3 models</t>
        </is>
      </c>
      <c r="G785" s="54" t="inlineStr">
        <is>
          <t>Infantry, Psyker</t>
        </is>
      </c>
      <c r="H785" s="54" t="str"/>
      <c r="I785" s="54" t="str"/>
      <c r="J785" s="54" t="str"/>
      <c r="K785" s="54" t="str"/>
      <c r="L785" s="55" t="n">
        <v>100</v>
      </c>
      <c r="M785" s="54" t="inlineStr">
        <is>
          <t>Points options: 3 models = 100 pts; 6 models = 200 pts</t>
        </is>
      </c>
      <c r="N785" s="54" t="inlineStr">
        <is>
          <t>Matched to Munitorum Field Manual v2.3</t>
        </is>
      </c>
      <c r="O785" s="54" t="inlineStr">
        <is>
          <t>Uploaded PDF: Munitorum Field Manual v2.3 / March 2025, p.36</t>
        </is>
      </c>
    </row>
    <row r="786">
      <c r="A786" s="54" t="inlineStr">
        <is>
          <t>Genestealer Cults</t>
        </is>
      </c>
      <c r="B786" s="54" t="str"/>
      <c r="C786" s="54" t="inlineStr">
        <is>
          <t>Character</t>
        </is>
      </c>
      <c r="D786" s="54" t="inlineStr">
        <is>
          <t>Character</t>
        </is>
      </c>
      <c r="E786" s="54" t="inlineStr">
        <is>
          <t>Abominant</t>
        </is>
      </c>
      <c r="F786" s="54" t="inlineStr">
        <is>
          <t>1 model</t>
        </is>
      </c>
      <c r="G786" s="54" t="inlineStr">
        <is>
          <t>Character</t>
        </is>
      </c>
      <c r="H786" s="54" t="str"/>
      <c r="I786" s="54" t="str"/>
      <c r="J786" s="54" t="str"/>
      <c r="K786" s="54" t="str"/>
      <c r="L786" s="55" t="n">
        <v>95</v>
      </c>
      <c r="M786" s="54" t="str"/>
      <c r="N786" s="54" t="inlineStr">
        <is>
          <t>Matched to Munitorum Field Manual v2.3</t>
        </is>
      </c>
      <c r="O786" s="54" t="inlineStr">
        <is>
          <t>Uploaded PDF: Munitorum Field Manual v2.3 / March 2025, p.22</t>
        </is>
      </c>
    </row>
    <row r="787">
      <c r="A787" s="54" t="inlineStr">
        <is>
          <t>Genestealer Cults</t>
        </is>
      </c>
      <c r="B787" s="54" t="str"/>
      <c r="C787" s="54" t="inlineStr">
        <is>
          <t>Infantry / Other</t>
        </is>
      </c>
      <c r="D787" s="54" t="inlineStr">
        <is>
          <t>Infantry</t>
        </is>
      </c>
      <c r="E787" s="54" t="inlineStr">
        <is>
          <t>Aberrants</t>
        </is>
      </c>
      <c r="F787" s="54" t="inlineStr">
        <is>
          <t>5 models</t>
        </is>
      </c>
      <c r="G787" s="54" t="inlineStr">
        <is>
          <t>Infantry</t>
        </is>
      </c>
      <c r="H787" s="54" t="str"/>
      <c r="I787" s="54" t="str"/>
      <c r="J787" s="54" t="str"/>
      <c r="K787" s="54" t="str"/>
      <c r="L787" s="55" t="n">
        <v>135</v>
      </c>
      <c r="M787" s="54" t="inlineStr">
        <is>
          <t>Points options: 5 models = 135 pts; 10 models = 300 pts</t>
        </is>
      </c>
      <c r="N787" s="54" t="inlineStr">
        <is>
          <t>Matched to Munitorum Field Manual v2.3</t>
        </is>
      </c>
      <c r="O787" s="54" t="inlineStr">
        <is>
          <t>Uploaded PDF: Munitorum Field Manual v2.3 / March 2025, p.22</t>
        </is>
      </c>
    </row>
    <row r="788">
      <c r="A788" s="54" t="inlineStr">
        <is>
          <t>Genestealer Cults</t>
        </is>
      </c>
      <c r="B788" s="54" t="str"/>
      <c r="C788" s="54" t="inlineStr">
        <is>
          <t>Vehicle / Support</t>
        </is>
      </c>
      <c r="D788" s="54" t="inlineStr">
        <is>
          <t>Vehicle</t>
        </is>
      </c>
      <c r="E788" s="54" t="inlineStr">
        <is>
          <t>Achilles Ridgerunners</t>
        </is>
      </c>
      <c r="F788" s="54" t="inlineStr">
        <is>
          <t>1 model</t>
        </is>
      </c>
      <c r="G788" s="54" t="inlineStr">
        <is>
          <t>Vehicle</t>
        </is>
      </c>
      <c r="H788" s="54" t="str"/>
      <c r="I788" s="54" t="str"/>
      <c r="J788" s="54" t="str"/>
      <c r="K788" s="54" t="str"/>
      <c r="L788" s="55" t="n">
        <v>85</v>
      </c>
      <c r="M788" s="54" t="inlineStr">
        <is>
          <t>Points options: 1 model = 85 pts; 2 models = 170 pts</t>
        </is>
      </c>
      <c r="N788" s="54" t="inlineStr">
        <is>
          <t>Matched to Munitorum Field Manual v2.3</t>
        </is>
      </c>
      <c r="O788" s="54" t="inlineStr">
        <is>
          <t>Uploaded PDF: Munitorum Field Manual v2.3 / March 2025, p.22</t>
        </is>
      </c>
    </row>
    <row r="789">
      <c r="A789" s="54" t="inlineStr">
        <is>
          <t>Genestealer Cults</t>
        </is>
      </c>
      <c r="B789" s="54" t="str"/>
      <c r="C789" s="54" t="inlineStr">
        <is>
          <t>Infantry / Other</t>
        </is>
      </c>
      <c r="D789" s="54" t="inlineStr">
        <is>
          <t>Infantry</t>
        </is>
      </c>
      <c r="E789" s="54" t="inlineStr">
        <is>
          <t>Acolyte Hybrids with Autopistols</t>
        </is>
      </c>
      <c r="F789" s="54" t="inlineStr">
        <is>
          <t>5 models</t>
        </is>
      </c>
      <c r="G789" s="54" t="inlineStr">
        <is>
          <t>Infantry</t>
        </is>
      </c>
      <c r="H789" s="54" t="str"/>
      <c r="I789" s="54" t="str"/>
      <c r="J789" s="54" t="str"/>
      <c r="K789" s="54" t="str"/>
      <c r="L789" s="55" t="n">
        <v>65</v>
      </c>
      <c r="M789" s="54" t="inlineStr">
        <is>
          <t>Points options: 5 models = 65 pts; 10 models = 130 pts</t>
        </is>
      </c>
      <c r="N789" s="54" t="inlineStr">
        <is>
          <t>Matched to Munitorum Field Manual v2.3</t>
        </is>
      </c>
      <c r="O789" s="54" t="inlineStr">
        <is>
          <t>Uploaded PDF: Munitorum Field Manual v2.3 / March 2025, p.22</t>
        </is>
      </c>
    </row>
    <row r="790">
      <c r="A790" s="54" t="inlineStr">
        <is>
          <t>Genestealer Cults</t>
        </is>
      </c>
      <c r="B790" s="54" t="str"/>
      <c r="C790" s="54" t="inlineStr">
        <is>
          <t>Infantry / Other</t>
        </is>
      </c>
      <c r="D790" s="54" t="inlineStr">
        <is>
          <t>Infantry</t>
        </is>
      </c>
      <c r="E790" s="54" t="inlineStr">
        <is>
          <t>Acolyte Hybrids with Hand Flamers</t>
        </is>
      </c>
      <c r="F790" s="54" t="inlineStr">
        <is>
          <t>5 models</t>
        </is>
      </c>
      <c r="G790" s="54" t="inlineStr">
        <is>
          <t>Infantry</t>
        </is>
      </c>
      <c r="H790" s="54" t="str"/>
      <c r="I790" s="54" t="str"/>
      <c r="J790" s="54" t="str"/>
      <c r="K790" s="54" t="str"/>
      <c r="L790" s="55" t="n">
        <v>70</v>
      </c>
      <c r="M790" s="54" t="inlineStr">
        <is>
          <t>Points options: 5 models = 70 pts; 10 models = 140 pts</t>
        </is>
      </c>
      <c r="N790" s="54" t="inlineStr">
        <is>
          <t>Matched to Munitorum Field Manual v2.3</t>
        </is>
      </c>
      <c r="O790" s="54" t="inlineStr">
        <is>
          <t>Uploaded PDF: Munitorum Field Manual v2.3 / March 2025, p.22</t>
        </is>
      </c>
    </row>
    <row r="791">
      <c r="A791" s="54" t="inlineStr">
        <is>
          <t>Genestealer Cults</t>
        </is>
      </c>
      <c r="B791" s="54" t="str"/>
      <c r="C791" s="54" t="inlineStr">
        <is>
          <t>Infantry / Other</t>
        </is>
      </c>
      <c r="D791" s="54" t="inlineStr">
        <is>
          <t>Mounted / Bike</t>
        </is>
      </c>
      <c r="E791" s="54" t="inlineStr">
        <is>
          <t>Atalan Jackals</t>
        </is>
      </c>
      <c r="F791" s="54" t="inlineStr">
        <is>
          <t>5 models</t>
        </is>
      </c>
      <c r="G791" s="54" t="inlineStr">
        <is>
          <t>Mounted / Bike</t>
        </is>
      </c>
      <c r="H791" s="54" t="str"/>
      <c r="I791" s="54" t="str"/>
      <c r="J791" s="54" t="str"/>
      <c r="K791" s="54" t="str"/>
      <c r="L791" s="55" t="n">
        <v>80</v>
      </c>
      <c r="M791" s="54" t="inlineStr">
        <is>
          <t>Points options: 5 models = 80 pts; 10 models = 160 pts</t>
        </is>
      </c>
      <c r="N791" s="54" t="inlineStr">
        <is>
          <t>Matched to Munitorum Field Manual v2.3</t>
        </is>
      </c>
      <c r="O791" s="54" t="inlineStr">
        <is>
          <t>Uploaded PDF: Munitorum Field Manual v2.3 / March 2025, p.22</t>
        </is>
      </c>
    </row>
    <row r="792">
      <c r="A792" s="54" t="inlineStr">
        <is>
          <t>Genestealer Cults</t>
        </is>
      </c>
      <c r="B792" s="54" t="str"/>
      <c r="C792" s="54" t="inlineStr">
        <is>
          <t>Character</t>
        </is>
      </c>
      <c r="D792" s="54" t="inlineStr">
        <is>
          <t>Character</t>
        </is>
      </c>
      <c r="E792" s="54" t="inlineStr">
        <is>
          <t>Biophagus</t>
        </is>
      </c>
      <c r="F792" s="54" t="inlineStr">
        <is>
          <t>1 model</t>
        </is>
      </c>
      <c r="G792" s="54" t="inlineStr">
        <is>
          <t>Character</t>
        </is>
      </c>
      <c r="H792" s="54" t="str"/>
      <c r="I792" s="54" t="str"/>
      <c r="J792" s="54" t="str"/>
      <c r="K792" s="54" t="str"/>
      <c r="L792" s="55" t="n">
        <v>50</v>
      </c>
      <c r="M792" s="54" t="str"/>
      <c r="N792" s="54" t="inlineStr">
        <is>
          <t>Matched to Munitorum Field Manual v2.3</t>
        </is>
      </c>
      <c r="O792" s="54" t="inlineStr">
        <is>
          <t>Uploaded PDF: Munitorum Field Manual v2.3 / March 2025, p.22</t>
        </is>
      </c>
    </row>
    <row r="793">
      <c r="A793" s="54" t="inlineStr">
        <is>
          <t>Genestealer Cults</t>
        </is>
      </c>
      <c r="B793" s="54" t="str"/>
      <c r="C793" s="54" t="inlineStr">
        <is>
          <t>Character</t>
        </is>
      </c>
      <c r="D793" s="54" t="inlineStr">
        <is>
          <t>Character</t>
        </is>
      </c>
      <c r="E793" s="54" t="inlineStr">
        <is>
          <t>Clamavus</t>
        </is>
      </c>
      <c r="F793" s="54" t="inlineStr">
        <is>
          <t>1 model</t>
        </is>
      </c>
      <c r="G793" s="54" t="inlineStr">
        <is>
          <t>Character</t>
        </is>
      </c>
      <c r="H793" s="54" t="str"/>
      <c r="I793" s="54" t="str"/>
      <c r="J793" s="54" t="str"/>
      <c r="K793" s="54" t="str"/>
      <c r="L793" s="55" t="n">
        <v>50</v>
      </c>
      <c r="M793" s="54" t="str"/>
      <c r="N793" s="54" t="inlineStr">
        <is>
          <t>Matched to Munitorum Field Manual v2.3</t>
        </is>
      </c>
      <c r="O793" s="54" t="inlineStr">
        <is>
          <t>Uploaded PDF: Munitorum Field Manual v2.3 / March 2025, p.22</t>
        </is>
      </c>
    </row>
    <row r="794">
      <c r="A794" s="54" t="inlineStr">
        <is>
          <t>Genestealer Cults</t>
        </is>
      </c>
      <c r="B794" s="54" t="str"/>
      <c r="C794" s="54" t="inlineStr">
        <is>
          <t>Vehicle / Support</t>
        </is>
      </c>
      <c r="D794" s="54" t="inlineStr">
        <is>
          <t>Vehicle</t>
        </is>
      </c>
      <c r="E794" s="54" t="inlineStr">
        <is>
          <t>Goliath Rockgrinder</t>
        </is>
      </c>
      <c r="F794" s="54" t="inlineStr">
        <is>
          <t>1 model</t>
        </is>
      </c>
      <c r="G794" s="54" t="inlineStr">
        <is>
          <t>Vehicle</t>
        </is>
      </c>
      <c r="H794" s="54" t="str"/>
      <c r="I794" s="54" t="str"/>
      <c r="J794" s="54" t="str"/>
      <c r="K794" s="54" t="str"/>
      <c r="L794" s="55" t="n">
        <v>120</v>
      </c>
      <c r="M794" s="54" t="str"/>
      <c r="N794" s="54" t="inlineStr">
        <is>
          <t>Matched to Munitorum Field Manual v2.3</t>
        </is>
      </c>
      <c r="O794" s="54" t="inlineStr">
        <is>
          <t>Uploaded PDF: Munitorum Field Manual v2.3 / March 2025, p.22</t>
        </is>
      </c>
    </row>
    <row r="795">
      <c r="A795" s="54" t="inlineStr">
        <is>
          <t>Genestealer Cults</t>
        </is>
      </c>
      <c r="B795" s="54" t="str"/>
      <c r="C795" s="54" t="inlineStr">
        <is>
          <t>Vehicle / Support</t>
        </is>
      </c>
      <c r="D795" s="54" t="inlineStr">
        <is>
          <t>Vehicle</t>
        </is>
      </c>
      <c r="E795" s="54" t="inlineStr">
        <is>
          <t>Goliath Truck</t>
        </is>
      </c>
      <c r="F795" s="54" t="inlineStr">
        <is>
          <t>1 model</t>
        </is>
      </c>
      <c r="G795" s="54" t="inlineStr">
        <is>
          <t>Vehicle</t>
        </is>
      </c>
      <c r="H795" s="54" t="str"/>
      <c r="I795" s="54" t="str"/>
      <c r="J795" s="54" t="str"/>
      <c r="K795" s="54" t="str"/>
      <c r="L795" s="55" t="n">
        <v>85</v>
      </c>
      <c r="M795" s="54" t="str"/>
      <c r="N795" s="54" t="inlineStr">
        <is>
          <t>Matched to Munitorum Field Manual v2.3</t>
        </is>
      </c>
      <c r="O795" s="54" t="inlineStr">
        <is>
          <t>Uploaded PDF: Munitorum Field Manual v2.3 / March 2025, p.22</t>
        </is>
      </c>
    </row>
    <row r="796">
      <c r="A796" s="54" t="inlineStr">
        <is>
          <t>Genestealer Cults</t>
        </is>
      </c>
      <c r="B796" s="54" t="str"/>
      <c r="C796" s="54" t="inlineStr">
        <is>
          <t>Infantry / Other</t>
        </is>
      </c>
      <c r="D796" s="54" t="inlineStr">
        <is>
          <t>Infantry</t>
        </is>
      </c>
      <c r="E796" s="54" t="inlineStr">
        <is>
          <t>Hybrid Metamorphs</t>
        </is>
      </c>
      <c r="F796" s="54" t="inlineStr">
        <is>
          <t>5 models</t>
        </is>
      </c>
      <c r="G796" s="54" t="inlineStr">
        <is>
          <t>Infantry</t>
        </is>
      </c>
      <c r="H796" s="54" t="str"/>
      <c r="I796" s="54" t="str"/>
      <c r="J796" s="54" t="str"/>
      <c r="K796" s="54" t="str"/>
      <c r="L796" s="55" t="n">
        <v>80</v>
      </c>
      <c r="M796" s="54" t="inlineStr">
        <is>
          <t>Points options: 5 models = 80 pts; 10 models = 160 pts</t>
        </is>
      </c>
      <c r="N796" s="54" t="inlineStr">
        <is>
          <t>Matched to Munitorum Field Manual v2.3</t>
        </is>
      </c>
      <c r="O796" s="54" t="inlineStr">
        <is>
          <t>Uploaded PDF: Munitorum Field Manual v2.3 / March 2025, p.22</t>
        </is>
      </c>
    </row>
    <row r="797">
      <c r="A797" s="54" t="inlineStr">
        <is>
          <t>Genestealer Cults</t>
        </is>
      </c>
      <c r="B797" s="54" t="str"/>
      <c r="C797" s="54" t="inlineStr">
        <is>
          <t>Infantry / Other</t>
        </is>
      </c>
      <c r="D797" s="54" t="inlineStr">
        <is>
          <t>Infantry</t>
        </is>
      </c>
      <c r="E797" s="54" t="inlineStr">
        <is>
          <t>Jackal Alphus</t>
        </is>
      </c>
      <c r="F797" s="54" t="inlineStr">
        <is>
          <t>1 model</t>
        </is>
      </c>
      <c r="G797" s="54" t="inlineStr">
        <is>
          <t>Infantry</t>
        </is>
      </c>
      <c r="H797" s="54" t="str"/>
      <c r="I797" s="54" t="str"/>
      <c r="J797" s="54" t="str"/>
      <c r="K797" s="54" t="str"/>
      <c r="L797" s="55" t="n">
        <v>55</v>
      </c>
      <c r="M797" s="54" t="str"/>
      <c r="N797" s="54" t="inlineStr">
        <is>
          <t>Matched to Munitorum Field Manual v2.3</t>
        </is>
      </c>
      <c r="O797" s="54" t="inlineStr">
        <is>
          <t>Uploaded PDF: Munitorum Field Manual v2.3 / March 2025, p.22</t>
        </is>
      </c>
    </row>
    <row r="798">
      <c r="A798" s="54" t="inlineStr">
        <is>
          <t>Genestealer Cults</t>
        </is>
      </c>
      <c r="B798" s="54" t="str"/>
      <c r="C798" s="54" t="inlineStr">
        <is>
          <t>Character</t>
        </is>
      </c>
      <c r="D798" s="54" t="inlineStr">
        <is>
          <t>Character</t>
        </is>
      </c>
      <c r="E798" s="54" t="inlineStr">
        <is>
          <t>Kelermorph</t>
        </is>
      </c>
      <c r="F798" s="54" t="inlineStr">
        <is>
          <t>1 model</t>
        </is>
      </c>
      <c r="G798" s="54" t="inlineStr">
        <is>
          <t>Character</t>
        </is>
      </c>
      <c r="H798" s="54" t="str"/>
      <c r="I798" s="54" t="str"/>
      <c r="J798" s="54" t="str"/>
      <c r="K798" s="54" t="str"/>
      <c r="L798" s="55" t="n">
        <v>60</v>
      </c>
      <c r="M798" s="54" t="str"/>
      <c r="N798" s="54" t="inlineStr">
        <is>
          <t>Matched to Munitorum Field Manual v2.3</t>
        </is>
      </c>
      <c r="O798" s="54" t="inlineStr">
        <is>
          <t>Uploaded PDF: Munitorum Field Manual v2.3 / March 2025, p.22</t>
        </is>
      </c>
    </row>
    <row r="799">
      <c r="A799" s="54" t="inlineStr">
        <is>
          <t>Genestealer Cults</t>
        </is>
      </c>
      <c r="B799" s="54" t="str"/>
      <c r="C799" s="54" t="inlineStr">
        <is>
          <t>Character</t>
        </is>
      </c>
      <c r="D799" s="54" t="inlineStr">
        <is>
          <t>Character</t>
        </is>
      </c>
      <c r="E799" s="54" t="inlineStr">
        <is>
          <t>Locus</t>
        </is>
      </c>
      <c r="F799" s="54" t="inlineStr">
        <is>
          <t>1 model</t>
        </is>
      </c>
      <c r="G799" s="54" t="inlineStr">
        <is>
          <t>Character</t>
        </is>
      </c>
      <c r="H799" s="54" t="str"/>
      <c r="I799" s="54" t="str"/>
      <c r="J799" s="54" t="str"/>
      <c r="K799" s="54" t="str"/>
      <c r="L799" s="55" t="n">
        <v>45</v>
      </c>
      <c r="M799" s="54" t="str"/>
      <c r="N799" s="54" t="inlineStr">
        <is>
          <t>Matched to Munitorum Field Manual v2.3</t>
        </is>
      </c>
      <c r="O799" s="54" t="inlineStr">
        <is>
          <t>Uploaded PDF: Munitorum Field Manual v2.3 / March 2025, p.22</t>
        </is>
      </c>
    </row>
    <row r="800">
      <c r="A800" s="54" t="inlineStr">
        <is>
          <t>Genestealer Cults</t>
        </is>
      </c>
      <c r="B800" s="54" t="str"/>
      <c r="C800" s="54" t="inlineStr">
        <is>
          <t>Character</t>
        </is>
      </c>
      <c r="D800" s="54" t="inlineStr">
        <is>
          <t>Character</t>
        </is>
      </c>
      <c r="E800" s="54" t="inlineStr">
        <is>
          <t>Magus</t>
        </is>
      </c>
      <c r="F800" s="54" t="inlineStr">
        <is>
          <t>1 model</t>
        </is>
      </c>
      <c r="G800" s="54" t="inlineStr">
        <is>
          <t>Character, Psyker</t>
        </is>
      </c>
      <c r="H800" s="54" t="str"/>
      <c r="I800" s="54" t="str"/>
      <c r="J800" s="54" t="str"/>
      <c r="K800" s="54" t="str"/>
      <c r="L800" s="55" t="n">
        <v>50</v>
      </c>
      <c r="M800" s="54" t="str"/>
      <c r="N800" s="54" t="inlineStr">
        <is>
          <t>Matched to Munitorum Field Manual v2.3</t>
        </is>
      </c>
      <c r="O800" s="54" t="inlineStr">
        <is>
          <t>Uploaded PDF: Munitorum Field Manual v2.3 / March 2025, p.22</t>
        </is>
      </c>
    </row>
    <row r="801">
      <c r="A801" s="54" t="inlineStr">
        <is>
          <t>Genestealer Cults</t>
        </is>
      </c>
      <c r="B801" s="54" t="str"/>
      <c r="C801" s="54" t="inlineStr">
        <is>
          <t>Character</t>
        </is>
      </c>
      <c r="D801" s="54" t="inlineStr">
        <is>
          <t>Character</t>
        </is>
      </c>
      <c r="E801" s="54" t="inlineStr">
        <is>
          <t>Nexos</t>
        </is>
      </c>
      <c r="F801" s="54" t="inlineStr">
        <is>
          <t>1 model</t>
        </is>
      </c>
      <c r="G801" s="54" t="inlineStr">
        <is>
          <t>Character</t>
        </is>
      </c>
      <c r="H801" s="54" t="str"/>
      <c r="I801" s="54" t="str"/>
      <c r="J801" s="54" t="str"/>
      <c r="K801" s="54" t="str"/>
      <c r="L801" s="55" t="n">
        <v>60</v>
      </c>
      <c r="M801" s="54" t="str"/>
      <c r="N801" s="54" t="inlineStr">
        <is>
          <t>Matched to Munitorum Field Manual v2.3</t>
        </is>
      </c>
      <c r="O801" s="54" t="inlineStr">
        <is>
          <t>Uploaded PDF: Munitorum Field Manual v2.3 / March 2025, p.22</t>
        </is>
      </c>
    </row>
    <row r="802">
      <c r="A802" s="54" t="inlineStr">
        <is>
          <t>Genestealer Cults</t>
        </is>
      </c>
      <c r="B802" s="54" t="str"/>
      <c r="C802" s="54" t="inlineStr">
        <is>
          <t>Battleline / Core</t>
        </is>
      </c>
      <c r="D802" s="54" t="inlineStr">
        <is>
          <t>Infantry</t>
        </is>
      </c>
      <c r="E802" s="54" t="inlineStr">
        <is>
          <t>Neophyte Hybrids</t>
        </is>
      </c>
      <c r="F802" s="54" t="inlineStr">
        <is>
          <t>10 models</t>
        </is>
      </c>
      <c r="G802" s="54" t="inlineStr">
        <is>
          <t>Infantry</t>
        </is>
      </c>
      <c r="H802" s="54" t="str"/>
      <c r="I802" s="54" t="str"/>
      <c r="J802" s="54" t="str"/>
      <c r="K802" s="54" t="str"/>
      <c r="L802" s="55" t="n">
        <v>65</v>
      </c>
      <c r="M802" s="54" t="inlineStr">
        <is>
          <t>Points options: 10 models = 65 pts; 20 models = 145 pts</t>
        </is>
      </c>
      <c r="N802" s="54" t="inlineStr">
        <is>
          <t>Matched to Munitorum Field Manual v2.3</t>
        </is>
      </c>
      <c r="O802" s="54" t="inlineStr">
        <is>
          <t>Uploaded PDF: Munitorum Field Manual v2.3 / March 2025, p.22</t>
        </is>
      </c>
    </row>
    <row r="803">
      <c r="A803" s="54" t="inlineStr">
        <is>
          <t>Genestealer Cults</t>
        </is>
      </c>
      <c r="B803" s="54" t="str"/>
      <c r="C803" s="54" t="inlineStr">
        <is>
          <t>Character</t>
        </is>
      </c>
      <c r="D803" s="54" t="inlineStr">
        <is>
          <t>Character</t>
        </is>
      </c>
      <c r="E803" s="54" t="inlineStr">
        <is>
          <t>Patriarch</t>
        </is>
      </c>
      <c r="F803" s="54" t="inlineStr">
        <is>
          <t>1 model</t>
        </is>
      </c>
      <c r="G803" s="54" t="inlineStr">
        <is>
          <t>Character</t>
        </is>
      </c>
      <c r="H803" s="54" t="str"/>
      <c r="I803" s="54" t="str"/>
      <c r="J803" s="54" t="str"/>
      <c r="K803" s="54" t="str"/>
      <c r="L803" s="55" t="n">
        <v>75</v>
      </c>
      <c r="M803" s="54" t="str"/>
      <c r="N803" s="54" t="inlineStr">
        <is>
          <t>Matched to Munitorum Field Manual v2.3</t>
        </is>
      </c>
      <c r="O803" s="54" t="inlineStr">
        <is>
          <t>Uploaded PDF: Munitorum Field Manual v2.3 / March 2025, p.22</t>
        </is>
      </c>
    </row>
    <row r="804">
      <c r="A804" s="54" t="inlineStr">
        <is>
          <t>Genestealer Cults</t>
        </is>
      </c>
      <c r="B804" s="54" t="str"/>
      <c r="C804" s="54" t="inlineStr">
        <is>
          <t>Character</t>
        </is>
      </c>
      <c r="D804" s="54" t="inlineStr">
        <is>
          <t>Character</t>
        </is>
      </c>
      <c r="E804" s="54" t="inlineStr">
        <is>
          <t>Primus</t>
        </is>
      </c>
      <c r="F804" s="54" t="inlineStr">
        <is>
          <t>1 model</t>
        </is>
      </c>
      <c r="G804" s="54" t="inlineStr">
        <is>
          <t>Character</t>
        </is>
      </c>
      <c r="H804" s="54" t="str"/>
      <c r="I804" s="54" t="str"/>
      <c r="J804" s="54" t="str"/>
      <c r="K804" s="54" t="str"/>
      <c r="L804" s="55" t="n">
        <v>80</v>
      </c>
      <c r="M804" s="54" t="str"/>
      <c r="N804" s="54" t="inlineStr">
        <is>
          <t>Matched to Munitorum Field Manual v2.3</t>
        </is>
      </c>
      <c r="O804" s="54" t="inlineStr">
        <is>
          <t>Uploaded PDF: Munitorum Field Manual v2.3 / March 2025, p.22</t>
        </is>
      </c>
    </row>
    <row r="805">
      <c r="A805" s="54" t="inlineStr">
        <is>
          <t>Genestealer Cults</t>
        </is>
      </c>
      <c r="B805" s="54" t="str"/>
      <c r="C805" s="54" t="inlineStr">
        <is>
          <t>Infantry / Other</t>
        </is>
      </c>
      <c r="D805" s="54" t="inlineStr">
        <is>
          <t>Infantry</t>
        </is>
      </c>
      <c r="E805" s="54" t="inlineStr">
        <is>
          <t>Purestrain Genestealers</t>
        </is>
      </c>
      <c r="F805" s="54" t="inlineStr">
        <is>
          <t>5 models</t>
        </is>
      </c>
      <c r="G805" s="54" t="inlineStr">
        <is>
          <t>Infantry</t>
        </is>
      </c>
      <c r="H805" s="54" t="str"/>
      <c r="I805" s="54" t="str"/>
      <c r="J805" s="54" t="str"/>
      <c r="K805" s="54" t="str"/>
      <c r="L805" s="55" t="n">
        <v>75</v>
      </c>
      <c r="M805" s="54" t="inlineStr">
        <is>
          <t>Points options: 5 models = 75 pts; 10 models = 150 pts</t>
        </is>
      </c>
      <c r="N805" s="54" t="inlineStr">
        <is>
          <t>Matched to Munitorum Field Manual v2.3</t>
        </is>
      </c>
      <c r="O805" s="54" t="inlineStr">
        <is>
          <t>Uploaded PDF: Munitorum Field Manual v2.3 / March 2025, p.22</t>
        </is>
      </c>
    </row>
    <row r="806">
      <c r="A806" s="54" t="inlineStr">
        <is>
          <t>Genestealer Cults</t>
        </is>
      </c>
      <c r="B806" s="54" t="str"/>
      <c r="C806" s="54" t="inlineStr">
        <is>
          <t>Infantry / Other</t>
        </is>
      </c>
      <c r="D806" s="54" t="inlineStr">
        <is>
          <t>Infantry</t>
        </is>
      </c>
      <c r="E806" s="54" t="inlineStr">
        <is>
          <t>Reductus Saboteur</t>
        </is>
      </c>
      <c r="F806" s="54" t="inlineStr">
        <is>
          <t>1 model</t>
        </is>
      </c>
      <c r="G806" s="54" t="inlineStr">
        <is>
          <t>Infantry</t>
        </is>
      </c>
      <c r="H806" s="54" t="str"/>
      <c r="I806" s="54" t="str"/>
      <c r="J806" s="54" t="str"/>
      <c r="K806" s="54" t="str"/>
      <c r="L806" s="55" t="n">
        <v>65</v>
      </c>
      <c r="M806" s="54" t="str"/>
      <c r="N806" s="54" t="inlineStr">
        <is>
          <t>Matched to Munitorum Field Manual v2.3</t>
        </is>
      </c>
      <c r="O806" s="54" t="inlineStr">
        <is>
          <t>Uploaded PDF: Munitorum Field Manual v2.3 / March 2025, p.22</t>
        </is>
      </c>
    </row>
    <row r="807">
      <c r="A807" s="54" t="inlineStr">
        <is>
          <t>Genestealer Cults</t>
        </is>
      </c>
      <c r="B807" s="54" t="str"/>
      <c r="C807" s="54" t="inlineStr">
        <is>
          <t>Character</t>
        </is>
      </c>
      <c r="D807" s="54" t="inlineStr">
        <is>
          <t>Character</t>
        </is>
      </c>
      <c r="E807" s="54" t="inlineStr">
        <is>
          <t>Sanctus</t>
        </is>
      </c>
      <c r="F807" s="54" t="inlineStr">
        <is>
          <t>1 model</t>
        </is>
      </c>
      <c r="G807" s="54" t="inlineStr">
        <is>
          <t>Character</t>
        </is>
      </c>
      <c r="H807" s="54" t="str"/>
      <c r="I807" s="54" t="str"/>
      <c r="J807" s="54" t="str"/>
      <c r="K807" s="54" t="str"/>
      <c r="L807" s="55" t="n">
        <v>50</v>
      </c>
      <c r="M807" s="54" t="str"/>
      <c r="N807" s="54" t="inlineStr">
        <is>
          <t>Matched to Munitorum Field Manual v2.3</t>
        </is>
      </c>
      <c r="O807" s="54" t="inlineStr">
        <is>
          <t>Uploaded PDF: Munitorum Field Manual v2.3 / March 2025, p.22</t>
        </is>
      </c>
    </row>
    <row r="808">
      <c r="A808" s="54" t="inlineStr">
        <is>
          <t>Leagues of Votann</t>
        </is>
      </c>
      <c r="B808" s="54" t="str"/>
      <c r="C808" s="54" t="inlineStr">
        <is>
          <t>Character</t>
        </is>
      </c>
      <c r="D808" s="54" t="inlineStr">
        <is>
          <t>Character</t>
        </is>
      </c>
      <c r="E808" s="54" t="inlineStr">
        <is>
          <t>Brôkhyr Iron-master</t>
        </is>
      </c>
      <c r="F808" s="54" t="inlineStr">
        <is>
          <t>5 models</t>
        </is>
      </c>
      <c r="G808" s="54" t="inlineStr">
        <is>
          <t>Character</t>
        </is>
      </c>
      <c r="H808" s="54" t="str"/>
      <c r="I808" s="54" t="str"/>
      <c r="J808" s="54" t="str"/>
      <c r="K808" s="54" t="str"/>
      <c r="L808" s="55" t="n">
        <v>65</v>
      </c>
      <c r="M808" s="54" t="str"/>
      <c r="N808" s="54" t="inlineStr">
        <is>
          <t>Matched to Munitorum Field Manual v2.3</t>
        </is>
      </c>
      <c r="O808" s="54" t="inlineStr">
        <is>
          <t>Uploaded PDF: Munitorum Field Manual v2.3 / March 2025, p.27</t>
        </is>
      </c>
    </row>
    <row r="809">
      <c r="A809" s="54" t="inlineStr">
        <is>
          <t>Leagues of Votann</t>
        </is>
      </c>
      <c r="B809" s="54" t="str"/>
      <c r="C809" s="54" t="inlineStr">
        <is>
          <t>Infantry / Other</t>
        </is>
      </c>
      <c r="D809" s="54" t="inlineStr">
        <is>
          <t>Infantry</t>
        </is>
      </c>
      <c r="E809" s="54" t="inlineStr">
        <is>
          <t>Brôkhyr Thunderkyn</t>
        </is>
      </c>
      <c r="F809" s="54" t="inlineStr">
        <is>
          <t>3 models</t>
        </is>
      </c>
      <c r="G809" s="54" t="inlineStr">
        <is>
          <t>Infantry</t>
        </is>
      </c>
      <c r="H809" s="54" t="str"/>
      <c r="I809" s="54" t="str"/>
      <c r="J809" s="54" t="str"/>
      <c r="K809" s="54" t="str"/>
      <c r="L809" s="55" t="n">
        <v>80</v>
      </c>
      <c r="M809" s="54" t="inlineStr">
        <is>
          <t>Points options: 3 models = 80 pts; 6 models = 160 pts</t>
        </is>
      </c>
      <c r="N809" s="54" t="inlineStr">
        <is>
          <t>Matched to Munitorum Field Manual v2.3</t>
        </is>
      </c>
      <c r="O809" s="54" t="inlineStr">
        <is>
          <t>Uploaded PDF: Munitorum Field Manual v2.3 / March 2025, p.27</t>
        </is>
      </c>
    </row>
    <row r="810">
      <c r="A810" s="54" t="inlineStr">
        <is>
          <t>Leagues of Votann</t>
        </is>
      </c>
      <c r="B810" s="54" t="str"/>
      <c r="C810" s="54" t="inlineStr">
        <is>
          <t>Infantry / Other</t>
        </is>
      </c>
      <c r="D810" s="54" t="inlineStr">
        <is>
          <t>Infantry</t>
        </is>
      </c>
      <c r="E810" s="54" t="inlineStr">
        <is>
          <t>Cthonian Beserks</t>
        </is>
      </c>
      <c r="F810" s="54" t="inlineStr">
        <is>
          <t>5 models</t>
        </is>
      </c>
      <c r="G810" s="54" t="inlineStr">
        <is>
          <t>Infantry</t>
        </is>
      </c>
      <c r="H810" s="54" t="str"/>
      <c r="I810" s="54" t="str"/>
      <c r="J810" s="54" t="str"/>
      <c r="K810" s="54" t="str"/>
      <c r="L810" s="55" t="n">
        <v>100</v>
      </c>
      <c r="M810" s="54" t="inlineStr">
        <is>
          <t>Points options: 5 models = 100 pts; 10 models = 200 pts</t>
        </is>
      </c>
      <c r="N810" s="54" t="inlineStr">
        <is>
          <t>Matched to Munitorum Field Manual v2.3</t>
        </is>
      </c>
      <c r="O810" s="54" t="inlineStr">
        <is>
          <t>Uploaded PDF: Munitorum Field Manual v2.3 / March 2025, p.27</t>
        </is>
      </c>
    </row>
    <row r="811">
      <c r="A811" s="54" t="inlineStr">
        <is>
          <t>Leagues of Votann</t>
        </is>
      </c>
      <c r="B811" s="54" t="str"/>
      <c r="C811" s="54" t="inlineStr">
        <is>
          <t>Character</t>
        </is>
      </c>
      <c r="D811" s="54" t="inlineStr">
        <is>
          <t>Character</t>
        </is>
      </c>
      <c r="E811" s="54" t="inlineStr">
        <is>
          <t>Einhyr Champion</t>
        </is>
      </c>
      <c r="F811" s="54" t="inlineStr">
        <is>
          <t>1 model</t>
        </is>
      </c>
      <c r="G811" s="54" t="inlineStr">
        <is>
          <t>Character</t>
        </is>
      </c>
      <c r="H811" s="54" t="str"/>
      <c r="I811" s="54" t="str"/>
      <c r="J811" s="54" t="str"/>
      <c r="K811" s="54" t="str"/>
      <c r="L811" s="55" t="n">
        <v>60</v>
      </c>
      <c r="M811" s="54" t="str"/>
      <c r="N811" s="54" t="inlineStr">
        <is>
          <t>Matched to Munitorum Field Manual v2.3</t>
        </is>
      </c>
      <c r="O811" s="54" t="inlineStr">
        <is>
          <t>Uploaded PDF: Munitorum Field Manual v2.3 / March 2025, p.27</t>
        </is>
      </c>
    </row>
    <row r="812">
      <c r="A812" s="54" t="inlineStr">
        <is>
          <t>Leagues of Votann</t>
        </is>
      </c>
      <c r="B812" s="54" t="str"/>
      <c r="C812" s="54" t="inlineStr">
        <is>
          <t>Infantry / Other</t>
        </is>
      </c>
      <c r="D812" s="54" t="inlineStr">
        <is>
          <t>Infantry</t>
        </is>
      </c>
      <c r="E812" s="54" t="inlineStr">
        <is>
          <t>Einhyr Hearthguard</t>
        </is>
      </c>
      <c r="F812" s="54" t="inlineStr">
        <is>
          <t>5 models</t>
        </is>
      </c>
      <c r="G812" s="54" t="inlineStr">
        <is>
          <t>Infantry</t>
        </is>
      </c>
      <c r="H812" s="54" t="str"/>
      <c r="I812" s="54" t="str"/>
      <c r="J812" s="54" t="str"/>
      <c r="K812" s="54" t="str"/>
      <c r="L812" s="55" t="n">
        <v>150</v>
      </c>
      <c r="M812" s="54" t="inlineStr">
        <is>
          <t>Points options: 5 models = 150 pts; 10 models = 320 pts</t>
        </is>
      </c>
      <c r="N812" s="54" t="inlineStr">
        <is>
          <t>Matched to Munitorum Field Manual v2.3</t>
        </is>
      </c>
      <c r="O812" s="54" t="inlineStr">
        <is>
          <t>Uploaded PDF: Munitorum Field Manual v2.3 / March 2025, p.27</t>
        </is>
      </c>
    </row>
    <row r="813">
      <c r="A813" s="54" t="inlineStr">
        <is>
          <t>Leagues of Votann</t>
        </is>
      </c>
      <c r="B813" s="54" t="str"/>
      <c r="C813" s="54" t="inlineStr">
        <is>
          <t>Character</t>
        </is>
      </c>
      <c r="D813" s="54" t="inlineStr">
        <is>
          <t>Character</t>
        </is>
      </c>
      <c r="E813" s="54" t="inlineStr">
        <is>
          <t>Grimnyr</t>
        </is>
      </c>
      <c r="F813" s="54" t="inlineStr">
        <is>
          <t>3 models</t>
        </is>
      </c>
      <c r="G813" s="54" t="inlineStr">
        <is>
          <t>Character</t>
        </is>
      </c>
      <c r="H813" s="54" t="str"/>
      <c r="I813" s="54" t="str"/>
      <c r="J813" s="54" t="str"/>
      <c r="K813" s="54" t="str"/>
      <c r="L813" s="55" t="n">
        <v>65</v>
      </c>
      <c r="M813" s="54" t="str"/>
      <c r="N813" s="54" t="inlineStr">
        <is>
          <t>Matched to Munitorum Field Manual v2.3</t>
        </is>
      </c>
      <c r="O813" s="54" t="inlineStr">
        <is>
          <t>Uploaded PDF: Munitorum Field Manual v2.3 / March 2025, p.27</t>
        </is>
      </c>
    </row>
    <row r="814">
      <c r="A814" s="54" t="inlineStr">
        <is>
          <t>Leagues of Votann</t>
        </is>
      </c>
      <c r="B814" s="54" t="str"/>
      <c r="C814" s="54" t="inlineStr">
        <is>
          <t>Vehicle / Support</t>
        </is>
      </c>
      <c r="D814" s="54" t="inlineStr">
        <is>
          <t>Vehicle</t>
        </is>
      </c>
      <c r="E814" s="54" t="inlineStr">
        <is>
          <t>Hekaton Land Fortress</t>
        </is>
      </c>
      <c r="F814" s="54" t="inlineStr">
        <is>
          <t>1 model</t>
        </is>
      </c>
      <c r="G814" s="54" t="inlineStr">
        <is>
          <t>Vehicle</t>
        </is>
      </c>
      <c r="H814" s="54" t="str"/>
      <c r="I814" s="54" t="str"/>
      <c r="J814" s="54" t="str"/>
      <c r="K814" s="54" t="str"/>
      <c r="L814" s="55" t="n">
        <v>225</v>
      </c>
      <c r="M814" s="54" t="str"/>
      <c r="N814" s="54" t="inlineStr">
        <is>
          <t>Matched to Munitorum Field Manual v2.3</t>
        </is>
      </c>
      <c r="O814" s="54" t="inlineStr">
        <is>
          <t>Uploaded PDF: Munitorum Field Manual v2.3 / March 2025, p.27</t>
        </is>
      </c>
    </row>
    <row r="815">
      <c r="A815" s="54" t="inlineStr">
        <is>
          <t>Leagues of Votann</t>
        </is>
      </c>
      <c r="B815" s="54" t="str"/>
      <c r="C815" s="54" t="inlineStr">
        <is>
          <t>Infantry / Other</t>
        </is>
      </c>
      <c r="D815" s="54" t="inlineStr">
        <is>
          <t>Mounted / Bike</t>
        </is>
      </c>
      <c r="E815" s="54" t="inlineStr">
        <is>
          <t>Hernkyn Pioneers</t>
        </is>
      </c>
      <c r="F815" s="54" t="inlineStr">
        <is>
          <t>3 models</t>
        </is>
      </c>
      <c r="G815" s="54" t="inlineStr">
        <is>
          <t>Mounted / Bike</t>
        </is>
      </c>
      <c r="H815" s="54" t="str"/>
      <c r="I815" s="54" t="str"/>
      <c r="J815" s="54" t="str"/>
      <c r="K815" s="54" t="str"/>
      <c r="L815" s="55" t="n">
        <v>90</v>
      </c>
      <c r="M815" s="54" t="inlineStr">
        <is>
          <t>Points options: 3 models = 90 pts; 6 models = 180 pts</t>
        </is>
      </c>
      <c r="N815" s="54" t="inlineStr">
        <is>
          <t>Matched to Munitorum Field Manual v2.3</t>
        </is>
      </c>
      <c r="O815" s="54" t="inlineStr">
        <is>
          <t>Uploaded PDF: Munitorum Field Manual v2.3 / March 2025, p.27</t>
        </is>
      </c>
    </row>
    <row r="816">
      <c r="A816" s="54" t="inlineStr">
        <is>
          <t>Leagues of Votann</t>
        </is>
      </c>
      <c r="B816" s="54" t="str"/>
      <c r="C816" s="54" t="inlineStr">
        <is>
          <t>Infantry / Other</t>
        </is>
      </c>
      <c r="D816" s="54" t="inlineStr">
        <is>
          <t>Infantry</t>
        </is>
      </c>
      <c r="E816" s="54" t="inlineStr">
        <is>
          <t>Hernkyn Yaegirs</t>
        </is>
      </c>
      <c r="F816" s="54" t="inlineStr">
        <is>
          <t>10 models</t>
        </is>
      </c>
      <c r="G816" s="54" t="inlineStr">
        <is>
          <t>Infantry</t>
        </is>
      </c>
      <c r="H816" s="54" t="str"/>
      <c r="I816" s="54" t="str"/>
      <c r="J816" s="54" t="str"/>
      <c r="K816" s="54" t="str"/>
      <c r="L816" s="55" t="n">
        <v>90</v>
      </c>
      <c r="M816" s="54" t="str"/>
      <c r="N816" s="54" t="inlineStr">
        <is>
          <t>Matched to Munitorum Field Manual v2.3</t>
        </is>
      </c>
      <c r="O816" s="54" t="inlineStr">
        <is>
          <t>Uploaded PDF: Munitorum Field Manual v2.3 / March 2025, p.27</t>
        </is>
      </c>
    </row>
    <row r="817">
      <c r="A817" s="54" t="inlineStr">
        <is>
          <t>Leagues of Votann</t>
        </is>
      </c>
      <c r="B817" s="54" t="str"/>
      <c r="C817" s="54" t="inlineStr">
        <is>
          <t>Battleline / Core</t>
        </is>
      </c>
      <c r="D817" s="54" t="inlineStr">
        <is>
          <t>Infantry</t>
        </is>
      </c>
      <c r="E817" s="54" t="inlineStr">
        <is>
          <t>Hearthkyn Warriors</t>
        </is>
      </c>
      <c r="F817" s="54" t="inlineStr">
        <is>
          <t>10 models</t>
        </is>
      </c>
      <c r="G817" s="54" t="inlineStr">
        <is>
          <t>Infantry</t>
        </is>
      </c>
      <c r="H817" s="54" t="str"/>
      <c r="I817" s="54" t="str"/>
      <c r="J817" s="54" t="str"/>
      <c r="K817" s="54" t="str"/>
      <c r="L817" s="55" t="n">
        <v>100</v>
      </c>
      <c r="M817" s="54" t="str"/>
      <c r="N817" s="54" t="inlineStr">
        <is>
          <t>Matched to Munitorum Field Manual v2.3</t>
        </is>
      </c>
      <c r="O817" s="54" t="inlineStr">
        <is>
          <t>Uploaded PDF: Munitorum Field Manual v2.3 / March 2025, p.27</t>
        </is>
      </c>
    </row>
    <row r="818">
      <c r="A818" s="54" t="inlineStr">
        <is>
          <t>Leagues of Votann</t>
        </is>
      </c>
      <c r="B818" s="54" t="str"/>
      <c r="C818" s="54" t="inlineStr">
        <is>
          <t>Character</t>
        </is>
      </c>
      <c r="D818" s="54" t="inlineStr">
        <is>
          <t>Character</t>
        </is>
      </c>
      <c r="E818" s="54" t="inlineStr">
        <is>
          <t>Kâhl</t>
        </is>
      </c>
      <c r="F818" s="54" t="inlineStr">
        <is>
          <t>1 model</t>
        </is>
      </c>
      <c r="G818" s="54" t="inlineStr">
        <is>
          <t>Character</t>
        </is>
      </c>
      <c r="H818" s="54" t="str"/>
      <c r="I818" s="54" t="str"/>
      <c r="J818" s="54" t="str"/>
      <c r="K818" s="54" t="str"/>
      <c r="L818" s="55" t="n">
        <v>70</v>
      </c>
      <c r="M818" s="54" t="str"/>
      <c r="N818" s="54" t="inlineStr">
        <is>
          <t>Matched to Munitorum Field Manual v2.3</t>
        </is>
      </c>
      <c r="O818" s="54" t="inlineStr">
        <is>
          <t>Uploaded PDF: Munitorum Field Manual v2.3 / March 2025, p.27</t>
        </is>
      </c>
    </row>
    <row r="819">
      <c r="A819" s="54" t="inlineStr">
        <is>
          <t>Leagues of Votann</t>
        </is>
      </c>
      <c r="B819" s="54" t="str"/>
      <c r="C819" s="54" t="inlineStr">
        <is>
          <t>Vehicle / Support</t>
        </is>
      </c>
      <c r="D819" s="54" t="inlineStr">
        <is>
          <t>Vehicle</t>
        </is>
      </c>
      <c r="E819" s="54" t="inlineStr">
        <is>
          <t>Sagitaur</t>
        </is>
      </c>
      <c r="F819" s="54" t="inlineStr">
        <is>
          <t>1 model</t>
        </is>
      </c>
      <c r="G819" s="54" t="inlineStr">
        <is>
          <t>Vehicle</t>
        </is>
      </c>
      <c r="H819" s="54" t="str"/>
      <c r="I819" s="54" t="str"/>
      <c r="J819" s="54" t="str"/>
      <c r="K819" s="54" t="str"/>
      <c r="L819" s="55" t="n">
        <v>115</v>
      </c>
      <c r="M819" s="54" t="str"/>
      <c r="N819" s="54" t="inlineStr">
        <is>
          <t>Matched to Munitorum Field Manual v2.3</t>
        </is>
      </c>
      <c r="O819" s="54" t="inlineStr">
        <is>
          <t>Uploaded PDF: Munitorum Field Manual v2.3 / March 2025, p.27</t>
        </is>
      </c>
    </row>
    <row r="820">
      <c r="A820" s="54" t="inlineStr">
        <is>
          <t>Leagues of Votann</t>
        </is>
      </c>
      <c r="B820" s="54" t="str"/>
      <c r="C820" s="54" t="inlineStr">
        <is>
          <t>Infantry / Other</t>
        </is>
      </c>
      <c r="D820" s="54" t="inlineStr">
        <is>
          <t>Infantry</t>
        </is>
      </c>
      <c r="E820" s="54" t="inlineStr">
        <is>
          <t>Ûthar the Destined</t>
        </is>
      </c>
      <c r="F820" s="54" t="inlineStr">
        <is>
          <t>1 model</t>
        </is>
      </c>
      <c r="G820" s="54" t="inlineStr">
        <is>
          <t>Infantry</t>
        </is>
      </c>
      <c r="H820" s="54" t="str"/>
      <c r="I820" s="54" t="str"/>
      <c r="J820" s="54" t="str"/>
      <c r="K820" s="54" t="str"/>
      <c r="L820" s="55" t="n">
        <v>80</v>
      </c>
      <c r="M820" s="54" t="str"/>
      <c r="N820" s="54" t="inlineStr">
        <is>
          <t>Matched to Munitorum Field Manual v2.3</t>
        </is>
      </c>
      <c r="O820" s="54" t="inlineStr">
        <is>
          <t>Uploaded PDF: Munitorum Field Manual v2.3 / March 2025, p.27</t>
        </is>
      </c>
    </row>
    <row r="821">
      <c r="A821" t="inlineStr">
        <is>
          <t>Adepta Sororitas</t>
        </is>
      </c>
      <c r="C821" t="inlineStr">
        <is>
          <t>Character</t>
        </is>
      </c>
      <c r="D821" t="inlineStr">
        <is>
          <t>Character</t>
        </is>
      </c>
      <c r="E821" t="inlineStr">
        <is>
          <t>Canoness With Jump Pack</t>
        </is>
      </c>
      <c r="F821" t="inlineStr">
        <is>
          <t>1 model</t>
        </is>
      </c>
      <c r="G821" t="inlineStr">
        <is>
          <t>Character</t>
        </is>
      </c>
      <c r="L821" t="n">
        <v>75</v>
      </c>
      <c r="N821" t="inlineStr">
        <is>
          <t>Added from current Munitorum Field Manual v4.1 (non-Legends)</t>
        </is>
      </c>
      <c r="O821" t="inlineStr">
        <is>
          <t>https://www.warhammer-community.com/en-gb/downloads/warhammer-40000/</t>
        </is>
      </c>
    </row>
    <row r="822">
      <c r="A822" t="inlineStr">
        <is>
          <t>Adepta Sororitas</t>
        </is>
      </c>
      <c r="C822" t="inlineStr">
        <is>
          <t>Infantry / Other</t>
        </is>
      </c>
      <c r="D822" t="inlineStr">
        <is>
          <t>Infantry</t>
        </is>
      </c>
      <c r="E822" t="inlineStr">
        <is>
          <t>Celestian Insidiants</t>
        </is>
      </c>
      <c r="F822" t="inlineStr">
        <is>
          <t>10 models</t>
        </is>
      </c>
      <c r="G822" t="inlineStr">
        <is>
          <t>Infantry</t>
        </is>
      </c>
      <c r="L822" t="n">
        <v>120</v>
      </c>
      <c r="N822" t="inlineStr">
        <is>
          <t>Added from current Munitorum Field Manual v4.1 (non-Legends)</t>
        </is>
      </c>
      <c r="O822" t="inlineStr">
        <is>
          <t>https://www.warhammer-community.com/en-gb/downloads/warhammer-40000/</t>
        </is>
      </c>
    </row>
    <row r="823">
      <c r="A823" t="inlineStr">
        <is>
          <t>Adepta Sororitas</t>
        </is>
      </c>
      <c r="C823" t="inlineStr">
        <is>
          <t>Character</t>
        </is>
      </c>
      <c r="D823" t="inlineStr">
        <is>
          <t>Character</t>
        </is>
      </c>
      <c r="E823" t="inlineStr">
        <is>
          <t>Intranzia Fraye</t>
        </is>
      </c>
      <c r="F823" t="inlineStr">
        <is>
          <t>1 model</t>
        </is>
      </c>
      <c r="G823" t="inlineStr">
        <is>
          <t>Character</t>
        </is>
      </c>
      <c r="L823" t="n">
        <v>150</v>
      </c>
      <c r="N823" t="inlineStr">
        <is>
          <t>Added from current Munitorum Field Manual v4.1 (non-Legends)</t>
        </is>
      </c>
      <c r="O823" t="inlineStr">
        <is>
          <t>https://www.warhammer-community.com/en-gb/downloads/warhammer-40000/</t>
        </is>
      </c>
    </row>
    <row r="824">
      <c r="A824" t="inlineStr">
        <is>
          <t>Adepta Sororitas</t>
        </is>
      </c>
      <c r="C824" t="inlineStr">
        <is>
          <t>Infantry / Other</t>
        </is>
      </c>
      <c r="D824" t="inlineStr">
        <is>
          <t>Infantry</t>
        </is>
      </c>
      <c r="E824" t="inlineStr">
        <is>
          <t>Repentia Squad</t>
        </is>
      </c>
      <c r="F824" t="inlineStr">
        <is>
          <t>5 models</t>
        </is>
      </c>
      <c r="G824" t="inlineStr">
        <is>
          <t>Infantry</t>
        </is>
      </c>
      <c r="L824" t="n">
        <v>75</v>
      </c>
      <c r="N824" t="inlineStr">
        <is>
          <t>Added from current Munitorum Field Manual v4.1 (non-Legends)</t>
        </is>
      </c>
      <c r="O824" t="inlineStr">
        <is>
          <t>https://www.warhammer-community.com/en-gb/downloads/warhammer-40000/</t>
        </is>
      </c>
    </row>
    <row r="825">
      <c r="A825" t="inlineStr">
        <is>
          <t>Adepta Sororitas</t>
        </is>
      </c>
      <c r="C825" t="inlineStr">
        <is>
          <t>Infantry / Other</t>
        </is>
      </c>
      <c r="D825" t="inlineStr">
        <is>
          <t>Infantry</t>
        </is>
      </c>
      <c r="E825" t="inlineStr">
        <is>
          <t>Sanctifiers</t>
        </is>
      </c>
      <c r="F825" t="inlineStr">
        <is>
          <t>9 models</t>
        </is>
      </c>
      <c r="G825" t="inlineStr">
        <is>
          <t>Infantry</t>
        </is>
      </c>
      <c r="L825" t="n">
        <v>110</v>
      </c>
      <c r="N825" t="inlineStr">
        <is>
          <t>Added from current Munitorum Field Manual v4.1 (non-Legends)</t>
        </is>
      </c>
      <c r="O825" t="inlineStr">
        <is>
          <t>https://www.warhammer-community.com/en-gb/downloads/warhammer-40000/</t>
        </is>
      </c>
    </row>
    <row r="826">
      <c r="A826" t="inlineStr">
        <is>
          <t>Adepta Sororitas</t>
        </is>
      </c>
      <c r="C826" t="inlineStr">
        <is>
          <t>Infantry / Other</t>
        </is>
      </c>
      <c r="D826" t="inlineStr">
        <is>
          <t>Infantry</t>
        </is>
      </c>
      <c r="E826" t="inlineStr">
        <is>
          <t>Sisters Novitiate Squad</t>
        </is>
      </c>
      <c r="F826" t="inlineStr">
        <is>
          <t>10 models</t>
        </is>
      </c>
      <c r="G826" t="inlineStr">
        <is>
          <t>Infantry</t>
        </is>
      </c>
      <c r="L826" t="n">
        <v>100</v>
      </c>
      <c r="N826" t="inlineStr">
        <is>
          <t>Added from current Munitorum Field Manual v4.1 (non-Legends)</t>
        </is>
      </c>
      <c r="O826" t="inlineStr">
        <is>
          <t>https://www.warhammer-community.com/en-gb/downloads/warhammer-40000/</t>
        </is>
      </c>
    </row>
    <row r="827">
      <c r="A827" t="inlineStr">
        <is>
          <t>Adeptus Custodes</t>
        </is>
      </c>
      <c r="C827" t="inlineStr">
        <is>
          <t>Infantry / Other</t>
        </is>
      </c>
      <c r="D827" t="inlineStr">
        <is>
          <t>Infantry</t>
        </is>
      </c>
      <c r="E827" t="inlineStr">
        <is>
          <t>Agamatus Custodians</t>
        </is>
      </c>
      <c r="F827" t="inlineStr">
        <is>
          <t>3 models</t>
        </is>
      </c>
      <c r="G827" t="inlineStr">
        <is>
          <t>Infantry</t>
        </is>
      </c>
      <c r="L827" t="n">
        <v>225</v>
      </c>
      <c r="N827" t="inlineStr">
        <is>
          <t>Added from current Munitorum Field Manual v4.1 (non-Legends)</t>
        </is>
      </c>
      <c r="O827" t="inlineStr">
        <is>
          <t>https://www.warhammer-community.com/en-gb/downloads/warhammer-40000/</t>
        </is>
      </c>
    </row>
    <row r="828">
      <c r="A828" t="inlineStr">
        <is>
          <t>Adeptus Custodes</t>
        </is>
      </c>
      <c r="C828" t="inlineStr">
        <is>
          <t>Vehicle / Support</t>
        </is>
      </c>
      <c r="D828" t="inlineStr">
        <is>
          <t>Vehicle</t>
        </is>
      </c>
      <c r="E828" t="inlineStr">
        <is>
          <t>Anathema Psykana Rhino</t>
        </is>
      </c>
      <c r="F828" t="inlineStr">
        <is>
          <t>1 model</t>
        </is>
      </c>
      <c r="G828" t="inlineStr">
        <is>
          <t>Vehicle</t>
        </is>
      </c>
      <c r="L828" t="n">
        <v>75</v>
      </c>
      <c r="N828" t="inlineStr">
        <is>
          <t>Added from current Munitorum Field Manual v4.1 (non-Legends)</t>
        </is>
      </c>
      <c r="O828" t="inlineStr">
        <is>
          <t>https://www.warhammer-community.com/en-gb/downloads/warhammer-40000/</t>
        </is>
      </c>
    </row>
    <row r="829">
      <c r="A829" t="inlineStr">
        <is>
          <t>Adeptus Custodes</t>
        </is>
      </c>
      <c r="C829" t="inlineStr">
        <is>
          <t>Infantry / Other</t>
        </is>
      </c>
      <c r="D829" t="inlineStr">
        <is>
          <t>Infantry</t>
        </is>
      </c>
      <c r="E829" t="inlineStr">
        <is>
          <t>Aquilon Custodians</t>
        </is>
      </c>
      <c r="F829" t="inlineStr">
        <is>
          <t>3 models</t>
        </is>
      </c>
      <c r="G829" t="inlineStr">
        <is>
          <t>Infantry</t>
        </is>
      </c>
      <c r="L829" t="n">
        <v>195</v>
      </c>
      <c r="N829" t="inlineStr">
        <is>
          <t>Added from current Munitorum Field Manual v4.1 (non-Legends)</t>
        </is>
      </c>
      <c r="O829" t="inlineStr">
        <is>
          <t>https://www.warhammer-community.com/en-gb/downloads/warhammer-40000/</t>
        </is>
      </c>
    </row>
    <row r="830">
      <c r="A830" t="inlineStr">
        <is>
          <t>Adeptus Custodes</t>
        </is>
      </c>
      <c r="C830" t="inlineStr">
        <is>
          <t>Vehicle / Support</t>
        </is>
      </c>
      <c r="D830" t="inlineStr">
        <is>
          <t>Vehicle</t>
        </is>
      </c>
      <c r="E830" t="inlineStr">
        <is>
          <t>Ares Gunship</t>
        </is>
      </c>
      <c r="F830" t="inlineStr">
        <is>
          <t>1 model</t>
        </is>
      </c>
      <c r="G830" t="inlineStr">
        <is>
          <t>Vehicle</t>
        </is>
      </c>
      <c r="L830" t="n">
        <v>580</v>
      </c>
      <c r="M830" t="inlineStr">
        <is>
          <t>Your 1st Unit Costs: 1 models = 580 pts | Your 2nd + Unit Costs: 1 models = 610 pts</t>
        </is>
      </c>
      <c r="N830" t="inlineStr">
        <is>
          <t>Added from current Munitorum Field Manual v4.1 (non-Legends)</t>
        </is>
      </c>
      <c r="O830" t="inlineStr">
        <is>
          <t>https://www.warhammer-community.com/en-gb/downloads/warhammer-40000/</t>
        </is>
      </c>
    </row>
    <row r="831">
      <c r="A831" t="inlineStr">
        <is>
          <t>Adeptus Custodes</t>
        </is>
      </c>
      <c r="C831" t="inlineStr">
        <is>
          <t>Vehicle / Support</t>
        </is>
      </c>
      <c r="D831" t="inlineStr">
        <is>
          <t>Vehicle</t>
        </is>
      </c>
      <c r="E831" t="inlineStr">
        <is>
          <t>Caladius Grav-Tank</t>
        </is>
      </c>
      <c r="F831" t="inlineStr">
        <is>
          <t>1 model</t>
        </is>
      </c>
      <c r="G831" t="inlineStr">
        <is>
          <t>Vehicle</t>
        </is>
      </c>
      <c r="L831" t="n">
        <v>210</v>
      </c>
      <c r="M831" t="inlineStr">
        <is>
          <t>Your 1st To 2nd Units Cost: 1 models = 210 pts | Your 3rd + Unit Costs: 1 models = 225 pts | Wargear: Twin arachnus heavy blaze cannon +15 pts</t>
        </is>
      </c>
      <c r="N831" t="inlineStr">
        <is>
          <t>Added from current Munitorum Field Manual v4.1 (non-Legends)</t>
        </is>
      </c>
      <c r="O831" t="inlineStr">
        <is>
          <t>https://www.warhammer-community.com/en-gb/downloads/warhammer-40000/</t>
        </is>
      </c>
    </row>
    <row r="832">
      <c r="A832" t="inlineStr">
        <is>
          <t>Adeptus Custodes</t>
        </is>
      </c>
      <c r="C832" t="inlineStr">
        <is>
          <t>Vehicle / Support</t>
        </is>
      </c>
      <c r="D832" t="inlineStr">
        <is>
          <t>Vehicle</t>
        </is>
      </c>
      <c r="E832" t="inlineStr">
        <is>
          <t>Contemptor-Achillus Dreadnought</t>
        </is>
      </c>
      <c r="F832" t="inlineStr">
        <is>
          <t>1 model</t>
        </is>
      </c>
      <c r="G832" t="inlineStr">
        <is>
          <t>Vehicle</t>
        </is>
      </c>
      <c r="L832" t="n">
        <v>155</v>
      </c>
      <c r="M832" t="inlineStr">
        <is>
          <t>Your 1st To 2nd Units Cost: 1 models = 155 pts | Your 3rd + Unit Costs: 1 models = 170 pts</t>
        </is>
      </c>
      <c r="N832" t="inlineStr">
        <is>
          <t>Added from current Munitorum Field Manual v4.1 (non-Legends)</t>
        </is>
      </c>
      <c r="O832" t="inlineStr">
        <is>
          <t>https://www.warhammer-community.com/en-gb/downloads/warhammer-40000/</t>
        </is>
      </c>
    </row>
    <row r="833">
      <c r="A833" t="inlineStr">
        <is>
          <t>Adeptus Custodes</t>
        </is>
      </c>
      <c r="C833" t="inlineStr">
        <is>
          <t>Vehicle / Support</t>
        </is>
      </c>
      <c r="D833" t="inlineStr">
        <is>
          <t>Vehicle</t>
        </is>
      </c>
      <c r="E833" t="inlineStr">
        <is>
          <t>Contemptor-Galatus Dreadnought</t>
        </is>
      </c>
      <c r="F833" t="inlineStr">
        <is>
          <t>1 model</t>
        </is>
      </c>
      <c r="G833" t="inlineStr">
        <is>
          <t>Vehicle</t>
        </is>
      </c>
      <c r="L833" t="n">
        <v>165</v>
      </c>
      <c r="M833" t="inlineStr">
        <is>
          <t>Your 1st To 2nd Units Cost: 1 models = 165 pts | Your 3rd + Unit Costs: 1 models = 180 pts</t>
        </is>
      </c>
      <c r="N833" t="inlineStr">
        <is>
          <t>Added from current Munitorum Field Manual v4.1 (non-Legends)</t>
        </is>
      </c>
      <c r="O833" t="inlineStr">
        <is>
          <t>https://www.warhammer-community.com/en-gb/downloads/warhammer-40000/</t>
        </is>
      </c>
    </row>
    <row r="834">
      <c r="A834" t="inlineStr">
        <is>
          <t>Adeptus Custodes</t>
        </is>
      </c>
      <c r="C834" t="inlineStr">
        <is>
          <t>Vehicle / Support</t>
        </is>
      </c>
      <c r="D834" t="inlineStr">
        <is>
          <t>Vehicle</t>
        </is>
      </c>
      <c r="E834" t="inlineStr">
        <is>
          <t>Coronus Grav-Carrier</t>
        </is>
      </c>
      <c r="F834" t="inlineStr">
        <is>
          <t>1 model</t>
        </is>
      </c>
      <c r="G834" t="inlineStr">
        <is>
          <t>Vehicle</t>
        </is>
      </c>
      <c r="L834" t="n">
        <v>180</v>
      </c>
      <c r="M834" t="inlineStr">
        <is>
          <t>Your 1st To 2nd Units Cost: 1 models = 180 pts | Your 3rd + Unit Costs: 1 models = 200 pts</t>
        </is>
      </c>
      <c r="N834" t="inlineStr">
        <is>
          <t>Added from current Munitorum Field Manual v4.1 (non-Legends)</t>
        </is>
      </c>
      <c r="O834" t="inlineStr">
        <is>
          <t>https://www.warhammer-community.com/en-gb/downloads/warhammer-40000/</t>
        </is>
      </c>
    </row>
    <row r="835">
      <c r="A835" t="inlineStr">
        <is>
          <t>Adeptus Custodes</t>
        </is>
      </c>
      <c r="C835" t="inlineStr">
        <is>
          <t>Infantry / Other</t>
        </is>
      </c>
      <c r="D835" t="inlineStr">
        <is>
          <t>Infantry</t>
        </is>
      </c>
      <c r="E835" t="inlineStr">
        <is>
          <t>Custodian Guard With Adrasite And Pyrithite Spears</t>
        </is>
      </c>
      <c r="F835" t="inlineStr">
        <is>
          <t>5 models</t>
        </is>
      </c>
      <c r="G835" t="inlineStr">
        <is>
          <t>Infantry</t>
        </is>
      </c>
      <c r="L835" t="n">
        <v>250</v>
      </c>
      <c r="M835" t="inlineStr">
        <is>
          <t>Your 1st To 3rd Units Cost: 5 models = 250 pts | Your 4th + Unit Costs: 5 models = 260 pts</t>
        </is>
      </c>
      <c r="N835" t="inlineStr">
        <is>
          <t>Added from current Munitorum Field Manual v4.1 (non-Legends)</t>
        </is>
      </c>
      <c r="O835" t="inlineStr">
        <is>
          <t>https://www.warhammer-community.com/en-gb/downloads/warhammer-40000/</t>
        </is>
      </c>
    </row>
    <row r="836">
      <c r="A836" t="inlineStr">
        <is>
          <t>Adeptus Custodes</t>
        </is>
      </c>
      <c r="C836" t="inlineStr">
        <is>
          <t>Vehicle / Support</t>
        </is>
      </c>
      <c r="D836" t="inlineStr">
        <is>
          <t>Vehicle</t>
        </is>
      </c>
      <c r="E836" t="inlineStr">
        <is>
          <t>Orion Assault Dropship</t>
        </is>
      </c>
      <c r="F836" t="inlineStr">
        <is>
          <t>1 model</t>
        </is>
      </c>
      <c r="G836" t="inlineStr">
        <is>
          <t>Vehicle</t>
        </is>
      </c>
      <c r="L836" t="n">
        <v>690</v>
      </c>
      <c r="M836" t="inlineStr">
        <is>
          <t>Your 1st Unit Costs: 1 models = 690 pts | Your 2nd + Unit Costs: 1 models = 740 pts</t>
        </is>
      </c>
      <c r="N836" t="inlineStr">
        <is>
          <t>Added from current Munitorum Field Manual v4.1 (non-Legends)</t>
        </is>
      </c>
      <c r="O836" t="inlineStr">
        <is>
          <t>https://www.warhammer-community.com/en-gb/downloads/warhammer-40000/</t>
        </is>
      </c>
    </row>
    <row r="837">
      <c r="A837" t="inlineStr">
        <is>
          <t>Adeptus Custodes</t>
        </is>
      </c>
      <c r="C837" t="inlineStr">
        <is>
          <t>Vehicle / Support</t>
        </is>
      </c>
      <c r="D837" t="inlineStr">
        <is>
          <t>Vehicle</t>
        </is>
      </c>
      <c r="E837" t="inlineStr">
        <is>
          <t>Pallas Grav-Attack</t>
        </is>
      </c>
      <c r="F837" t="inlineStr">
        <is>
          <t>1 model</t>
        </is>
      </c>
      <c r="G837" t="inlineStr">
        <is>
          <t>Vehicle</t>
        </is>
      </c>
      <c r="L837" t="n">
        <v>100</v>
      </c>
      <c r="N837" t="inlineStr">
        <is>
          <t>Added from current Munitorum Field Manual v4.1 (non-Legends)</t>
        </is>
      </c>
      <c r="O837" t="inlineStr">
        <is>
          <t>https://www.warhammer-community.com/en-gb/downloads/warhammer-40000/</t>
        </is>
      </c>
    </row>
    <row r="838">
      <c r="A838" t="inlineStr">
        <is>
          <t>Adeptus Custodes</t>
        </is>
      </c>
      <c r="C838" t="inlineStr">
        <is>
          <t>Infantry / Other</t>
        </is>
      </c>
      <c r="D838" t="inlineStr">
        <is>
          <t>Infantry</t>
        </is>
      </c>
      <c r="E838" t="inlineStr">
        <is>
          <t>Sagittarum Custodians</t>
        </is>
      </c>
      <c r="F838" t="inlineStr">
        <is>
          <t>5 models</t>
        </is>
      </c>
      <c r="G838" t="inlineStr">
        <is>
          <t>Infantry</t>
        </is>
      </c>
      <c r="L838" t="n">
        <v>225</v>
      </c>
      <c r="N838" t="inlineStr">
        <is>
          <t>Added from current Munitorum Field Manual v4.1 (non-Legends)</t>
        </is>
      </c>
      <c r="O838" t="inlineStr">
        <is>
          <t>https://www.warhammer-community.com/en-gb/downloads/warhammer-40000/</t>
        </is>
      </c>
    </row>
    <row r="839">
      <c r="A839" t="inlineStr">
        <is>
          <t>Adeptus Custodes</t>
        </is>
      </c>
      <c r="C839" t="inlineStr">
        <is>
          <t>Vehicle / Support</t>
        </is>
      </c>
      <c r="D839" t="inlineStr">
        <is>
          <t>Vehicle</t>
        </is>
      </c>
      <c r="E839" t="inlineStr">
        <is>
          <t>Telemon Heavy Dreadnought</t>
        </is>
      </c>
      <c r="F839" t="inlineStr">
        <is>
          <t>1 model</t>
        </is>
      </c>
      <c r="G839" t="inlineStr">
        <is>
          <t>Vehicle</t>
        </is>
      </c>
      <c r="L839" t="n">
        <v>225</v>
      </c>
      <c r="M839" t="inlineStr">
        <is>
          <t>Your 1st Unit Costs: 1 models = 225 pts | Your 2nd + Unit Costs: 1 models = 245 pts</t>
        </is>
      </c>
      <c r="N839" t="inlineStr">
        <is>
          <t>Added from current Munitorum Field Manual v4.1 (non-Legends)</t>
        </is>
      </c>
      <c r="O839" t="inlineStr">
        <is>
          <t>https://www.warhammer-community.com/en-gb/downloads/warhammer-40000/</t>
        </is>
      </c>
    </row>
    <row r="840">
      <c r="A840" t="inlineStr">
        <is>
          <t>Adeptus Custodes</t>
        </is>
      </c>
      <c r="C840" t="inlineStr">
        <is>
          <t>Infantry / Other</t>
        </is>
      </c>
      <c r="D840" t="inlineStr">
        <is>
          <t>Infantry</t>
        </is>
      </c>
      <c r="E840" t="inlineStr">
        <is>
          <t>Venatari Custodians</t>
        </is>
      </c>
      <c r="F840" t="inlineStr">
        <is>
          <t>3 models</t>
        </is>
      </c>
      <c r="G840" t="inlineStr">
        <is>
          <t>Infantry</t>
        </is>
      </c>
      <c r="L840" t="n">
        <v>160</v>
      </c>
      <c r="N840" t="inlineStr">
        <is>
          <t>Added from current Munitorum Field Manual v4.1 (non-Legends)</t>
        </is>
      </c>
      <c r="O840" t="inlineStr">
        <is>
          <t>https://www.warhammer-community.com/en-gb/downloads/warhammer-40000/</t>
        </is>
      </c>
    </row>
    <row r="841">
      <c r="A841" t="inlineStr">
        <is>
          <t>Adeptus Mechanicus</t>
        </is>
      </c>
      <c r="C841" t="inlineStr">
        <is>
          <t>Infantry / Other</t>
        </is>
      </c>
      <c r="D841" t="inlineStr">
        <is>
          <t>Infantry</t>
        </is>
      </c>
      <c r="E841" t="inlineStr">
        <is>
          <t>Hastarii Exterminators</t>
        </is>
      </c>
      <c r="F841" t="inlineStr">
        <is>
          <t>5 models</t>
        </is>
      </c>
      <c r="G841" t="inlineStr">
        <is>
          <t>Infantry</t>
        </is>
      </c>
      <c r="L841" t="n">
        <v>115</v>
      </c>
      <c r="M841" t="inlineStr">
        <is>
          <t>Your 1st To 2nd Units Cost: 5 models = 115 pts | Your 3rd + Unit Costs: 5 models = 130 pts</t>
        </is>
      </c>
      <c r="N841" t="inlineStr">
        <is>
          <t>Added from current Munitorum Field Manual v4.1 (non-Legends)</t>
        </is>
      </c>
      <c r="O841" t="inlineStr">
        <is>
          <t>https://www.warhammer-community.com/en-gb/downloads/warhammer-40000/</t>
        </is>
      </c>
    </row>
    <row r="842">
      <c r="A842" t="inlineStr">
        <is>
          <t>Adeptus Mechanicus</t>
        </is>
      </c>
      <c r="C842" t="inlineStr">
        <is>
          <t>Infantry / Other</t>
        </is>
      </c>
      <c r="D842" t="inlineStr">
        <is>
          <t>Infantry</t>
        </is>
      </c>
      <c r="E842" t="inlineStr">
        <is>
          <t>Hastarii Fusiliers</t>
        </is>
      </c>
      <c r="F842" t="inlineStr">
        <is>
          <t>5 models</t>
        </is>
      </c>
      <c r="G842" t="inlineStr">
        <is>
          <t>Infantry</t>
        </is>
      </c>
      <c r="L842" t="n">
        <v>115</v>
      </c>
      <c r="M842" t="inlineStr">
        <is>
          <t>Your 1st To 2nd Units Cost: 5 models = 115 pts | Your 3rd + Unit Costs: 5 models = 130 pts</t>
        </is>
      </c>
      <c r="N842" t="inlineStr">
        <is>
          <t>Added from current Munitorum Field Manual v4.1 (non-Legends)</t>
        </is>
      </c>
      <c r="O842" t="inlineStr">
        <is>
          <t>https://www.warhammer-community.com/en-gb/downloads/warhammer-40000/</t>
        </is>
      </c>
    </row>
    <row r="843">
      <c r="A843" t="inlineStr">
        <is>
          <t>Adeptus Mechanicus</t>
        </is>
      </c>
      <c r="C843" t="inlineStr">
        <is>
          <t>Infantry / Other</t>
        </is>
      </c>
      <c r="D843" t="inlineStr">
        <is>
          <t>Infantry</t>
        </is>
      </c>
      <c r="E843" t="inlineStr">
        <is>
          <t>Servitor Battleclade</t>
        </is>
      </c>
      <c r="F843" t="inlineStr">
        <is>
          <t>9 models</t>
        </is>
      </c>
      <c r="G843" t="inlineStr">
        <is>
          <t>Infantry</t>
        </is>
      </c>
      <c r="L843" t="n">
        <v>65</v>
      </c>
      <c r="N843" t="inlineStr">
        <is>
          <t>Added from current Munitorum Field Manual v4.1 (non-Legends)</t>
        </is>
      </c>
      <c r="O843" t="inlineStr">
        <is>
          <t>https://www.warhammer-community.com/en-gb/downloads/warhammer-40000/</t>
        </is>
      </c>
    </row>
    <row r="844">
      <c r="A844" t="inlineStr">
        <is>
          <t>Adeptus Mechanicus</t>
        </is>
      </c>
      <c r="C844" t="inlineStr">
        <is>
          <t>Infantry / Other</t>
        </is>
      </c>
      <c r="D844" t="inlineStr">
        <is>
          <t>Infantry</t>
        </is>
      </c>
      <c r="E844" t="inlineStr">
        <is>
          <t>Sydonian Dragoons With Radium Jezzails</t>
        </is>
      </c>
      <c r="F844" t="inlineStr">
        <is>
          <t>1 model</t>
        </is>
      </c>
      <c r="G844" t="inlineStr">
        <is>
          <t>Infantry</t>
        </is>
      </c>
      <c r="L844" t="n">
        <v>55</v>
      </c>
      <c r="N844" t="inlineStr">
        <is>
          <t>Added from current Munitorum Field Manual v4.1 (non-Legends)</t>
        </is>
      </c>
      <c r="O844" t="inlineStr">
        <is>
          <t>https://www.warhammer-community.com/en-gb/downloads/warhammer-40000/</t>
        </is>
      </c>
    </row>
    <row r="845">
      <c r="A845" t="inlineStr">
        <is>
          <t>Adeptus Mechanicus</t>
        </is>
      </c>
      <c r="C845" t="inlineStr">
        <is>
          <t>Infantry / Other</t>
        </is>
      </c>
      <c r="D845" t="inlineStr">
        <is>
          <t>Infantry</t>
        </is>
      </c>
      <c r="E845" t="inlineStr">
        <is>
          <t>Sydonian Dragoons With Taser Lances</t>
        </is>
      </c>
      <c r="F845" t="inlineStr">
        <is>
          <t>1 model</t>
        </is>
      </c>
      <c r="G845" t="inlineStr">
        <is>
          <t>Infantry</t>
        </is>
      </c>
      <c r="L845" t="n">
        <v>60</v>
      </c>
      <c r="N845" t="inlineStr">
        <is>
          <t>Added from current Munitorum Field Manual v4.1 (non-Legends)</t>
        </is>
      </c>
      <c r="O845" t="inlineStr">
        <is>
          <t>https://www.warhammer-community.com/en-gb/downloads/warhammer-40000/</t>
        </is>
      </c>
    </row>
    <row r="846">
      <c r="A846" t="inlineStr">
        <is>
          <t>Adeptus Mechanicus</t>
        </is>
      </c>
      <c r="C846" t="inlineStr">
        <is>
          <t>Infantry / Other</t>
        </is>
      </c>
      <c r="D846" t="inlineStr">
        <is>
          <t>Infantry</t>
        </is>
      </c>
      <c r="E846" t="inlineStr">
        <is>
          <t>Sydonian Skatros</t>
        </is>
      </c>
      <c r="F846" t="inlineStr">
        <is>
          <t>1 model</t>
        </is>
      </c>
      <c r="G846" t="inlineStr">
        <is>
          <t>Infantry</t>
        </is>
      </c>
      <c r="L846" t="n">
        <v>50</v>
      </c>
      <c r="N846" t="inlineStr">
        <is>
          <t>Added from current Munitorum Field Manual v4.1 (non-Legends)</t>
        </is>
      </c>
      <c r="O846" t="inlineStr">
        <is>
          <t>https://www.warhammer-community.com/en-gb/downloads/warhammer-40000/</t>
        </is>
      </c>
    </row>
    <row r="847">
      <c r="A847" t="inlineStr">
        <is>
          <t>Adeptus Mechanicus</t>
        </is>
      </c>
      <c r="C847" t="inlineStr">
        <is>
          <t>Character</t>
        </is>
      </c>
      <c r="D847" t="inlineStr">
        <is>
          <t>Character</t>
        </is>
      </c>
      <c r="E847" t="inlineStr">
        <is>
          <t>Technoarcheologist</t>
        </is>
      </c>
      <c r="F847" t="inlineStr">
        <is>
          <t>1 model</t>
        </is>
      </c>
      <c r="G847" t="inlineStr">
        <is>
          <t>Character</t>
        </is>
      </c>
      <c r="L847" t="n">
        <v>45</v>
      </c>
      <c r="N847" t="inlineStr">
        <is>
          <t>Added from current Munitorum Field Manual v4.1 (non-Legends)</t>
        </is>
      </c>
      <c r="O847" t="inlineStr">
        <is>
          <t>https://www.warhammer-community.com/en-gb/downloads/warhammer-40000/</t>
        </is>
      </c>
    </row>
    <row r="848">
      <c r="A848" t="inlineStr">
        <is>
          <t>Adeptus Mechanicus</t>
        </is>
      </c>
      <c r="C848" t="inlineStr">
        <is>
          <t>Character</t>
        </is>
      </c>
      <c r="D848" t="inlineStr">
        <is>
          <t>Character</t>
        </is>
      </c>
      <c r="E848" t="inlineStr">
        <is>
          <t>Thulia Ghuld</t>
        </is>
      </c>
      <c r="F848" t="inlineStr">
        <is>
          <t>1 model</t>
        </is>
      </c>
      <c r="G848" t="inlineStr">
        <is>
          <t>Character</t>
        </is>
      </c>
      <c r="L848" t="n">
        <v>180</v>
      </c>
      <c r="N848" t="inlineStr">
        <is>
          <t>Added from current Munitorum Field Manual v4.1 (non-Legends)</t>
        </is>
      </c>
      <c r="O848" t="inlineStr">
        <is>
          <t>https://www.warhammer-community.com/en-gb/downloads/warhammer-40000/</t>
        </is>
      </c>
    </row>
    <row r="849">
      <c r="A849" t="inlineStr">
        <is>
          <t>Adeptus Titanicus</t>
        </is>
      </c>
      <c r="C849" t="inlineStr">
        <is>
          <t>Vehicle / Support</t>
        </is>
      </c>
      <c r="D849" t="inlineStr">
        <is>
          <t>Vehicle</t>
        </is>
      </c>
      <c r="E849" t="inlineStr">
        <is>
          <t>Reaver Titan</t>
        </is>
      </c>
      <c r="F849" t="inlineStr">
        <is>
          <t>1 model</t>
        </is>
      </c>
      <c r="G849" t="inlineStr">
        <is>
          <t>Vehicle</t>
        </is>
      </c>
      <c r="L849" t="n">
        <v>2200</v>
      </c>
      <c r="N849" t="inlineStr">
        <is>
          <t>Added from current Munitorum Field Manual v4.1 (non-Legends)</t>
        </is>
      </c>
      <c r="O849" t="inlineStr">
        <is>
          <t>https://www.warhammer-community.com/en-gb/downloads/warhammer-40000/</t>
        </is>
      </c>
    </row>
    <row r="850">
      <c r="A850" t="inlineStr">
        <is>
          <t>Adeptus Titanicus</t>
        </is>
      </c>
      <c r="C850" t="inlineStr">
        <is>
          <t>Vehicle / Support</t>
        </is>
      </c>
      <c r="D850" t="inlineStr">
        <is>
          <t>Vehicle</t>
        </is>
      </c>
      <c r="E850" t="inlineStr">
        <is>
          <t>Warbringer Nemesis Titan</t>
        </is>
      </c>
      <c r="F850" t="inlineStr">
        <is>
          <t>1 model</t>
        </is>
      </c>
      <c r="G850" t="inlineStr">
        <is>
          <t>Vehicle</t>
        </is>
      </c>
      <c r="L850" t="n">
        <v>2600</v>
      </c>
      <c r="N850" t="inlineStr">
        <is>
          <t>Added from current Munitorum Field Manual v4.1 (non-Legends)</t>
        </is>
      </c>
      <c r="O850" t="inlineStr">
        <is>
          <t>https://www.warhammer-community.com/en-gb/downloads/warhammer-40000/</t>
        </is>
      </c>
    </row>
    <row r="851">
      <c r="A851" t="inlineStr">
        <is>
          <t>Adeptus Titanicus</t>
        </is>
      </c>
      <c r="C851" t="inlineStr">
        <is>
          <t>Vehicle / Support</t>
        </is>
      </c>
      <c r="D851" t="inlineStr">
        <is>
          <t>Vehicle</t>
        </is>
      </c>
      <c r="E851" t="inlineStr">
        <is>
          <t>Warhound Titan</t>
        </is>
      </c>
      <c r="F851" t="inlineStr">
        <is>
          <t>1 model</t>
        </is>
      </c>
      <c r="G851" t="inlineStr">
        <is>
          <t>Vehicle</t>
        </is>
      </c>
      <c r="L851" t="n">
        <v>1100</v>
      </c>
      <c r="N851" t="inlineStr">
        <is>
          <t>Added from current Munitorum Field Manual v4.1 (non-Legends)</t>
        </is>
      </c>
      <c r="O851" t="inlineStr">
        <is>
          <t>https://www.warhammer-community.com/en-gb/downloads/warhammer-40000/</t>
        </is>
      </c>
    </row>
    <row r="852">
      <c r="A852" t="inlineStr">
        <is>
          <t>Adeptus Titanicus</t>
        </is>
      </c>
      <c r="C852" t="inlineStr">
        <is>
          <t>Character</t>
        </is>
      </c>
      <c r="D852" t="inlineStr">
        <is>
          <t>Character</t>
        </is>
      </c>
      <c r="E852" t="inlineStr">
        <is>
          <t>Warlord Titan</t>
        </is>
      </c>
      <c r="F852" t="inlineStr">
        <is>
          <t>1 model</t>
        </is>
      </c>
      <c r="G852" t="inlineStr">
        <is>
          <t>Character</t>
        </is>
      </c>
      <c r="L852" t="n">
        <v>3500</v>
      </c>
      <c r="N852" t="inlineStr">
        <is>
          <t>Added from current Munitorum Field Manual v4.1 (non-Legends)</t>
        </is>
      </c>
      <c r="O852" t="inlineStr">
        <is>
          <t>https://www.warhammer-community.com/en-gb/downloads/warhammer-40000/</t>
        </is>
      </c>
    </row>
    <row r="853">
      <c r="A853" t="inlineStr">
        <is>
          <t>Aeldari</t>
        </is>
      </c>
      <c r="C853" t="inlineStr">
        <is>
          <t>Infantry / Other</t>
        </is>
      </c>
      <c r="D853" t="inlineStr">
        <is>
          <t>Infantry</t>
        </is>
      </c>
      <c r="E853" t="inlineStr">
        <is>
          <t>Corsair Skyreavers</t>
        </is>
      </c>
      <c r="F853" t="inlineStr">
        <is>
          <t>5 models</t>
        </is>
      </c>
      <c r="G853" t="inlineStr">
        <is>
          <t>Infantry</t>
        </is>
      </c>
      <c r="L853" t="n">
        <v>80</v>
      </c>
      <c r="M853" t="inlineStr">
        <is>
          <t>Your 1st To 2nd Units Cost: 5 models = 80 pts; 10 models = 150 pts | Your 3rd + Unit Costs: 5 models = 90 pts; 10 models = 160 pts</t>
        </is>
      </c>
      <c r="N853" t="inlineStr">
        <is>
          <t>Added from current Munitorum Field Manual v4.1 (non-Legends)</t>
        </is>
      </c>
      <c r="O853" t="inlineStr">
        <is>
          <t>https://www.warhammer-community.com/en-gb/downloads/warhammer-40000/</t>
        </is>
      </c>
    </row>
    <row r="854">
      <c r="A854" t="inlineStr">
        <is>
          <t>Aeldari</t>
        </is>
      </c>
      <c r="C854" t="inlineStr">
        <is>
          <t>Infantry / Other</t>
        </is>
      </c>
      <c r="D854" t="inlineStr">
        <is>
          <t>Infantry</t>
        </is>
      </c>
      <c r="E854" t="inlineStr">
        <is>
          <t>D-Cannon Platform</t>
        </is>
      </c>
      <c r="F854" t="inlineStr">
        <is>
          <t>1 model</t>
        </is>
      </c>
      <c r="G854" t="inlineStr">
        <is>
          <t>Infantry</t>
        </is>
      </c>
      <c r="L854" t="n">
        <v>110</v>
      </c>
      <c r="M854" t="inlineStr">
        <is>
          <t>Your 1st Unit Costs: 1 models = 110 pts | Your 2nd + Unit Costs: 1 models = 125 pts</t>
        </is>
      </c>
      <c r="N854" t="inlineStr">
        <is>
          <t>Added from current Munitorum Field Manual v4.1 (non-Legends)</t>
        </is>
      </c>
      <c r="O854" t="inlineStr">
        <is>
          <t>https://www.warhammer-community.com/en-gb/downloads/warhammer-40000/</t>
        </is>
      </c>
    </row>
    <row r="855">
      <c r="A855" t="inlineStr">
        <is>
          <t>Aeldari</t>
        </is>
      </c>
      <c r="C855" t="inlineStr">
        <is>
          <t>Infantry / Other</t>
        </is>
      </c>
      <c r="D855" t="inlineStr">
        <is>
          <t>Infantry</t>
        </is>
      </c>
      <c r="E855" t="inlineStr">
        <is>
          <t>Death Jester</t>
        </is>
      </c>
      <c r="F855" t="inlineStr">
        <is>
          <t>1 model</t>
        </is>
      </c>
      <c r="G855" t="inlineStr">
        <is>
          <t>Infantry</t>
        </is>
      </c>
      <c r="L855" t="n">
        <v>80</v>
      </c>
      <c r="N855" t="inlineStr">
        <is>
          <t>Added from current Munitorum Field Manual v4.1 (non-Legends)</t>
        </is>
      </c>
      <c r="O855" t="inlineStr">
        <is>
          <t>https://www.warhammer-community.com/en-gb/downloads/warhammer-40000/</t>
        </is>
      </c>
    </row>
    <row r="856">
      <c r="A856" t="inlineStr">
        <is>
          <t>Aeldari</t>
        </is>
      </c>
      <c r="C856" t="inlineStr">
        <is>
          <t>Character</t>
        </is>
      </c>
      <c r="D856" t="inlineStr">
        <is>
          <t>Character</t>
        </is>
      </c>
      <c r="E856" t="inlineStr">
        <is>
          <t>Kharseth</t>
        </is>
      </c>
      <c r="F856" t="inlineStr">
        <is>
          <t>1 model</t>
        </is>
      </c>
      <c r="G856" t="inlineStr">
        <is>
          <t>Character</t>
        </is>
      </c>
      <c r="L856" t="n">
        <v>85</v>
      </c>
      <c r="N856" t="inlineStr">
        <is>
          <t>Added from current Munitorum Field Manual v4.1 (non-Legends)</t>
        </is>
      </c>
      <c r="O856" t="inlineStr">
        <is>
          <t>https://www.warhammer-community.com/en-gb/downloads/warhammer-40000/</t>
        </is>
      </c>
    </row>
    <row r="857">
      <c r="A857" t="inlineStr">
        <is>
          <t>Aeldari</t>
        </is>
      </c>
      <c r="C857" t="inlineStr">
        <is>
          <t>Character</t>
        </is>
      </c>
      <c r="D857" t="inlineStr">
        <is>
          <t>Character</t>
        </is>
      </c>
      <c r="E857" t="inlineStr">
        <is>
          <t>Lhykhis</t>
        </is>
      </c>
      <c r="F857" t="inlineStr">
        <is>
          <t>1 model</t>
        </is>
      </c>
      <c r="G857" t="inlineStr">
        <is>
          <t>Character</t>
        </is>
      </c>
      <c r="L857" t="n">
        <v>135</v>
      </c>
      <c r="N857" t="inlineStr">
        <is>
          <t>Added from current Munitorum Field Manual v4.1 (non-Legends)</t>
        </is>
      </c>
      <c r="O857" t="inlineStr">
        <is>
          <t>https://www.warhammer-community.com/en-gb/downloads/warhammer-40000/</t>
        </is>
      </c>
    </row>
    <row r="858">
      <c r="A858" t="inlineStr">
        <is>
          <t>Aeldari</t>
        </is>
      </c>
      <c r="C858" t="inlineStr">
        <is>
          <t>Vehicle / Support</t>
        </is>
      </c>
      <c r="D858" t="inlineStr">
        <is>
          <t>Vehicle</t>
        </is>
      </c>
      <c r="E858" t="inlineStr">
        <is>
          <t>Phantom Titan</t>
        </is>
      </c>
      <c r="F858" t="inlineStr">
        <is>
          <t>1 model</t>
        </is>
      </c>
      <c r="G858" t="inlineStr">
        <is>
          <t>Vehicle</t>
        </is>
      </c>
      <c r="L858" t="n">
        <v>2100</v>
      </c>
      <c r="N858" t="inlineStr">
        <is>
          <t>Added from current Munitorum Field Manual v4.1 (non-Legends)</t>
        </is>
      </c>
      <c r="O858" t="inlineStr">
        <is>
          <t>https://www.warhammer-community.com/en-gb/downloads/warhammer-40000/</t>
        </is>
      </c>
    </row>
    <row r="859">
      <c r="A859" t="inlineStr">
        <is>
          <t>Aeldari</t>
        </is>
      </c>
      <c r="C859" t="inlineStr">
        <is>
          <t>Vehicle / Support</t>
        </is>
      </c>
      <c r="D859" t="inlineStr">
        <is>
          <t>Vehicle</t>
        </is>
      </c>
      <c r="E859" t="inlineStr">
        <is>
          <t>Revenant Titan</t>
        </is>
      </c>
      <c r="F859" t="inlineStr">
        <is>
          <t>1 model</t>
        </is>
      </c>
      <c r="G859" t="inlineStr">
        <is>
          <t>Vehicle</t>
        </is>
      </c>
      <c r="L859" t="n">
        <v>1100</v>
      </c>
      <c r="N859" t="inlineStr">
        <is>
          <t>Added from current Munitorum Field Manual v4.1 (non-Legends)</t>
        </is>
      </c>
      <c r="O859" t="inlineStr">
        <is>
          <t>https://www.warhammer-community.com/en-gb/downloads/warhammer-40000/</t>
        </is>
      </c>
    </row>
    <row r="860">
      <c r="A860" t="inlineStr">
        <is>
          <t>Aeldari</t>
        </is>
      </c>
      <c r="C860" t="inlineStr">
        <is>
          <t>Infantry / Other</t>
        </is>
      </c>
      <c r="D860" t="inlineStr">
        <is>
          <t>Infantry</t>
        </is>
      </c>
      <c r="E860" t="inlineStr">
        <is>
          <t>Shadow Weaver Platform</t>
        </is>
      </c>
      <c r="F860" t="inlineStr">
        <is>
          <t>1 model</t>
        </is>
      </c>
      <c r="G860" t="inlineStr">
        <is>
          <t>Infantry</t>
        </is>
      </c>
      <c r="L860" t="n">
        <v>60</v>
      </c>
      <c r="N860" t="inlineStr">
        <is>
          <t>Added from current Munitorum Field Manual v4.1 (non-Legends)</t>
        </is>
      </c>
      <c r="O860" t="inlineStr">
        <is>
          <t>https://www.warhammer-community.com/en-gb/downloads/warhammer-40000/</t>
        </is>
      </c>
    </row>
    <row r="861">
      <c r="A861" t="inlineStr">
        <is>
          <t>Aeldari</t>
        </is>
      </c>
      <c r="C861" t="inlineStr">
        <is>
          <t>Character</t>
        </is>
      </c>
      <c r="D861" t="inlineStr">
        <is>
          <t>Character</t>
        </is>
      </c>
      <c r="E861" t="inlineStr">
        <is>
          <t>Shadowseer</t>
        </is>
      </c>
      <c r="F861" t="inlineStr">
        <is>
          <t>1 model</t>
        </is>
      </c>
      <c r="G861" t="inlineStr">
        <is>
          <t>Character</t>
        </is>
      </c>
      <c r="L861" t="n">
        <v>60</v>
      </c>
      <c r="N861" t="inlineStr">
        <is>
          <t>Added from current Munitorum Field Manual v4.1 (non-Legends)</t>
        </is>
      </c>
      <c r="O861" t="inlineStr">
        <is>
          <t>https://www.warhammer-community.com/en-gb/downloads/warhammer-40000/</t>
        </is>
      </c>
    </row>
    <row r="862">
      <c r="A862" t="inlineStr">
        <is>
          <t>Aeldari</t>
        </is>
      </c>
      <c r="C862" t="inlineStr">
        <is>
          <t>Infantry / Other</t>
        </is>
      </c>
      <c r="D862" t="inlineStr">
        <is>
          <t>Infantry</t>
        </is>
      </c>
      <c r="E862" t="inlineStr">
        <is>
          <t>Skyweavers</t>
        </is>
      </c>
      <c r="F862" t="inlineStr">
        <is>
          <t>2 models</t>
        </is>
      </c>
      <c r="G862" t="inlineStr">
        <is>
          <t>Infantry</t>
        </is>
      </c>
      <c r="L862" t="n">
        <v>105</v>
      </c>
      <c r="N862" t="inlineStr">
        <is>
          <t>Added from current Munitorum Field Manual v4.1 (non-Legends)</t>
        </is>
      </c>
      <c r="O862" t="inlineStr">
        <is>
          <t>https://www.warhammer-community.com/en-gb/downloads/warhammer-40000/</t>
        </is>
      </c>
    </row>
    <row r="863">
      <c r="A863" t="inlineStr">
        <is>
          <t>Aeldari</t>
        </is>
      </c>
      <c r="C863" t="inlineStr">
        <is>
          <t>Infantry / Other</t>
        </is>
      </c>
      <c r="D863" t="inlineStr">
        <is>
          <t>Infantry</t>
        </is>
      </c>
      <c r="E863" t="inlineStr">
        <is>
          <t>Solitaire</t>
        </is>
      </c>
      <c r="F863" t="inlineStr">
        <is>
          <t>1 model</t>
        </is>
      </c>
      <c r="G863" t="inlineStr">
        <is>
          <t>Infantry</t>
        </is>
      </c>
      <c r="L863" t="n">
        <v>115</v>
      </c>
      <c r="N863" t="inlineStr">
        <is>
          <t>Added from current Munitorum Field Manual v4.1 (non-Legends)</t>
        </is>
      </c>
      <c r="O863" t="inlineStr">
        <is>
          <t>https://www.warhammer-community.com/en-gb/downloads/warhammer-40000/</t>
        </is>
      </c>
    </row>
    <row r="864">
      <c r="A864" t="inlineStr">
        <is>
          <t>Aeldari</t>
        </is>
      </c>
      <c r="C864" t="inlineStr">
        <is>
          <t>Infantry / Other</t>
        </is>
      </c>
      <c r="D864" t="inlineStr">
        <is>
          <t>Infantry</t>
        </is>
      </c>
      <c r="E864" t="inlineStr">
        <is>
          <t>Starfangs</t>
        </is>
      </c>
      <c r="F864" t="inlineStr">
        <is>
          <t>1 model</t>
        </is>
      </c>
      <c r="G864" t="inlineStr">
        <is>
          <t>Infantry</t>
        </is>
      </c>
      <c r="L864" t="n">
        <v>70</v>
      </c>
      <c r="N864" t="inlineStr">
        <is>
          <t>Added from current Munitorum Field Manual v4.1 (non-Legends)</t>
        </is>
      </c>
      <c r="O864" t="inlineStr">
        <is>
          <t>https://www.warhammer-community.com/en-gb/downloads/warhammer-40000/</t>
        </is>
      </c>
    </row>
    <row r="865">
      <c r="A865" t="inlineStr">
        <is>
          <t>Aeldari</t>
        </is>
      </c>
      <c r="C865" t="inlineStr">
        <is>
          <t>Infantry / Other</t>
        </is>
      </c>
      <c r="D865" t="inlineStr">
        <is>
          <t>Infantry</t>
        </is>
      </c>
      <c r="E865" t="inlineStr">
        <is>
          <t>Starweaver</t>
        </is>
      </c>
      <c r="F865" t="inlineStr">
        <is>
          <t>1 model</t>
        </is>
      </c>
      <c r="G865" t="inlineStr">
        <is>
          <t>Infantry</t>
        </is>
      </c>
      <c r="L865" t="n">
        <v>80</v>
      </c>
      <c r="N865" t="inlineStr">
        <is>
          <t>Added from current Munitorum Field Manual v4.1 (non-Legends)</t>
        </is>
      </c>
      <c r="O865" t="inlineStr">
        <is>
          <t>https://www.warhammer-community.com/en-gb/downloads/warhammer-40000/</t>
        </is>
      </c>
    </row>
    <row r="866">
      <c r="A866" t="inlineStr">
        <is>
          <t>Aeldari</t>
        </is>
      </c>
      <c r="C866" t="inlineStr">
        <is>
          <t>Infantry / Other</t>
        </is>
      </c>
      <c r="D866" t="inlineStr">
        <is>
          <t>Infantry</t>
        </is>
      </c>
      <c r="E866" t="inlineStr">
        <is>
          <t>Storm Guardians</t>
        </is>
      </c>
      <c r="F866" t="inlineStr">
        <is>
          <t>11 models</t>
        </is>
      </c>
      <c r="G866" t="inlineStr">
        <is>
          <t>Infantry</t>
        </is>
      </c>
      <c r="L866" t="n">
        <v>110</v>
      </c>
      <c r="N866" t="inlineStr">
        <is>
          <t>Added from current Munitorum Field Manual v4.1 (non-Legends)</t>
        </is>
      </c>
      <c r="O866" t="inlineStr">
        <is>
          <t>https://www.warhammer-community.com/en-gb/downloads/warhammer-40000/</t>
        </is>
      </c>
    </row>
    <row r="867">
      <c r="A867" t="inlineStr">
        <is>
          <t>Aeldari</t>
        </is>
      </c>
      <c r="C867" t="inlineStr">
        <is>
          <t>Character</t>
        </is>
      </c>
      <c r="D867" t="inlineStr">
        <is>
          <t>Character</t>
        </is>
      </c>
      <c r="E867" t="inlineStr">
        <is>
          <t>Troupe Master</t>
        </is>
      </c>
      <c r="F867" t="inlineStr">
        <is>
          <t>1 model</t>
        </is>
      </c>
      <c r="G867" t="inlineStr">
        <is>
          <t>Character</t>
        </is>
      </c>
      <c r="L867" t="n">
        <v>75</v>
      </c>
      <c r="N867" t="inlineStr">
        <is>
          <t>Added from current Munitorum Field Manual v4.1 (non-Legends)</t>
        </is>
      </c>
      <c r="O867" t="inlineStr">
        <is>
          <t>https://www.warhammer-community.com/en-gb/downloads/warhammer-40000/</t>
        </is>
      </c>
    </row>
    <row r="868">
      <c r="A868" t="inlineStr">
        <is>
          <t>Aeldari</t>
        </is>
      </c>
      <c r="C868" t="inlineStr">
        <is>
          <t>Infantry / Other</t>
        </is>
      </c>
      <c r="D868" t="inlineStr">
        <is>
          <t>Infantry</t>
        </is>
      </c>
      <c r="E868" t="inlineStr">
        <is>
          <t>Vibro Cannon Platform</t>
        </is>
      </c>
      <c r="F868" t="inlineStr">
        <is>
          <t>1 model</t>
        </is>
      </c>
      <c r="G868" t="inlineStr">
        <is>
          <t>Infantry</t>
        </is>
      </c>
      <c r="L868" t="n">
        <v>60</v>
      </c>
      <c r="N868" t="inlineStr">
        <is>
          <t>Added from current Munitorum Field Manual v4.1 (non-Legends)</t>
        </is>
      </c>
      <c r="O868" t="inlineStr">
        <is>
          <t>https://www.warhammer-community.com/en-gb/downloads/warhammer-40000/</t>
        </is>
      </c>
    </row>
    <row r="869">
      <c r="A869" t="inlineStr">
        <is>
          <t>Aeldari</t>
        </is>
      </c>
      <c r="C869" t="inlineStr">
        <is>
          <t>Infantry / Other</t>
        </is>
      </c>
      <c r="D869" t="inlineStr">
        <is>
          <t>Infantry</t>
        </is>
      </c>
      <c r="E869" t="inlineStr">
        <is>
          <t>Voidweaver</t>
        </is>
      </c>
      <c r="F869" t="inlineStr">
        <is>
          <t>1 model</t>
        </is>
      </c>
      <c r="G869" t="inlineStr">
        <is>
          <t>Infantry</t>
        </is>
      </c>
      <c r="L869" t="n">
        <v>115</v>
      </c>
      <c r="N869" t="inlineStr">
        <is>
          <t>Added from current Munitorum Field Manual v4.1 (non-Legends)</t>
        </is>
      </c>
      <c r="O869" t="inlineStr">
        <is>
          <t>https://www.warhammer-community.com/en-gb/downloads/warhammer-40000/</t>
        </is>
      </c>
    </row>
    <row r="870">
      <c r="A870" t="inlineStr">
        <is>
          <t>Aeldari</t>
        </is>
      </c>
      <c r="C870" t="inlineStr">
        <is>
          <t>Infantry / Other</t>
        </is>
      </c>
      <c r="D870" t="inlineStr">
        <is>
          <t>Infantry</t>
        </is>
      </c>
      <c r="E870" t="inlineStr">
        <is>
          <t>Vyper</t>
        </is>
      </c>
      <c r="F870" t="inlineStr">
        <is>
          <t>1 model</t>
        </is>
      </c>
      <c r="G870" t="inlineStr">
        <is>
          <t>Infantry</t>
        </is>
      </c>
      <c r="L870" t="n">
        <v>75</v>
      </c>
      <c r="N870" t="inlineStr">
        <is>
          <t>Added from current Munitorum Field Manual v4.1 (non-Legends)</t>
        </is>
      </c>
      <c r="O870" t="inlineStr">
        <is>
          <t>https://www.warhammer-community.com/en-gb/downloads/warhammer-40000/</t>
        </is>
      </c>
    </row>
    <row r="871">
      <c r="A871" t="inlineStr">
        <is>
          <t>Aeldari</t>
        </is>
      </c>
      <c r="C871" t="inlineStr">
        <is>
          <t>Infantry / Other</t>
        </is>
      </c>
      <c r="D871" t="inlineStr">
        <is>
          <t>Infantry</t>
        </is>
      </c>
      <c r="E871" t="inlineStr">
        <is>
          <t>War Walkers</t>
        </is>
      </c>
      <c r="F871" t="inlineStr">
        <is>
          <t>1 model</t>
        </is>
      </c>
      <c r="G871" t="inlineStr">
        <is>
          <t>Infantry</t>
        </is>
      </c>
      <c r="L871" t="n">
        <v>85</v>
      </c>
      <c r="N871" t="inlineStr">
        <is>
          <t>Added from current Munitorum Field Manual v4.1 (non-Legends)</t>
        </is>
      </c>
      <c r="O871" t="inlineStr">
        <is>
          <t>https://www.warhammer-community.com/en-gb/downloads/warhammer-40000/</t>
        </is>
      </c>
    </row>
    <row r="872">
      <c r="A872" t="inlineStr">
        <is>
          <t>Aeldari</t>
        </is>
      </c>
      <c r="C872" t="inlineStr">
        <is>
          <t>Character</t>
        </is>
      </c>
      <c r="D872" t="inlineStr">
        <is>
          <t>Character</t>
        </is>
      </c>
      <c r="E872" t="inlineStr">
        <is>
          <t>Warlock Skyrunners</t>
        </is>
      </c>
      <c r="F872" t="inlineStr">
        <is>
          <t>1 model</t>
        </is>
      </c>
      <c r="G872" t="inlineStr">
        <is>
          <t>Character</t>
        </is>
      </c>
      <c r="L872" t="n">
        <v>45</v>
      </c>
      <c r="N872" t="inlineStr">
        <is>
          <t>Added from current Munitorum Field Manual v4.1 (non-Legends)</t>
        </is>
      </c>
      <c r="O872" t="inlineStr">
        <is>
          <t>https://www.warhammer-community.com/en-gb/downloads/warhammer-40000/</t>
        </is>
      </c>
    </row>
    <row r="873">
      <c r="A873" t="inlineStr">
        <is>
          <t>Aeldari</t>
        </is>
      </c>
      <c r="C873" t="inlineStr">
        <is>
          <t>Infantry / Other</t>
        </is>
      </c>
      <c r="D873" t="inlineStr">
        <is>
          <t>Infantry</t>
        </is>
      </c>
      <c r="E873" t="inlineStr">
        <is>
          <t>Wraithknight With Ghostglaive</t>
        </is>
      </c>
      <c r="F873" t="inlineStr">
        <is>
          <t>1 model</t>
        </is>
      </c>
      <c r="G873" t="inlineStr">
        <is>
          <t>Infantry</t>
        </is>
      </c>
      <c r="L873" t="n">
        <v>405</v>
      </c>
      <c r="M873" t="inlineStr">
        <is>
          <t>Your 1st Unit Costs: 1 models = 405 pts | Your 2nd + Unit Costs: 1 models = 425 pts</t>
        </is>
      </c>
      <c r="N873" t="inlineStr">
        <is>
          <t>Added from current Munitorum Field Manual v4.1 (non-Legends)</t>
        </is>
      </c>
      <c r="O873" t="inlineStr">
        <is>
          <t>https://www.warhammer-community.com/en-gb/downloads/warhammer-40000/</t>
        </is>
      </c>
    </row>
    <row r="874">
      <c r="A874" t="inlineStr">
        <is>
          <t>Aeldari</t>
        </is>
      </c>
      <c r="C874" t="inlineStr">
        <is>
          <t>Character</t>
        </is>
      </c>
      <c r="D874" t="inlineStr">
        <is>
          <t>Character</t>
        </is>
      </c>
      <c r="E874" t="inlineStr">
        <is>
          <t>Ynnari Archon</t>
        </is>
      </c>
      <c r="F874" t="inlineStr">
        <is>
          <t>1 model</t>
        </is>
      </c>
      <c r="G874" t="inlineStr">
        <is>
          <t>Character</t>
        </is>
      </c>
      <c r="L874" t="n">
        <v>85</v>
      </c>
      <c r="N874" t="inlineStr">
        <is>
          <t>Added from current Munitorum Field Manual v4.1 (non-Legends)</t>
        </is>
      </c>
      <c r="O874" t="inlineStr">
        <is>
          <t>https://www.warhammer-community.com/en-gb/downloads/warhammer-40000/</t>
        </is>
      </c>
    </row>
    <row r="875">
      <c r="A875" t="inlineStr">
        <is>
          <t>Aeldari</t>
        </is>
      </c>
      <c r="C875" t="inlineStr">
        <is>
          <t>Infantry / Other</t>
        </is>
      </c>
      <c r="D875" t="inlineStr">
        <is>
          <t>Infantry</t>
        </is>
      </c>
      <c r="E875" t="inlineStr">
        <is>
          <t>Ynnari Incubi</t>
        </is>
      </c>
      <c r="F875" t="inlineStr">
        <is>
          <t>5 models</t>
        </is>
      </c>
      <c r="G875" t="inlineStr">
        <is>
          <t>Infantry</t>
        </is>
      </c>
      <c r="L875" t="n">
        <v>80</v>
      </c>
      <c r="M875" t="inlineStr">
        <is>
          <t>Your 1st To 2nd Units Cost: 5 models = 80 pts; 10 models = 160 pts | Your 3rd + Unit Costs: 5 models = 90 pts; 10 models = 170 pts</t>
        </is>
      </c>
      <c r="N875" t="inlineStr">
        <is>
          <t>Added from current Munitorum Field Manual v4.1 (non-Legends)</t>
        </is>
      </c>
      <c r="O875" t="inlineStr">
        <is>
          <t>https://www.warhammer-community.com/en-gb/downloads/warhammer-40000/</t>
        </is>
      </c>
    </row>
    <row r="876">
      <c r="A876" t="inlineStr">
        <is>
          <t>Aeldari</t>
        </is>
      </c>
      <c r="C876" t="inlineStr">
        <is>
          <t>Infantry / Other</t>
        </is>
      </c>
      <c r="D876" t="inlineStr">
        <is>
          <t>Infantry</t>
        </is>
      </c>
      <c r="E876" t="inlineStr">
        <is>
          <t>Ynnari Kabalite Warriors</t>
        </is>
      </c>
      <c r="F876" t="inlineStr">
        <is>
          <t>10 models</t>
        </is>
      </c>
      <c r="G876" t="inlineStr">
        <is>
          <t>Infantry</t>
        </is>
      </c>
      <c r="L876" t="n">
        <v>110</v>
      </c>
      <c r="N876" t="inlineStr">
        <is>
          <t>Added from current Munitorum Field Manual v4.1 (non-Legends)</t>
        </is>
      </c>
      <c r="O876" t="inlineStr">
        <is>
          <t>https://www.warhammer-community.com/en-gb/downloads/warhammer-40000/</t>
        </is>
      </c>
    </row>
    <row r="877">
      <c r="A877" t="inlineStr">
        <is>
          <t>Aeldari</t>
        </is>
      </c>
      <c r="C877" t="inlineStr">
        <is>
          <t>Vehicle / Support</t>
        </is>
      </c>
      <c r="D877" t="inlineStr">
        <is>
          <t>Vehicle</t>
        </is>
      </c>
      <c r="E877" t="inlineStr">
        <is>
          <t>Ynnari Raider</t>
        </is>
      </c>
      <c r="F877" t="inlineStr">
        <is>
          <t>1 model</t>
        </is>
      </c>
      <c r="G877" t="inlineStr">
        <is>
          <t>Vehicle</t>
        </is>
      </c>
      <c r="L877" t="n">
        <v>80</v>
      </c>
      <c r="N877" t="inlineStr">
        <is>
          <t>Added from current Munitorum Field Manual v4.1 (non-Legends)</t>
        </is>
      </c>
      <c r="O877" t="inlineStr">
        <is>
          <t>https://www.warhammer-community.com/en-gb/downloads/warhammer-40000/</t>
        </is>
      </c>
    </row>
    <row r="878">
      <c r="A878" t="inlineStr">
        <is>
          <t>Aeldari</t>
        </is>
      </c>
      <c r="C878" t="inlineStr">
        <is>
          <t>Infantry / Other</t>
        </is>
      </c>
      <c r="D878" t="inlineStr">
        <is>
          <t>Infantry</t>
        </is>
      </c>
      <c r="E878" t="inlineStr">
        <is>
          <t>Ynnari Reavers</t>
        </is>
      </c>
      <c r="F878" t="inlineStr">
        <is>
          <t>3 models</t>
        </is>
      </c>
      <c r="G878" t="inlineStr">
        <is>
          <t>Infantry</t>
        </is>
      </c>
      <c r="L878" t="n">
        <v>65</v>
      </c>
      <c r="N878" t="inlineStr">
        <is>
          <t>Added from current Munitorum Field Manual v4.1 (non-Legends)</t>
        </is>
      </c>
      <c r="O878" t="inlineStr">
        <is>
          <t>https://www.warhammer-community.com/en-gb/downloads/warhammer-40000/</t>
        </is>
      </c>
    </row>
    <row r="879">
      <c r="A879" t="inlineStr">
        <is>
          <t>Aeldari</t>
        </is>
      </c>
      <c r="C879" t="inlineStr">
        <is>
          <t>Character</t>
        </is>
      </c>
      <c r="D879" t="inlineStr">
        <is>
          <t>Character</t>
        </is>
      </c>
      <c r="E879" t="inlineStr">
        <is>
          <t>Ynnari Succubus</t>
        </is>
      </c>
      <c r="F879" t="inlineStr">
        <is>
          <t>1 model</t>
        </is>
      </c>
      <c r="G879" t="inlineStr">
        <is>
          <t>Character</t>
        </is>
      </c>
      <c r="L879" t="n">
        <v>45</v>
      </c>
      <c r="N879" t="inlineStr">
        <is>
          <t>Added from current Munitorum Field Manual v4.1 (non-Legends)</t>
        </is>
      </c>
      <c r="O879" t="inlineStr">
        <is>
          <t>https://www.warhammer-community.com/en-gb/downloads/warhammer-40000/</t>
        </is>
      </c>
    </row>
    <row r="880">
      <c r="A880" t="inlineStr">
        <is>
          <t>Aeldari</t>
        </is>
      </c>
      <c r="C880" t="inlineStr">
        <is>
          <t>Infantry / Other</t>
        </is>
      </c>
      <c r="D880" t="inlineStr">
        <is>
          <t>Infantry</t>
        </is>
      </c>
      <c r="E880" t="inlineStr">
        <is>
          <t>Ynnari Venom</t>
        </is>
      </c>
      <c r="F880" t="inlineStr">
        <is>
          <t>1 model</t>
        </is>
      </c>
      <c r="G880" t="inlineStr">
        <is>
          <t>Infantry</t>
        </is>
      </c>
      <c r="L880" t="n">
        <v>70</v>
      </c>
      <c r="N880" t="inlineStr">
        <is>
          <t>Added from current Munitorum Field Manual v4.1 (non-Legends)</t>
        </is>
      </c>
      <c r="O880" t="inlineStr">
        <is>
          <t>https://www.warhammer-community.com/en-gb/downloads/warhammer-40000/</t>
        </is>
      </c>
    </row>
    <row r="881">
      <c r="A881" t="inlineStr">
        <is>
          <t>Aeldari</t>
        </is>
      </c>
      <c r="C881" t="inlineStr">
        <is>
          <t>Infantry / Other</t>
        </is>
      </c>
      <c r="D881" t="inlineStr">
        <is>
          <t>Infantry</t>
        </is>
      </c>
      <c r="E881" t="inlineStr">
        <is>
          <t>Ynnari Wyches</t>
        </is>
      </c>
      <c r="F881" t="inlineStr">
        <is>
          <t>10 models</t>
        </is>
      </c>
      <c r="G881" t="inlineStr">
        <is>
          <t>Infantry</t>
        </is>
      </c>
      <c r="L881" t="n">
        <v>90</v>
      </c>
      <c r="N881" t="inlineStr">
        <is>
          <t>Added from current Munitorum Field Manual v4.1 (non-Legends)</t>
        </is>
      </c>
      <c r="O881" t="inlineStr">
        <is>
          <t>https://www.warhammer-community.com/en-gb/downloads/warhammer-40000/</t>
        </is>
      </c>
    </row>
    <row r="882">
      <c r="A882" t="inlineStr">
        <is>
          <t>Astra Militarum</t>
        </is>
      </c>
      <c r="C882" t="inlineStr">
        <is>
          <t>Vehicle / Support</t>
        </is>
      </c>
      <c r="D882" t="inlineStr">
        <is>
          <t>Vehicle</t>
        </is>
      </c>
      <c r="E882" t="inlineStr">
        <is>
          <t>Aegis Defence Line</t>
        </is>
      </c>
      <c r="F882" t="inlineStr">
        <is>
          <t>1 model</t>
        </is>
      </c>
      <c r="G882" t="inlineStr">
        <is>
          <t>Vehicle</t>
        </is>
      </c>
      <c r="L882" t="n">
        <v>145</v>
      </c>
      <c r="N882" t="inlineStr">
        <is>
          <t>Added from current Munitorum Field Manual v4.1 (non-Legends)</t>
        </is>
      </c>
      <c r="O882" t="inlineStr">
        <is>
          <t>https://www.warhammer-community.com/en-gb/downloads/warhammer-40000/</t>
        </is>
      </c>
    </row>
    <row r="883">
      <c r="A883" t="inlineStr">
        <is>
          <t>Astra Militarum</t>
        </is>
      </c>
      <c r="C883" t="inlineStr">
        <is>
          <t>Infantry / Other</t>
        </is>
      </c>
      <c r="D883" t="inlineStr">
        <is>
          <t>Infantry</t>
        </is>
      </c>
      <c r="E883" t="inlineStr">
        <is>
          <t>Artillery Team</t>
        </is>
      </c>
      <c r="F883" t="inlineStr">
        <is>
          <t>1 model</t>
        </is>
      </c>
      <c r="G883" t="inlineStr">
        <is>
          <t>Infantry</t>
        </is>
      </c>
      <c r="L883" t="n">
        <v>95</v>
      </c>
      <c r="N883" t="inlineStr">
        <is>
          <t>Added from current Munitorum Field Manual v4.1 (non-Legends)</t>
        </is>
      </c>
      <c r="O883" t="inlineStr">
        <is>
          <t>https://www.warhammer-community.com/en-gb/downloads/warhammer-40000/</t>
        </is>
      </c>
    </row>
    <row r="884">
      <c r="A884" t="inlineStr">
        <is>
          <t>Astra Militarum</t>
        </is>
      </c>
      <c r="C884" t="inlineStr">
        <is>
          <t>Vehicle / Support</t>
        </is>
      </c>
      <c r="D884" t="inlineStr">
        <is>
          <t>Vehicle</t>
        </is>
      </c>
      <c r="E884" t="inlineStr">
        <is>
          <t>Avenger Strike Fighter</t>
        </is>
      </c>
      <c r="F884" t="inlineStr">
        <is>
          <t>1 model</t>
        </is>
      </c>
      <c r="G884" t="inlineStr">
        <is>
          <t>Vehicle</t>
        </is>
      </c>
      <c r="L884" t="n">
        <v>130</v>
      </c>
      <c r="N884" t="inlineStr">
        <is>
          <t>Added from current Munitorum Field Manual v4.1 (non-Legends)</t>
        </is>
      </c>
      <c r="O884" t="inlineStr">
        <is>
          <t>https://www.warhammer-community.com/en-gb/downloads/warhammer-40000/</t>
        </is>
      </c>
    </row>
    <row r="885">
      <c r="A885" t="inlineStr">
        <is>
          <t>Astra Militarum</t>
        </is>
      </c>
      <c r="C885" t="inlineStr">
        <is>
          <t>Infantry / Other</t>
        </is>
      </c>
      <c r="D885" t="inlineStr">
        <is>
          <t>Infantry</t>
        </is>
      </c>
      <c r="E885" t="inlineStr">
        <is>
          <t>Cadian Heavy Weapons Squad</t>
        </is>
      </c>
      <c r="F885" t="inlineStr">
        <is>
          <t>3 models</t>
        </is>
      </c>
      <c r="G885" t="inlineStr">
        <is>
          <t>Infantry</t>
        </is>
      </c>
      <c r="L885" t="n">
        <v>65</v>
      </c>
      <c r="N885" t="inlineStr">
        <is>
          <t>Added from current Munitorum Field Manual v4.1 (non-Legends)</t>
        </is>
      </c>
      <c r="O885" t="inlineStr">
        <is>
          <t>https://www.warhammer-community.com/en-gb/downloads/warhammer-40000/</t>
        </is>
      </c>
    </row>
    <row r="886">
      <c r="A886" t="inlineStr">
        <is>
          <t>Astra Militarum</t>
        </is>
      </c>
      <c r="C886" t="inlineStr">
        <is>
          <t>Infantry / Other</t>
        </is>
      </c>
      <c r="D886" t="inlineStr">
        <is>
          <t>Infantry</t>
        </is>
      </c>
      <c r="E886" t="inlineStr">
        <is>
          <t>Cadian Recon Squad</t>
        </is>
      </c>
      <c r="F886" t="inlineStr">
        <is>
          <t>10 models</t>
        </is>
      </c>
      <c r="G886" t="inlineStr">
        <is>
          <t>Infantry</t>
        </is>
      </c>
      <c r="L886" t="n">
        <v>80</v>
      </c>
      <c r="N886" t="inlineStr">
        <is>
          <t>Added from current Munitorum Field Manual v4.1 (non-Legends)</t>
        </is>
      </c>
      <c r="O886" t="inlineStr">
        <is>
          <t>https://www.warhammer-community.com/en-gb/downloads/warhammer-40000/</t>
        </is>
      </c>
    </row>
    <row r="887">
      <c r="A887" t="inlineStr">
        <is>
          <t>Astra Militarum</t>
        </is>
      </c>
      <c r="C887" t="inlineStr">
        <is>
          <t>Character</t>
        </is>
      </c>
      <c r="D887" t="inlineStr">
        <is>
          <t>Character</t>
        </is>
      </c>
      <c r="E887" t="inlineStr">
        <is>
          <t>Catachan Command Squad</t>
        </is>
      </c>
      <c r="F887" t="inlineStr">
        <is>
          <t>5 models</t>
        </is>
      </c>
      <c r="G887" t="inlineStr">
        <is>
          <t>Character</t>
        </is>
      </c>
      <c r="L887" t="n">
        <v>60</v>
      </c>
      <c r="N887" t="inlineStr">
        <is>
          <t>Added from current Munitorum Field Manual v4.1 (non-Legends)</t>
        </is>
      </c>
      <c r="O887" t="inlineStr">
        <is>
          <t>https://www.warhammer-community.com/en-gb/downloads/warhammer-40000/</t>
        </is>
      </c>
    </row>
    <row r="888">
      <c r="A888" t="inlineStr">
        <is>
          <t>Astra Militarum</t>
        </is>
      </c>
      <c r="C888" t="inlineStr">
        <is>
          <t>Infantry / Other</t>
        </is>
      </c>
      <c r="D888" t="inlineStr">
        <is>
          <t>Infantry</t>
        </is>
      </c>
      <c r="E888" t="inlineStr">
        <is>
          <t>Catachan Heavy Weapons Squad</t>
        </is>
      </c>
      <c r="F888" t="inlineStr">
        <is>
          <t>3 models</t>
        </is>
      </c>
      <c r="G888" t="inlineStr">
        <is>
          <t>Infantry</t>
        </is>
      </c>
      <c r="L888" t="n">
        <v>65</v>
      </c>
      <c r="N888" t="inlineStr">
        <is>
          <t>Added from current Munitorum Field Manual v4.1 (non-Legends)</t>
        </is>
      </c>
      <c r="O888" t="inlineStr">
        <is>
          <t>https://www.warhammer-community.com/en-gb/downloads/warhammer-40000/</t>
        </is>
      </c>
    </row>
    <row r="889">
      <c r="A889" t="inlineStr">
        <is>
          <t>Astra Militarum</t>
        </is>
      </c>
      <c r="C889" t="inlineStr">
        <is>
          <t>Infantry / Other</t>
        </is>
      </c>
      <c r="D889" t="inlineStr">
        <is>
          <t>Infantry</t>
        </is>
      </c>
      <c r="E889" t="inlineStr">
        <is>
          <t>Centaur Rsv</t>
        </is>
      </c>
      <c r="F889" t="inlineStr">
        <is>
          <t>1 model</t>
        </is>
      </c>
      <c r="G889" t="inlineStr">
        <is>
          <t>Infantry</t>
        </is>
      </c>
      <c r="L889" t="n">
        <v>75</v>
      </c>
      <c r="N889" t="inlineStr">
        <is>
          <t>Added from current Munitorum Field Manual v4.1 (non-Legends)</t>
        </is>
      </c>
      <c r="O889" t="inlineStr">
        <is>
          <t>https://www.warhammer-community.com/en-gb/downloads/warhammer-40000/</t>
        </is>
      </c>
    </row>
    <row r="890">
      <c r="A890" t="inlineStr">
        <is>
          <t>Astra Militarum</t>
        </is>
      </c>
      <c r="C890" t="inlineStr">
        <is>
          <t>Infantry / Other</t>
        </is>
      </c>
      <c r="D890" t="inlineStr">
        <is>
          <t>Infantry</t>
        </is>
      </c>
      <c r="E890" t="inlineStr">
        <is>
          <t>Commissar Graves</t>
        </is>
      </c>
      <c r="F890" t="inlineStr">
        <is>
          <t>1 model</t>
        </is>
      </c>
      <c r="G890" t="inlineStr">
        <is>
          <t>Infantry</t>
        </is>
      </c>
      <c r="L890" t="n">
        <v>125</v>
      </c>
      <c r="N890" t="inlineStr">
        <is>
          <t>Added from current Munitorum Field Manual v4.1 (non-Legends)</t>
        </is>
      </c>
      <c r="O890" t="inlineStr">
        <is>
          <t>https://www.warhammer-community.com/en-gb/downloads/warhammer-40000/</t>
        </is>
      </c>
    </row>
    <row r="891">
      <c r="A891" t="inlineStr">
        <is>
          <t>Astra Militarum</t>
        </is>
      </c>
      <c r="C891" t="inlineStr">
        <is>
          <t>Character</t>
        </is>
      </c>
      <c r="D891" t="inlineStr">
        <is>
          <t>Character</t>
        </is>
      </c>
      <c r="E891" t="inlineStr">
        <is>
          <t>Commissar Graves On Foot</t>
        </is>
      </c>
      <c r="F891" t="inlineStr">
        <is>
          <t>1 model</t>
        </is>
      </c>
      <c r="G891" t="inlineStr">
        <is>
          <t>Character</t>
        </is>
      </c>
      <c r="L891" t="n">
        <v>65</v>
      </c>
      <c r="N891" t="inlineStr">
        <is>
          <t>Added from current Munitorum Field Manual v4.1 (non-Legends)</t>
        </is>
      </c>
      <c r="O891" t="inlineStr">
        <is>
          <t>https://www.warhammer-community.com/en-gb/downloads/warhammer-40000/</t>
        </is>
      </c>
    </row>
    <row r="892">
      <c r="A892" t="inlineStr">
        <is>
          <t>Astra Militarum</t>
        </is>
      </c>
      <c r="C892" t="inlineStr">
        <is>
          <t>Character</t>
        </is>
      </c>
      <c r="D892" t="inlineStr">
        <is>
          <t>Character</t>
        </is>
      </c>
      <c r="E892" t="inlineStr">
        <is>
          <t>Commissar Yarrick</t>
        </is>
      </c>
      <c r="F892" t="inlineStr">
        <is>
          <t>1 model</t>
        </is>
      </c>
      <c r="G892" t="inlineStr">
        <is>
          <t>Character</t>
        </is>
      </c>
      <c r="L892" t="n">
        <v>130</v>
      </c>
      <c r="N892" t="inlineStr">
        <is>
          <t>Added from current Munitorum Field Manual v4.1 (non-Legends)</t>
        </is>
      </c>
      <c r="O892" t="inlineStr">
        <is>
          <t>https://www.warhammer-community.com/en-gb/downloads/warhammer-40000/</t>
        </is>
      </c>
    </row>
    <row r="893">
      <c r="A893" t="inlineStr">
        <is>
          <t>Astra Militarum</t>
        </is>
      </c>
      <c r="C893" t="inlineStr">
        <is>
          <t>Infantry / Other</t>
        </is>
      </c>
      <c r="D893" t="inlineStr">
        <is>
          <t>Infantry</t>
        </is>
      </c>
      <c r="E893" t="inlineStr">
        <is>
          <t>Cyclops Demolition Vehicle</t>
        </is>
      </c>
      <c r="F893" t="inlineStr">
        <is>
          <t>1 model</t>
        </is>
      </c>
      <c r="G893" t="inlineStr">
        <is>
          <t>Infantry</t>
        </is>
      </c>
      <c r="L893" t="n">
        <v>40</v>
      </c>
      <c r="M893" t="inlineStr">
        <is>
          <t>Your 1st To 2nd Units Cost: 1 models = 40 pts | Your 3rd + Unit Costs: 1 models = 45 pts</t>
        </is>
      </c>
      <c r="N893" t="inlineStr">
        <is>
          <t>Added from current Munitorum Field Manual v4.1 (non-Legends)</t>
        </is>
      </c>
      <c r="O893" t="inlineStr">
        <is>
          <t>https://www.warhammer-community.com/en-gb/downloads/warhammer-40000/</t>
        </is>
      </c>
    </row>
    <row r="894">
      <c r="A894" t="inlineStr">
        <is>
          <t>Astra Militarum</t>
        </is>
      </c>
      <c r="C894" t="inlineStr">
        <is>
          <t>Infantry / Other</t>
        </is>
      </c>
      <c r="D894" t="inlineStr">
        <is>
          <t>Mounted / Bike</t>
        </is>
      </c>
      <c r="E894" t="inlineStr">
        <is>
          <t>Death Riders</t>
        </is>
      </c>
      <c r="F894" t="inlineStr">
        <is>
          <t>5 models</t>
        </is>
      </c>
      <c r="G894" t="inlineStr">
        <is>
          <t>Mounted / Bike</t>
        </is>
      </c>
      <c r="L894" t="n">
        <v>60</v>
      </c>
      <c r="N894" t="inlineStr">
        <is>
          <t>Added from current Munitorum Field Manual v4.1 (non-Legends)</t>
        </is>
      </c>
      <c r="O894" t="inlineStr">
        <is>
          <t>https://www.warhammer-community.com/en-gb/downloads/warhammer-40000/</t>
        </is>
      </c>
    </row>
    <row r="895">
      <c r="A895" t="inlineStr">
        <is>
          <t>Astra Militarum</t>
        </is>
      </c>
      <c r="C895" t="inlineStr">
        <is>
          <t>Infantry / Other</t>
        </is>
      </c>
      <c r="D895" t="inlineStr">
        <is>
          <t>Infantry</t>
        </is>
      </c>
      <c r="E895" t="inlineStr">
        <is>
          <t>Deathstrike</t>
        </is>
      </c>
      <c r="F895" t="inlineStr">
        <is>
          <t>1 model</t>
        </is>
      </c>
      <c r="G895" t="inlineStr">
        <is>
          <t>Infantry</t>
        </is>
      </c>
      <c r="L895" t="n">
        <v>125</v>
      </c>
      <c r="M895" t="inlineStr">
        <is>
          <t>Your 1st Unit Costs: 1 models = 125 pts | Your 2nd + Unit Costs: 1 models = 135 pts</t>
        </is>
      </c>
      <c r="N895" t="inlineStr">
        <is>
          <t>Added from current Munitorum Field Manual v4.1 (non-Legends)</t>
        </is>
      </c>
      <c r="O895" t="inlineStr">
        <is>
          <t>https://www.warhammer-community.com/en-gb/downloads/warhammer-40000/</t>
        </is>
      </c>
    </row>
    <row r="896">
      <c r="A896" t="inlineStr">
        <is>
          <t>Astra Militarum</t>
        </is>
      </c>
      <c r="C896" t="inlineStr">
        <is>
          <t>Infantry / Other</t>
        </is>
      </c>
      <c r="D896" t="inlineStr">
        <is>
          <t>Infantry</t>
        </is>
      </c>
      <c r="E896" t="inlineStr">
        <is>
          <t>Hippogriff Afv</t>
        </is>
      </c>
      <c r="F896" t="inlineStr">
        <is>
          <t>1 model</t>
        </is>
      </c>
      <c r="G896" t="inlineStr">
        <is>
          <t>Infantry</t>
        </is>
      </c>
      <c r="L896" t="n">
        <v>70</v>
      </c>
      <c r="N896" t="inlineStr">
        <is>
          <t>Added from current Munitorum Field Manual v4.1 (non-Legends)</t>
        </is>
      </c>
      <c r="O896" t="inlineStr">
        <is>
          <t>https://www.warhammer-community.com/en-gb/downloads/warhammer-40000/</t>
        </is>
      </c>
    </row>
    <row r="897">
      <c r="A897" t="inlineStr">
        <is>
          <t>Astra Militarum</t>
        </is>
      </c>
      <c r="C897" t="inlineStr">
        <is>
          <t>Infantry / Other</t>
        </is>
      </c>
      <c r="D897" t="inlineStr">
        <is>
          <t>Infantry</t>
        </is>
      </c>
      <c r="E897" t="inlineStr">
        <is>
          <t>Krieg Combat Engineers</t>
        </is>
      </c>
      <c r="F897" t="inlineStr">
        <is>
          <t>5 models</t>
        </is>
      </c>
      <c r="G897" t="inlineStr">
        <is>
          <t>Infantry</t>
        </is>
      </c>
      <c r="L897" t="n">
        <v>65</v>
      </c>
      <c r="M897" t="inlineStr">
        <is>
          <t>Your 1st To 2nd Units Cost: 5 models = 65 pts; 10 models = 95 pts | Your 3rd + Unit Costs: 5 models = 75 pts; 10 models = 105 pts</t>
        </is>
      </c>
      <c r="N897" t="inlineStr">
        <is>
          <t>Added from current Munitorum Field Manual v4.1 (non-Legends)</t>
        </is>
      </c>
      <c r="O897" t="inlineStr">
        <is>
          <t>https://www.warhammer-community.com/en-gb/downloads/warhammer-40000/</t>
        </is>
      </c>
    </row>
    <row r="898">
      <c r="A898" t="inlineStr">
        <is>
          <t>Astra Militarum</t>
        </is>
      </c>
      <c r="C898" t="inlineStr">
        <is>
          <t>Character</t>
        </is>
      </c>
      <c r="D898" t="inlineStr">
        <is>
          <t>Character</t>
        </is>
      </c>
      <c r="E898" t="inlineStr">
        <is>
          <t>Krieg Command Squad</t>
        </is>
      </c>
      <c r="F898" t="inlineStr">
        <is>
          <t>6 models</t>
        </is>
      </c>
      <c r="G898" t="inlineStr">
        <is>
          <t>Character</t>
        </is>
      </c>
      <c r="L898" t="n">
        <v>65</v>
      </c>
      <c r="N898" t="inlineStr">
        <is>
          <t>Added from current Munitorum Field Manual v4.1 (non-Legends)</t>
        </is>
      </c>
      <c r="O898" t="inlineStr">
        <is>
          <t>https://www.warhammer-community.com/en-gb/downloads/warhammer-40000/</t>
        </is>
      </c>
    </row>
    <row r="899">
      <c r="A899" t="inlineStr">
        <is>
          <t>Astra Militarum</t>
        </is>
      </c>
      <c r="C899" t="inlineStr">
        <is>
          <t>Infantry / Other</t>
        </is>
      </c>
      <c r="D899" t="inlineStr">
        <is>
          <t>Infantry</t>
        </is>
      </c>
      <c r="E899" t="inlineStr">
        <is>
          <t>Krieg Heavy Weapons Squad</t>
        </is>
      </c>
      <c r="F899" t="inlineStr">
        <is>
          <t>4 models</t>
        </is>
      </c>
      <c r="G899" t="inlineStr">
        <is>
          <t>Infantry</t>
        </is>
      </c>
      <c r="L899" t="n">
        <v>60</v>
      </c>
      <c r="M899" t="inlineStr">
        <is>
          <t>Your Unit Costs: 4 models = 60 pts | Wargear: Krieg heavy flamer +5 pts</t>
        </is>
      </c>
      <c r="N899" t="inlineStr">
        <is>
          <t>Added from current Munitorum Field Manual v4.1 (non-Legends)</t>
        </is>
      </c>
      <c r="O899" t="inlineStr">
        <is>
          <t>https://www.warhammer-community.com/en-gb/downloads/warhammer-40000/</t>
        </is>
      </c>
    </row>
    <row r="900">
      <c r="A900" t="inlineStr">
        <is>
          <t>Astra Militarum</t>
        </is>
      </c>
      <c r="C900" t="inlineStr">
        <is>
          <t>Character</t>
        </is>
      </c>
      <c r="D900" t="inlineStr">
        <is>
          <t>Character</t>
        </is>
      </c>
      <c r="E900" t="inlineStr">
        <is>
          <t>Leman Russ Commander</t>
        </is>
      </c>
      <c r="F900" t="inlineStr">
        <is>
          <t>1 model</t>
        </is>
      </c>
      <c r="G900" t="inlineStr">
        <is>
          <t>Character</t>
        </is>
      </c>
      <c r="L900" t="n">
        <v>235</v>
      </c>
      <c r="M900" t="inlineStr">
        <is>
          <t>Your 1st To 2nd Units Cost: 1 models = 235 pts | Your 3rd + Unit Costs: 1 models = 250 pts</t>
        </is>
      </c>
      <c r="N900" t="inlineStr">
        <is>
          <t>Added from current Munitorum Field Manual v4.1 (non-Legends)</t>
        </is>
      </c>
      <c r="O900" t="inlineStr">
        <is>
          <t>https://www.warhammer-community.com/en-gb/downloads/warhammer-40000/</t>
        </is>
      </c>
    </row>
    <row r="901">
      <c r="A901" t="inlineStr">
        <is>
          <t>Astra Militarum</t>
        </is>
      </c>
      <c r="C901" t="inlineStr">
        <is>
          <t>Character</t>
        </is>
      </c>
      <c r="D901" t="inlineStr">
        <is>
          <t>Character</t>
        </is>
      </c>
      <c r="E901" t="inlineStr">
        <is>
          <t>Lord Marshal Dreir</t>
        </is>
      </c>
      <c r="F901" t="inlineStr">
        <is>
          <t>1 model</t>
        </is>
      </c>
      <c r="G901" t="inlineStr">
        <is>
          <t>Character</t>
        </is>
      </c>
      <c r="L901" t="n">
        <v>75</v>
      </c>
      <c r="N901" t="inlineStr">
        <is>
          <t>Added from current Munitorum Field Manual v4.1 (non-Legends)</t>
        </is>
      </c>
      <c r="O901" t="inlineStr">
        <is>
          <t>https://www.warhammer-community.com/en-gb/downloads/warhammer-40000/</t>
        </is>
      </c>
    </row>
    <row r="902">
      <c r="A902" t="inlineStr">
        <is>
          <t>Astra Militarum</t>
        </is>
      </c>
      <c r="C902" t="inlineStr">
        <is>
          <t>Character</t>
        </is>
      </c>
      <c r="D902" t="inlineStr">
        <is>
          <t>Character</t>
        </is>
      </c>
      <c r="E902" t="inlineStr">
        <is>
          <t>Rogal Dorn Commander</t>
        </is>
      </c>
      <c r="F902" t="inlineStr">
        <is>
          <t>1 model</t>
        </is>
      </c>
      <c r="G902" t="inlineStr">
        <is>
          <t>Character</t>
        </is>
      </c>
      <c r="L902" t="n">
        <v>290</v>
      </c>
      <c r="M902" t="inlineStr">
        <is>
          <t>Your 1st Unit Costs: 1 models = 290 pts | Your 2nd + Unit Costs: 1 models = 305 pts</t>
        </is>
      </c>
      <c r="N902" t="inlineStr">
        <is>
          <t>Added from current Munitorum Field Manual v4.1 (non-Legends)</t>
        </is>
      </c>
      <c r="O902" t="inlineStr">
        <is>
          <t>https://www.warhammer-community.com/en-gb/downloads/warhammer-40000/</t>
        </is>
      </c>
    </row>
    <row r="903">
      <c r="A903" t="inlineStr">
        <is>
          <t>Astra Militarum</t>
        </is>
      </c>
      <c r="C903" t="inlineStr">
        <is>
          <t>Infantry / Other</t>
        </is>
      </c>
      <c r="D903" t="inlineStr">
        <is>
          <t>Infantry</t>
        </is>
      </c>
      <c r="E903" t="inlineStr">
        <is>
          <t>Sly Marbo</t>
        </is>
      </c>
      <c r="F903" t="inlineStr">
        <is>
          <t>1 model</t>
        </is>
      </c>
      <c r="G903" t="inlineStr">
        <is>
          <t>Infantry</t>
        </is>
      </c>
      <c r="L903" t="n">
        <v>55</v>
      </c>
      <c r="N903" t="inlineStr">
        <is>
          <t>Added from current Munitorum Field Manual v4.1 (non-Legends)</t>
        </is>
      </c>
      <c r="O903" t="inlineStr">
        <is>
          <t>https://www.warhammer-community.com/en-gb/downloads/warhammer-40000/</t>
        </is>
      </c>
    </row>
    <row r="904">
      <c r="A904" t="inlineStr">
        <is>
          <t>Astra Militarum</t>
        </is>
      </c>
      <c r="C904" t="inlineStr">
        <is>
          <t>Infantry / Other</t>
        </is>
      </c>
      <c r="D904" t="inlineStr">
        <is>
          <t>Infantry</t>
        </is>
      </c>
      <c r="E904" t="inlineStr">
        <is>
          <t>Tempestus Aquilons</t>
        </is>
      </c>
      <c r="F904" t="inlineStr">
        <is>
          <t>10 models</t>
        </is>
      </c>
      <c r="G904" t="inlineStr">
        <is>
          <t>Infantry</t>
        </is>
      </c>
      <c r="L904" t="n">
        <v>100</v>
      </c>
      <c r="N904" t="inlineStr">
        <is>
          <t>Added from current Munitorum Field Manual v4.1 (non-Legends)</t>
        </is>
      </c>
      <c r="O904" t="inlineStr">
        <is>
          <t>https://www.warhammer-community.com/en-gb/downloads/warhammer-40000/</t>
        </is>
      </c>
    </row>
    <row r="905">
      <c r="A905" t="inlineStr">
        <is>
          <t>Black Templars</t>
        </is>
      </c>
      <c r="B905" t="inlineStr">
        <is>
          <t>Black Templars</t>
        </is>
      </c>
      <c r="C905" t="inlineStr">
        <is>
          <t>Character</t>
        </is>
      </c>
      <c r="D905" t="inlineStr">
        <is>
          <t>Character</t>
        </is>
      </c>
      <c r="E905" t="inlineStr">
        <is>
          <t>Crusade Ancient</t>
        </is>
      </c>
      <c r="F905" t="inlineStr">
        <is>
          <t>1 model</t>
        </is>
      </c>
      <c r="G905" t="inlineStr">
        <is>
          <t>Character</t>
        </is>
      </c>
      <c r="L905" t="n">
        <v>45</v>
      </c>
      <c r="N905" t="inlineStr">
        <is>
          <t>Added from current Munitorum Field Manual v4.1 (non-Legends)</t>
        </is>
      </c>
      <c r="O905" t="inlineStr">
        <is>
          <t>https://www.warhammer-community.com/en-gb/downloads/warhammer-40000/</t>
        </is>
      </c>
    </row>
    <row r="906">
      <c r="A906" t="inlineStr">
        <is>
          <t>Black Templars</t>
        </is>
      </c>
      <c r="B906" t="inlineStr">
        <is>
          <t>Black Templars</t>
        </is>
      </c>
      <c r="C906" t="inlineStr">
        <is>
          <t>Character</t>
        </is>
      </c>
      <c r="D906" t="inlineStr">
        <is>
          <t>Character</t>
        </is>
      </c>
      <c r="E906" t="inlineStr">
        <is>
          <t>Execrator</t>
        </is>
      </c>
      <c r="F906" t="inlineStr">
        <is>
          <t>1 model</t>
        </is>
      </c>
      <c r="G906" t="inlineStr">
        <is>
          <t>Character</t>
        </is>
      </c>
      <c r="L906" t="n">
        <v>60</v>
      </c>
      <c r="N906" t="inlineStr">
        <is>
          <t>Added from current Munitorum Field Manual v4.1 (non-Legends)</t>
        </is>
      </c>
      <c r="O906" t="inlineStr">
        <is>
          <t>https://www.warhammer-community.com/en-gb/downloads/warhammer-40000/</t>
        </is>
      </c>
    </row>
    <row r="907">
      <c r="A907" t="inlineStr">
        <is>
          <t>Black Templars</t>
        </is>
      </c>
      <c r="B907" t="inlineStr">
        <is>
          <t>Black Templars</t>
        </is>
      </c>
      <c r="C907" t="inlineStr">
        <is>
          <t>Character</t>
        </is>
      </c>
      <c r="D907" t="inlineStr">
        <is>
          <t>Character</t>
        </is>
      </c>
      <c r="E907" t="inlineStr">
        <is>
          <t>Marshal</t>
        </is>
      </c>
      <c r="F907" t="inlineStr">
        <is>
          <t>1 model</t>
        </is>
      </c>
      <c r="G907" t="inlineStr">
        <is>
          <t>Character</t>
        </is>
      </c>
      <c r="L907" t="n">
        <v>80</v>
      </c>
      <c r="M907" t="inlineStr">
        <is>
          <t>Your 1st Unit Costs: 1 models = 80 pts | Your 2nd + Unit Costs: 1 models = 90 pts</t>
        </is>
      </c>
      <c r="N907" t="inlineStr">
        <is>
          <t>Added from current Munitorum Field Manual v4.1 (non-Legends)</t>
        </is>
      </c>
      <c r="O907" t="inlineStr">
        <is>
          <t>https://www.warhammer-community.com/en-gb/downloads/warhammer-40000/</t>
        </is>
      </c>
    </row>
    <row r="908">
      <c r="A908" t="inlineStr">
        <is>
          <t>Blood Angels</t>
        </is>
      </c>
      <c r="B908" t="inlineStr">
        <is>
          <t>Blood Angels</t>
        </is>
      </c>
      <c r="C908" t="inlineStr">
        <is>
          <t>Character</t>
        </is>
      </c>
      <c r="D908" t="inlineStr">
        <is>
          <t>Character</t>
        </is>
      </c>
      <c r="E908" t="inlineStr">
        <is>
          <t>Death Company Captain</t>
        </is>
      </c>
      <c r="F908" t="inlineStr">
        <is>
          <t>1 model</t>
        </is>
      </c>
      <c r="G908" t="inlineStr">
        <is>
          <t>Character</t>
        </is>
      </c>
      <c r="L908" t="n">
        <v>70</v>
      </c>
      <c r="N908" t="inlineStr">
        <is>
          <t>Added from current Munitorum Field Manual v4.1 (non-Legends)</t>
        </is>
      </c>
      <c r="O908" t="inlineStr">
        <is>
          <t>https://www.warhammer-community.com/en-gb/downloads/warhammer-40000/</t>
        </is>
      </c>
    </row>
    <row r="909">
      <c r="A909" t="inlineStr">
        <is>
          <t>Blood Angels</t>
        </is>
      </c>
      <c r="B909" t="inlineStr">
        <is>
          <t>Blood Angels</t>
        </is>
      </c>
      <c r="C909" t="inlineStr">
        <is>
          <t>Character</t>
        </is>
      </c>
      <c r="D909" t="inlineStr">
        <is>
          <t>Character</t>
        </is>
      </c>
      <c r="E909" t="inlineStr">
        <is>
          <t>Death Company Captain With Jump Pack</t>
        </is>
      </c>
      <c r="F909" t="inlineStr">
        <is>
          <t>1 model</t>
        </is>
      </c>
      <c r="G909" t="inlineStr">
        <is>
          <t>Character</t>
        </is>
      </c>
      <c r="L909" t="n">
        <v>75</v>
      </c>
      <c r="N909" t="inlineStr">
        <is>
          <t>Added from current Munitorum Field Manual v4.1 (non-Legends)</t>
        </is>
      </c>
      <c r="O909" t="inlineStr">
        <is>
          <t>https://www.warhammer-community.com/en-gb/downloads/warhammer-40000/</t>
        </is>
      </c>
    </row>
    <row r="910">
      <c r="A910" t="inlineStr">
        <is>
          <t>Chaos Daemons</t>
        </is>
      </c>
      <c r="C910" t="inlineStr">
        <is>
          <t>Monster / Support</t>
        </is>
      </c>
      <c r="D910" t="inlineStr">
        <is>
          <t>Monster</t>
        </is>
      </c>
      <c r="E910" t="inlineStr">
        <is>
          <t>Daemon Prince Of Chaos</t>
        </is>
      </c>
      <c r="F910" t="inlineStr">
        <is>
          <t>1 model</t>
        </is>
      </c>
      <c r="G910" t="inlineStr">
        <is>
          <t>Monster</t>
        </is>
      </c>
      <c r="L910" t="n">
        <v>165</v>
      </c>
      <c r="N910" t="inlineStr">
        <is>
          <t>Added from current Munitorum Field Manual v4.1 (non-Legends)</t>
        </is>
      </c>
      <c r="O910" t="inlineStr">
        <is>
          <t>https://www.warhammer-community.com/en-gb/downloads/warhammer-40000/</t>
        </is>
      </c>
    </row>
    <row r="911">
      <c r="A911" t="inlineStr">
        <is>
          <t>Chaos Daemons</t>
        </is>
      </c>
      <c r="C911" t="inlineStr">
        <is>
          <t>Monster / Support</t>
        </is>
      </c>
      <c r="D911" t="inlineStr">
        <is>
          <t>Monster</t>
        </is>
      </c>
      <c r="E911" t="inlineStr">
        <is>
          <t>Daemon Prince Of Chaos With Wings</t>
        </is>
      </c>
      <c r="F911" t="inlineStr">
        <is>
          <t>1 model</t>
        </is>
      </c>
      <c r="G911" t="inlineStr">
        <is>
          <t>Monster</t>
        </is>
      </c>
      <c r="L911" t="n">
        <v>190</v>
      </c>
      <c r="N911" t="inlineStr">
        <is>
          <t>Added from current Munitorum Field Manual v4.1 (non-Legends)</t>
        </is>
      </c>
      <c r="O911" t="inlineStr">
        <is>
          <t>https://www.warhammer-community.com/en-gb/downloads/warhammer-40000/</t>
        </is>
      </c>
    </row>
    <row r="912">
      <c r="A912" t="inlineStr">
        <is>
          <t>Chaos Daemons</t>
        </is>
      </c>
      <c r="C912" t="inlineStr">
        <is>
          <t>Vehicle / Support</t>
        </is>
      </c>
      <c r="D912" t="inlineStr">
        <is>
          <t>Vehicle</t>
        </is>
      </c>
      <c r="E912" t="inlineStr">
        <is>
          <t>Feculent Gnarlmaw</t>
        </is>
      </c>
      <c r="F912" t="inlineStr">
        <is>
          <t>1 model</t>
        </is>
      </c>
      <c r="G912" t="inlineStr">
        <is>
          <t>Vehicle</t>
        </is>
      </c>
      <c r="L912" t="n">
        <v>100</v>
      </c>
      <c r="N912" t="inlineStr">
        <is>
          <t>Added from current Munitorum Field Manual v4.1 (non-Legends)</t>
        </is>
      </c>
      <c r="O912" t="inlineStr">
        <is>
          <t>https://www.warhammer-community.com/en-gb/downloads/warhammer-40000/</t>
        </is>
      </c>
    </row>
    <row r="913">
      <c r="A913" t="inlineStr">
        <is>
          <t>Chaos Daemons</t>
        </is>
      </c>
      <c r="C913" t="inlineStr">
        <is>
          <t>Infantry / Other</t>
        </is>
      </c>
      <c r="D913" t="inlineStr">
        <is>
          <t>Beast / Swarm</t>
        </is>
      </c>
      <c r="E913" t="inlineStr">
        <is>
          <t>Fiends</t>
        </is>
      </c>
      <c r="F913" t="inlineStr">
        <is>
          <t>3 models</t>
        </is>
      </c>
      <c r="G913" t="inlineStr">
        <is>
          <t>Beast / Swarm</t>
        </is>
      </c>
      <c r="L913" t="n">
        <v>90</v>
      </c>
      <c r="N913" t="inlineStr">
        <is>
          <t>Added from current Munitorum Field Manual v4.1 (non-Legends)</t>
        </is>
      </c>
      <c r="O913" t="inlineStr">
        <is>
          <t>https://www.warhammer-community.com/en-gb/downloads/warhammer-40000/</t>
        </is>
      </c>
    </row>
    <row r="914">
      <c r="A914" t="inlineStr">
        <is>
          <t>Chaos Daemons</t>
        </is>
      </c>
      <c r="C914" t="inlineStr">
        <is>
          <t>Infantry / Other</t>
        </is>
      </c>
      <c r="D914" t="inlineStr">
        <is>
          <t>Infantry</t>
        </is>
      </c>
      <c r="E914" t="inlineStr">
        <is>
          <t>Flamers</t>
        </is>
      </c>
      <c r="F914" t="inlineStr">
        <is>
          <t>3 models</t>
        </is>
      </c>
      <c r="G914" t="inlineStr">
        <is>
          <t>Infantry</t>
        </is>
      </c>
      <c r="L914" t="n">
        <v>65</v>
      </c>
      <c r="N914" t="inlineStr">
        <is>
          <t>Added from current Munitorum Field Manual v4.1 (non-Legends)</t>
        </is>
      </c>
      <c r="O914" t="inlineStr">
        <is>
          <t>https://www.warhammer-community.com/en-gb/downloads/warhammer-40000/</t>
        </is>
      </c>
    </row>
    <row r="915">
      <c r="A915" t="inlineStr">
        <is>
          <t>Chaos Daemons</t>
        </is>
      </c>
      <c r="C915" t="inlineStr">
        <is>
          <t>Infantry / Other</t>
        </is>
      </c>
      <c r="D915" t="inlineStr">
        <is>
          <t>Infantry</t>
        </is>
      </c>
      <c r="E915" t="inlineStr">
        <is>
          <t>Hellflayers</t>
        </is>
      </c>
      <c r="F915" t="inlineStr">
        <is>
          <t>1 model</t>
        </is>
      </c>
      <c r="G915" t="inlineStr">
        <is>
          <t>Infantry</t>
        </is>
      </c>
      <c r="L915" t="n">
        <v>80</v>
      </c>
      <c r="N915" t="inlineStr">
        <is>
          <t>Added from current Munitorum Field Manual v4.1 (non-Legends)</t>
        </is>
      </c>
      <c r="O915" t="inlineStr">
        <is>
          <t>https://www.warhammer-community.com/en-gb/downloads/warhammer-40000/</t>
        </is>
      </c>
    </row>
    <row r="916">
      <c r="A916" t="inlineStr">
        <is>
          <t>Chaos Daemons</t>
        </is>
      </c>
      <c r="C916" t="inlineStr">
        <is>
          <t>Monster / Support</t>
        </is>
      </c>
      <c r="D916" t="inlineStr">
        <is>
          <t>Monster</t>
        </is>
      </c>
      <c r="E916" t="inlineStr">
        <is>
          <t>Skarbrand</t>
        </is>
      </c>
      <c r="F916" t="inlineStr">
        <is>
          <t>1 model</t>
        </is>
      </c>
      <c r="G916" t="inlineStr">
        <is>
          <t>Monster</t>
        </is>
      </c>
      <c r="L916" t="n">
        <v>315</v>
      </c>
      <c r="N916" t="inlineStr">
        <is>
          <t>Added from current Munitorum Field Manual v4.1 (non-Legends)</t>
        </is>
      </c>
      <c r="O916" t="inlineStr">
        <is>
          <t>https://www.warhammer-community.com/en-gb/downloads/warhammer-40000/</t>
        </is>
      </c>
    </row>
    <row r="917">
      <c r="A917" t="inlineStr">
        <is>
          <t>Chaos Daemons</t>
        </is>
      </c>
      <c r="C917" t="inlineStr">
        <is>
          <t>Vehicle / Support</t>
        </is>
      </c>
      <c r="D917" t="inlineStr">
        <is>
          <t>Vehicle</t>
        </is>
      </c>
      <c r="E917" t="inlineStr">
        <is>
          <t>Skull Altar</t>
        </is>
      </c>
      <c r="F917" t="inlineStr">
        <is>
          <t>1 model</t>
        </is>
      </c>
      <c r="G917" t="inlineStr">
        <is>
          <t>Vehicle</t>
        </is>
      </c>
      <c r="L917" t="n">
        <v>105</v>
      </c>
      <c r="N917" t="inlineStr">
        <is>
          <t>Added from current Munitorum Field Manual v4.1 (non-Legends)</t>
        </is>
      </c>
      <c r="O917" t="inlineStr">
        <is>
          <t>https://www.warhammer-community.com/en-gb/downloads/warhammer-40000/</t>
        </is>
      </c>
    </row>
    <row r="918">
      <c r="A918" t="inlineStr">
        <is>
          <t>Chaos Daemons</t>
        </is>
      </c>
      <c r="C918" t="inlineStr">
        <is>
          <t>Infantry / Other</t>
        </is>
      </c>
      <c r="D918" t="inlineStr">
        <is>
          <t>Infantry</t>
        </is>
      </c>
      <c r="E918" t="inlineStr">
        <is>
          <t>The Masque Of Slaanesh</t>
        </is>
      </c>
      <c r="F918" t="inlineStr">
        <is>
          <t>1 model</t>
        </is>
      </c>
      <c r="G918" t="inlineStr">
        <is>
          <t>Infantry</t>
        </is>
      </c>
      <c r="L918" t="n">
        <v>95</v>
      </c>
      <c r="N918" t="inlineStr">
        <is>
          <t>Added from current Munitorum Field Manual v4.1 (non-Legends)</t>
        </is>
      </c>
      <c r="O918" t="inlineStr">
        <is>
          <t>https://www.warhammer-community.com/en-gb/downloads/warhammer-40000/</t>
        </is>
      </c>
    </row>
    <row r="919">
      <c r="A919" t="inlineStr">
        <is>
          <t>Chaos Daemons</t>
        </is>
      </c>
      <c r="C919" t="inlineStr">
        <is>
          <t>Character</t>
        </is>
      </c>
      <c r="D919" t="inlineStr">
        <is>
          <t>Character</t>
        </is>
      </c>
      <c r="E919" t="inlineStr">
        <is>
          <t>Tormentbringer</t>
        </is>
      </c>
      <c r="F919" t="inlineStr">
        <is>
          <t>1 model</t>
        </is>
      </c>
      <c r="G919" t="inlineStr">
        <is>
          <t>Character</t>
        </is>
      </c>
      <c r="L919" t="n">
        <v>135</v>
      </c>
      <c r="N919" t="inlineStr">
        <is>
          <t>Added from current Munitorum Field Manual v4.1 (non-Legends)</t>
        </is>
      </c>
      <c r="O919" t="inlineStr">
        <is>
          <t>https://www.warhammer-community.com/en-gb/downloads/warhammer-40000/</t>
        </is>
      </c>
    </row>
    <row r="920">
      <c r="A920" t="inlineStr">
        <is>
          <t>Chaos Knights</t>
        </is>
      </c>
      <c r="C920" t="inlineStr">
        <is>
          <t>Infantry / Other</t>
        </is>
      </c>
      <c r="D920" t="inlineStr">
        <is>
          <t>Infantry</t>
        </is>
      </c>
      <c r="E920" t="inlineStr">
        <is>
          <t>Chaos Acastus Knight Asterius</t>
        </is>
      </c>
      <c r="F920" t="inlineStr">
        <is>
          <t>1 model</t>
        </is>
      </c>
      <c r="G920" t="inlineStr">
        <is>
          <t>Infantry</t>
        </is>
      </c>
      <c r="L920" t="n">
        <v>785</v>
      </c>
      <c r="M920" t="inlineStr">
        <is>
          <t>Your 1st Unit Costs: 1 models = 785 pts | Your 2nd + Unit Costs: 1 models = 860 pts</t>
        </is>
      </c>
      <c r="N920" t="inlineStr">
        <is>
          <t>Added from current Munitorum Field Manual v4.1 (non-Legends)</t>
        </is>
      </c>
      <c r="O920" t="inlineStr">
        <is>
          <t>https://www.warhammer-community.com/en-gb/downloads/warhammer-40000/</t>
        </is>
      </c>
    </row>
    <row r="921">
      <c r="A921" t="inlineStr">
        <is>
          <t>Chaos Knights</t>
        </is>
      </c>
      <c r="C921" t="inlineStr">
        <is>
          <t>Infantry / Other</t>
        </is>
      </c>
      <c r="D921" t="inlineStr">
        <is>
          <t>Infantry</t>
        </is>
      </c>
      <c r="E921" t="inlineStr">
        <is>
          <t>Chaos Acastus Knight Porphyrion</t>
        </is>
      </c>
      <c r="F921" t="inlineStr">
        <is>
          <t>1 model</t>
        </is>
      </c>
      <c r="G921" t="inlineStr">
        <is>
          <t>Infantry</t>
        </is>
      </c>
      <c r="L921" t="n">
        <v>725</v>
      </c>
      <c r="M921" t="inlineStr">
        <is>
          <t>Your 1st Unit Costs: 1 models = 725 pts | Your 2nd + Unit Costs: 1 models = 800 pts</t>
        </is>
      </c>
      <c r="N921" t="inlineStr">
        <is>
          <t>Added from current Munitorum Field Manual v4.1 (non-Legends)</t>
        </is>
      </c>
      <c r="O921" t="inlineStr">
        <is>
          <t>https://www.warhammer-community.com/en-gb/downloads/warhammer-40000/</t>
        </is>
      </c>
    </row>
    <row r="922">
      <c r="A922" t="inlineStr">
        <is>
          <t>Chaos Knights</t>
        </is>
      </c>
      <c r="C922" t="inlineStr">
        <is>
          <t>Infantry / Other</t>
        </is>
      </c>
      <c r="D922" t="inlineStr">
        <is>
          <t>Infantry</t>
        </is>
      </c>
      <c r="E922" t="inlineStr">
        <is>
          <t>Chaos Cerastus Knight Acheron</t>
        </is>
      </c>
      <c r="F922" t="inlineStr">
        <is>
          <t>1 model</t>
        </is>
      </c>
      <c r="G922" t="inlineStr">
        <is>
          <t>Infantry</t>
        </is>
      </c>
      <c r="L922" t="n">
        <v>370</v>
      </c>
      <c r="M922" t="inlineStr">
        <is>
          <t>Your 1st Unit Costs: 1 models = 370 pts | Your 2nd + Unit Costs: 1 models = 385 pts</t>
        </is>
      </c>
      <c r="N922" t="inlineStr">
        <is>
          <t>Added from current Munitorum Field Manual v4.1 (non-Legends)</t>
        </is>
      </c>
      <c r="O922" t="inlineStr">
        <is>
          <t>https://www.warhammer-community.com/en-gb/downloads/warhammer-40000/</t>
        </is>
      </c>
    </row>
    <row r="923">
      <c r="A923" t="inlineStr">
        <is>
          <t>Chaos Knights</t>
        </is>
      </c>
      <c r="C923" t="inlineStr">
        <is>
          <t>Infantry / Other</t>
        </is>
      </c>
      <c r="D923" t="inlineStr">
        <is>
          <t>Infantry</t>
        </is>
      </c>
      <c r="E923" t="inlineStr">
        <is>
          <t>Chaos Cerastus Knight Atrapos</t>
        </is>
      </c>
      <c r="F923" t="inlineStr">
        <is>
          <t>1 model</t>
        </is>
      </c>
      <c r="G923" t="inlineStr">
        <is>
          <t>Infantry</t>
        </is>
      </c>
      <c r="L923" t="n">
        <v>395</v>
      </c>
      <c r="M923" t="inlineStr">
        <is>
          <t>Your 1st Unit Costs: 1 models = 395 pts | Your 2nd + Unit Costs: 1 models = 415 pts</t>
        </is>
      </c>
      <c r="N923" t="inlineStr">
        <is>
          <t>Added from current Munitorum Field Manual v4.1 (non-Legends)</t>
        </is>
      </c>
      <c r="O923" t="inlineStr">
        <is>
          <t>https://www.warhammer-community.com/en-gb/downloads/warhammer-40000/</t>
        </is>
      </c>
    </row>
    <row r="924">
      <c r="A924" t="inlineStr">
        <is>
          <t>Chaos Knights</t>
        </is>
      </c>
      <c r="C924" t="inlineStr">
        <is>
          <t>Infantry / Other</t>
        </is>
      </c>
      <c r="D924" t="inlineStr">
        <is>
          <t>Infantry</t>
        </is>
      </c>
      <c r="E924" t="inlineStr">
        <is>
          <t>Chaos Cerastus Knight Castigator</t>
        </is>
      </c>
      <c r="F924" t="inlineStr">
        <is>
          <t>1 model</t>
        </is>
      </c>
      <c r="G924" t="inlineStr">
        <is>
          <t>Infantry</t>
        </is>
      </c>
      <c r="L924" t="n">
        <v>370</v>
      </c>
      <c r="M924" t="inlineStr">
        <is>
          <t>Your 1st Unit Costs: 1 models = 370 pts | Your 2nd + Unit Costs: 1 models = 385 pts</t>
        </is>
      </c>
      <c r="N924" t="inlineStr">
        <is>
          <t>Added from current Munitorum Field Manual v4.1 (non-Legends)</t>
        </is>
      </c>
      <c r="O924" t="inlineStr">
        <is>
          <t>https://www.warhammer-community.com/en-gb/downloads/warhammer-40000/</t>
        </is>
      </c>
    </row>
    <row r="925">
      <c r="A925" t="inlineStr">
        <is>
          <t>Chaos Knights</t>
        </is>
      </c>
      <c r="C925" t="inlineStr">
        <is>
          <t>Infantry / Other</t>
        </is>
      </c>
      <c r="D925" t="inlineStr">
        <is>
          <t>Infantry</t>
        </is>
      </c>
      <c r="E925" t="inlineStr">
        <is>
          <t>Chaos Cerastus Knight Lancer</t>
        </is>
      </c>
      <c r="F925" t="inlineStr">
        <is>
          <t>1 model</t>
        </is>
      </c>
      <c r="G925" t="inlineStr">
        <is>
          <t>Infantry</t>
        </is>
      </c>
      <c r="L925" t="n">
        <v>395</v>
      </c>
      <c r="M925" t="inlineStr">
        <is>
          <t>Your 1st Unit Costs: 1 models = 395 pts | Your 2nd + Unit Costs: 1 models = 415 pts</t>
        </is>
      </c>
      <c r="N925" t="inlineStr">
        <is>
          <t>Added from current Munitorum Field Manual v4.1 (non-Legends)</t>
        </is>
      </c>
      <c r="O925" t="inlineStr">
        <is>
          <t>https://www.warhammer-community.com/en-gb/downloads/warhammer-40000/</t>
        </is>
      </c>
    </row>
    <row r="926">
      <c r="A926" t="inlineStr">
        <is>
          <t>Chaos Knights</t>
        </is>
      </c>
      <c r="C926" t="inlineStr">
        <is>
          <t>Infantry / Other</t>
        </is>
      </c>
      <c r="D926" t="inlineStr">
        <is>
          <t>Infantry</t>
        </is>
      </c>
      <c r="E926" t="inlineStr">
        <is>
          <t>Chaos Questoris Knight Magaera</t>
        </is>
      </c>
      <c r="F926" t="inlineStr">
        <is>
          <t>1 model</t>
        </is>
      </c>
      <c r="G926" t="inlineStr">
        <is>
          <t>Infantry</t>
        </is>
      </c>
      <c r="L926" t="n">
        <v>375</v>
      </c>
      <c r="M926" t="inlineStr">
        <is>
          <t>Your 1st Unit Costs: 1 models = 375 pts | Your 2nd + Unit Costs: 1 models = 390 pts</t>
        </is>
      </c>
      <c r="N926" t="inlineStr">
        <is>
          <t>Added from current Munitorum Field Manual v4.1 (non-Legends)</t>
        </is>
      </c>
      <c r="O926" t="inlineStr">
        <is>
          <t>https://www.warhammer-community.com/en-gb/downloads/warhammer-40000/</t>
        </is>
      </c>
    </row>
    <row r="927">
      <c r="A927" t="inlineStr">
        <is>
          <t>Chaos Knights</t>
        </is>
      </c>
      <c r="C927" t="inlineStr">
        <is>
          <t>Infantry / Other</t>
        </is>
      </c>
      <c r="D927" t="inlineStr">
        <is>
          <t>Infantry</t>
        </is>
      </c>
      <c r="E927" t="inlineStr">
        <is>
          <t>Chaos Questoris Knight Styrix</t>
        </is>
      </c>
      <c r="F927" t="inlineStr">
        <is>
          <t>1 model</t>
        </is>
      </c>
      <c r="G927" t="inlineStr">
        <is>
          <t>Infantry</t>
        </is>
      </c>
      <c r="L927" t="n">
        <v>365</v>
      </c>
      <c r="M927" t="inlineStr">
        <is>
          <t>Your 1st Unit Costs: 1 models = 365 pts | Your 2nd + Unit Costs: 1 models = 380 pts</t>
        </is>
      </c>
      <c r="N927" t="inlineStr">
        <is>
          <t>Added from current Munitorum Field Manual v4.1 (non-Legends)</t>
        </is>
      </c>
      <c r="O927" t="inlineStr">
        <is>
          <t>https://www.warhammer-community.com/en-gb/downloads/warhammer-40000/</t>
        </is>
      </c>
    </row>
    <row r="928">
      <c r="A928" t="inlineStr">
        <is>
          <t>Chaos Knights</t>
        </is>
      </c>
      <c r="C928" t="inlineStr">
        <is>
          <t>Infantry / Other</t>
        </is>
      </c>
      <c r="D928" t="inlineStr">
        <is>
          <t>Infantry</t>
        </is>
      </c>
      <c r="E928" t="inlineStr">
        <is>
          <t>Knight Ruinator</t>
        </is>
      </c>
      <c r="F928" t="inlineStr">
        <is>
          <t>1 model</t>
        </is>
      </c>
      <c r="G928" t="inlineStr">
        <is>
          <t>Infantry</t>
        </is>
      </c>
      <c r="L928" t="n">
        <v>340</v>
      </c>
      <c r="M928" t="inlineStr">
        <is>
          <t>Your 1st To 2nd Units Cost: 1 models = 340 pts | Your 3rd + Unit Costs: 1 models = 355 pts</t>
        </is>
      </c>
      <c r="N928" t="inlineStr">
        <is>
          <t>Added from current Munitorum Field Manual v4.1 (non-Legends)</t>
        </is>
      </c>
      <c r="O928" t="inlineStr">
        <is>
          <t>https://www.warhammer-community.com/en-gb/downloads/warhammer-40000/</t>
        </is>
      </c>
    </row>
    <row r="929">
      <c r="A929" t="inlineStr">
        <is>
          <t>Chaos Knights</t>
        </is>
      </c>
      <c r="C929" t="inlineStr">
        <is>
          <t>Infantry / Other</t>
        </is>
      </c>
      <c r="D929" t="inlineStr">
        <is>
          <t>Infantry</t>
        </is>
      </c>
      <c r="E929" t="inlineStr">
        <is>
          <t>War Dog Moirax</t>
        </is>
      </c>
      <c r="F929" t="inlineStr">
        <is>
          <t>1 model</t>
        </is>
      </c>
      <c r="G929" t="inlineStr">
        <is>
          <t>Infantry</t>
        </is>
      </c>
      <c r="L929" t="n">
        <v>150</v>
      </c>
      <c r="M929" t="inlineStr">
        <is>
          <t>Your 1st To 2nd Units Cost: 1 models = 150 pts | Your 3rd + Unit Costs: 1 models = 160 pts</t>
        </is>
      </c>
      <c r="N929" t="inlineStr">
        <is>
          <t>Added from current Munitorum Field Manual v4.1 (non-Legends)</t>
        </is>
      </c>
      <c r="O929" t="inlineStr">
        <is>
          <t>https://www.warhammer-community.com/en-gb/downloads/warhammer-40000/</t>
        </is>
      </c>
    </row>
    <row r="930">
      <c r="A930" t="inlineStr">
        <is>
          <t>Chaos Space Marines</t>
        </is>
      </c>
      <c r="C930" t="inlineStr">
        <is>
          <t>Character</t>
        </is>
      </c>
      <c r="D930" t="inlineStr">
        <is>
          <t>Character</t>
        </is>
      </c>
      <c r="E930" t="inlineStr">
        <is>
          <t>Chaos Lord With Jump Pack</t>
        </is>
      </c>
      <c r="F930" t="inlineStr">
        <is>
          <t>1 model</t>
        </is>
      </c>
      <c r="G930" t="inlineStr">
        <is>
          <t>Character</t>
        </is>
      </c>
      <c r="L930" t="n">
        <v>90</v>
      </c>
      <c r="N930" t="inlineStr">
        <is>
          <t>Added from current Munitorum Field Manual v4.1 (non-Legends)</t>
        </is>
      </c>
      <c r="O930" t="inlineStr">
        <is>
          <t>https://www.warhammer-community.com/en-gb/downloads/warhammer-40000/</t>
        </is>
      </c>
    </row>
    <row r="931">
      <c r="A931" t="inlineStr">
        <is>
          <t>Chaos Space Marines</t>
        </is>
      </c>
      <c r="C931" t="inlineStr">
        <is>
          <t>Character</t>
        </is>
      </c>
      <c r="D931" t="inlineStr">
        <is>
          <t>Character</t>
        </is>
      </c>
      <c r="E931" t="inlineStr">
        <is>
          <t>Cultist Firebrand</t>
        </is>
      </c>
      <c r="F931" t="inlineStr">
        <is>
          <t>1 model</t>
        </is>
      </c>
      <c r="G931" t="inlineStr">
        <is>
          <t>Character</t>
        </is>
      </c>
      <c r="L931" t="n">
        <v>45</v>
      </c>
      <c r="M931" t="inlineStr">
        <is>
          <t>Your 1st To 2nd Units Cost: 1 models = 45 pts | Your 3rd + Unit Costs: 1 models = 50 pts</t>
        </is>
      </c>
      <c r="N931" t="inlineStr">
        <is>
          <t>Added from current Munitorum Field Manual v4.1 (non-Legends)</t>
        </is>
      </c>
      <c r="O931" t="inlineStr">
        <is>
          <t>https://www.warhammer-community.com/en-gb/downloads/warhammer-40000/</t>
        </is>
      </c>
    </row>
    <row r="932">
      <c r="A932" t="inlineStr">
        <is>
          <t>Chaos Space Marines</t>
        </is>
      </c>
      <c r="C932" t="inlineStr">
        <is>
          <t>Character</t>
        </is>
      </c>
      <c r="D932" t="inlineStr">
        <is>
          <t>Character</t>
        </is>
      </c>
      <c r="E932" t="inlineStr">
        <is>
          <t>Fabius Bile</t>
        </is>
      </c>
      <c r="F932" t="inlineStr">
        <is>
          <t>2 models</t>
        </is>
      </c>
      <c r="G932" t="inlineStr">
        <is>
          <t>Character</t>
        </is>
      </c>
      <c r="L932" t="n">
        <v>100</v>
      </c>
      <c r="N932" t="inlineStr">
        <is>
          <t>Added from current Munitorum Field Manual v4.1 (non-Legends)</t>
        </is>
      </c>
      <c r="O932" t="inlineStr">
        <is>
          <t>https://www.warhammer-community.com/en-gb/downloads/warhammer-40000/</t>
        </is>
      </c>
    </row>
    <row r="933">
      <c r="A933" t="inlineStr">
        <is>
          <t>Chaos Space Marines</t>
        </is>
      </c>
      <c r="C933" t="inlineStr">
        <is>
          <t>Infantry / Other</t>
        </is>
      </c>
      <c r="D933" t="inlineStr">
        <is>
          <t>Beast / Swarm</t>
        </is>
      </c>
      <c r="E933" t="inlineStr">
        <is>
          <t>Fellgor Beastmen</t>
        </is>
      </c>
      <c r="F933" t="inlineStr">
        <is>
          <t>10 models</t>
        </is>
      </c>
      <c r="G933" t="inlineStr">
        <is>
          <t>Beast / Swarm</t>
        </is>
      </c>
      <c r="L933" t="n">
        <v>60</v>
      </c>
      <c r="N933" t="inlineStr">
        <is>
          <t>Added from current Munitorum Field Manual v4.1 (non-Legends)</t>
        </is>
      </c>
      <c r="O933" t="inlineStr">
        <is>
          <t>https://www.warhammer-community.com/en-gb/downloads/warhammer-40000/</t>
        </is>
      </c>
    </row>
    <row r="934">
      <c r="A934" t="inlineStr">
        <is>
          <t>Chaos Space Marines</t>
        </is>
      </c>
      <c r="C934" t="inlineStr">
        <is>
          <t>Character</t>
        </is>
      </c>
      <c r="D934" t="inlineStr">
        <is>
          <t>Character</t>
        </is>
      </c>
      <c r="E934" t="inlineStr">
        <is>
          <t>Kravek Morne</t>
        </is>
      </c>
      <c r="F934" t="inlineStr">
        <is>
          <t>1 model</t>
        </is>
      </c>
      <c r="G934" t="inlineStr">
        <is>
          <t>Character</t>
        </is>
      </c>
      <c r="L934" t="n">
        <v>120</v>
      </c>
      <c r="N934" t="inlineStr">
        <is>
          <t>Added from current Munitorum Field Manual v4.1 (non-Legends)</t>
        </is>
      </c>
      <c r="O934" t="inlineStr">
        <is>
          <t>https://www.warhammer-community.com/en-gb/downloads/warhammer-40000/</t>
        </is>
      </c>
    </row>
    <row r="935">
      <c r="A935" t="inlineStr">
        <is>
          <t>Chaos Space Marines</t>
        </is>
      </c>
      <c r="C935" t="inlineStr">
        <is>
          <t>Character</t>
        </is>
      </c>
      <c r="D935" t="inlineStr">
        <is>
          <t>Character</t>
        </is>
      </c>
      <c r="E935" t="inlineStr">
        <is>
          <t>Masters Of The Maelstrom</t>
        </is>
      </c>
      <c r="F935" t="inlineStr">
        <is>
          <t>5 models</t>
        </is>
      </c>
      <c r="G935" t="inlineStr">
        <is>
          <t>Character</t>
        </is>
      </c>
      <c r="L935" t="n">
        <v>135</v>
      </c>
      <c r="N935" t="inlineStr">
        <is>
          <t>Added from current Munitorum Field Manual v4.1 (non-Legends)</t>
        </is>
      </c>
      <c r="O935" t="inlineStr">
        <is>
          <t>https://www.warhammer-community.com/en-gb/downloads/warhammer-40000/</t>
        </is>
      </c>
    </row>
    <row r="936">
      <c r="A936" t="inlineStr">
        <is>
          <t>Chaos Space Marines</t>
        </is>
      </c>
      <c r="C936" t="inlineStr">
        <is>
          <t>Infantry / Other</t>
        </is>
      </c>
      <c r="D936" t="inlineStr">
        <is>
          <t>Infantry</t>
        </is>
      </c>
      <c r="E936" t="inlineStr">
        <is>
          <t>Mutilators</t>
        </is>
      </c>
      <c r="F936" t="inlineStr">
        <is>
          <t>3 models</t>
        </is>
      </c>
      <c r="G936" t="inlineStr">
        <is>
          <t>Infantry</t>
        </is>
      </c>
      <c r="L936" t="n">
        <v>180</v>
      </c>
      <c r="M936" t="inlineStr">
        <is>
          <t>Your 1st To 2nd Units Cost: 3 models = 180 pts | Your 3rd + Unit Costs: 3 models = 190 pts</t>
        </is>
      </c>
      <c r="N936" t="inlineStr">
        <is>
          <t>Added from current Munitorum Field Manual v4.1 (non-Legends)</t>
        </is>
      </c>
      <c r="O936" t="inlineStr">
        <is>
          <t>https://www.warhammer-community.com/en-gb/downloads/warhammer-40000/</t>
        </is>
      </c>
    </row>
    <row r="937">
      <c r="A937" t="inlineStr">
        <is>
          <t>Chaos Space Marines</t>
        </is>
      </c>
      <c r="C937" t="inlineStr">
        <is>
          <t>Vehicle / Support</t>
        </is>
      </c>
      <c r="D937" t="inlineStr">
        <is>
          <t>Vehicle</t>
        </is>
      </c>
      <c r="E937" t="inlineStr">
        <is>
          <t>Noctilith Crown</t>
        </is>
      </c>
      <c r="F937" t="inlineStr">
        <is>
          <t>1 model</t>
        </is>
      </c>
      <c r="G937" t="inlineStr">
        <is>
          <t>Vehicle</t>
        </is>
      </c>
      <c r="L937" t="n">
        <v>125</v>
      </c>
      <c r="N937" t="inlineStr">
        <is>
          <t>Added from current Munitorum Field Manual v4.1 (non-Legends)</t>
        </is>
      </c>
      <c r="O937" t="inlineStr">
        <is>
          <t>https://www.warhammer-community.com/en-gb/downloads/warhammer-40000/</t>
        </is>
      </c>
    </row>
    <row r="938">
      <c r="A938" t="inlineStr">
        <is>
          <t>Chaos Space Marines</t>
        </is>
      </c>
      <c r="C938" t="inlineStr">
        <is>
          <t>Vehicle / Support</t>
        </is>
      </c>
      <c r="D938" t="inlineStr">
        <is>
          <t>Vehicle</t>
        </is>
      </c>
      <c r="E938" t="inlineStr">
        <is>
          <t>Red Corsairs Raiders</t>
        </is>
      </c>
      <c r="F938" t="inlineStr">
        <is>
          <t>5 models</t>
        </is>
      </c>
      <c r="G938" t="inlineStr">
        <is>
          <t>Vehicle</t>
        </is>
      </c>
      <c r="L938" t="n">
        <v>110</v>
      </c>
      <c r="M938" t="inlineStr">
        <is>
          <t>Your 1st To 2nd Units Cost: 5 models = 110 pts; 10 models = 210 pts | Your 3rd + Unit Costs: 5 models = 120 pts; 10 models = 220 pts</t>
        </is>
      </c>
      <c r="N938" t="inlineStr">
        <is>
          <t>Added from current Munitorum Field Manual v4.1 (non-Legends)</t>
        </is>
      </c>
      <c r="O938" t="inlineStr">
        <is>
          <t>https://www.warhammer-community.com/en-gb/downloads/warhammer-40000/</t>
        </is>
      </c>
    </row>
    <row r="939">
      <c r="A939" t="inlineStr">
        <is>
          <t>Chaos Space Marines</t>
        </is>
      </c>
      <c r="C939" t="inlineStr">
        <is>
          <t>Character</t>
        </is>
      </c>
      <c r="D939" t="inlineStr">
        <is>
          <t>Character</t>
        </is>
      </c>
      <c r="E939" t="inlineStr">
        <is>
          <t>Red Corsairs Reave-Captain</t>
        </is>
      </c>
      <c r="F939" t="inlineStr">
        <is>
          <t>1 model</t>
        </is>
      </c>
      <c r="G939" t="inlineStr">
        <is>
          <t>Character</t>
        </is>
      </c>
      <c r="L939" t="n">
        <v>70</v>
      </c>
      <c r="N939" t="inlineStr">
        <is>
          <t>Added from current Munitorum Field Manual v4.1 (non-Legends)</t>
        </is>
      </c>
      <c r="O939" t="inlineStr">
        <is>
          <t>https://www.warhammer-community.com/en-gb/downloads/warhammer-40000/</t>
        </is>
      </c>
    </row>
    <row r="940">
      <c r="A940" t="inlineStr">
        <is>
          <t>Chaos Space Marines</t>
        </is>
      </c>
      <c r="C940" t="inlineStr">
        <is>
          <t>Character</t>
        </is>
      </c>
      <c r="D940" t="inlineStr">
        <is>
          <t>Character</t>
        </is>
      </c>
      <c r="E940" t="inlineStr">
        <is>
          <t>Traitor Enforcer</t>
        </is>
      </c>
      <c r="F940" t="inlineStr">
        <is>
          <t>2 models</t>
        </is>
      </c>
      <c r="G940" t="inlineStr">
        <is>
          <t>Character</t>
        </is>
      </c>
      <c r="L940" t="n">
        <v>70</v>
      </c>
      <c r="N940" t="inlineStr">
        <is>
          <t>Added from current Munitorum Field Manual v4.1 (non-Legends)</t>
        </is>
      </c>
      <c r="O940" t="inlineStr">
        <is>
          <t>https://www.warhammer-community.com/en-gb/downloads/warhammer-40000/</t>
        </is>
      </c>
    </row>
    <row r="941">
      <c r="A941" t="inlineStr">
        <is>
          <t>Chaos Titan Legions</t>
        </is>
      </c>
      <c r="C941" t="inlineStr">
        <is>
          <t>Vehicle / Support</t>
        </is>
      </c>
      <c r="D941" t="inlineStr">
        <is>
          <t>Vehicle</t>
        </is>
      </c>
      <c r="E941" t="inlineStr">
        <is>
          <t>Chaos Reaver Titan</t>
        </is>
      </c>
      <c r="F941" t="inlineStr">
        <is>
          <t>1 model</t>
        </is>
      </c>
      <c r="G941" t="inlineStr">
        <is>
          <t>Vehicle</t>
        </is>
      </c>
      <c r="L941" t="n">
        <v>2200</v>
      </c>
      <c r="N941" t="inlineStr">
        <is>
          <t>Added from current Munitorum Field Manual v4.1 (non-Legends)</t>
        </is>
      </c>
      <c r="O941" t="inlineStr">
        <is>
          <t>https://www.warhammer-community.com/en-gb/downloads/warhammer-40000/</t>
        </is>
      </c>
    </row>
    <row r="942">
      <c r="A942" t="inlineStr">
        <is>
          <t>Chaos Titan Legions</t>
        </is>
      </c>
      <c r="C942" t="inlineStr">
        <is>
          <t>Vehicle / Support</t>
        </is>
      </c>
      <c r="D942" t="inlineStr">
        <is>
          <t>Vehicle</t>
        </is>
      </c>
      <c r="E942" t="inlineStr">
        <is>
          <t>Chaos Warbringer Nemesis Titan</t>
        </is>
      </c>
      <c r="F942" t="inlineStr">
        <is>
          <t>1 model</t>
        </is>
      </c>
      <c r="G942" t="inlineStr">
        <is>
          <t>Vehicle</t>
        </is>
      </c>
      <c r="L942" t="n">
        <v>2600</v>
      </c>
      <c r="N942" t="inlineStr">
        <is>
          <t>Added from current Munitorum Field Manual v4.1 (non-Legends)</t>
        </is>
      </c>
      <c r="O942" t="inlineStr">
        <is>
          <t>https://www.warhammer-community.com/en-gb/downloads/warhammer-40000/</t>
        </is>
      </c>
    </row>
    <row r="943">
      <c r="A943" t="inlineStr">
        <is>
          <t>Chaos Titan Legions</t>
        </is>
      </c>
      <c r="C943" t="inlineStr">
        <is>
          <t>Vehicle / Support</t>
        </is>
      </c>
      <c r="D943" t="inlineStr">
        <is>
          <t>Vehicle</t>
        </is>
      </c>
      <c r="E943" t="inlineStr">
        <is>
          <t>Chaos Warhound Titan</t>
        </is>
      </c>
      <c r="F943" t="inlineStr">
        <is>
          <t>1 model</t>
        </is>
      </c>
      <c r="G943" t="inlineStr">
        <is>
          <t>Vehicle</t>
        </is>
      </c>
      <c r="L943" t="n">
        <v>1100</v>
      </c>
      <c r="N943" t="inlineStr">
        <is>
          <t>Added from current Munitorum Field Manual v4.1 (non-Legends)</t>
        </is>
      </c>
      <c r="O943" t="inlineStr">
        <is>
          <t>https://www.warhammer-community.com/en-gb/downloads/warhammer-40000/</t>
        </is>
      </c>
    </row>
    <row r="944">
      <c r="A944" t="inlineStr">
        <is>
          <t>Chaos Titan Legions</t>
        </is>
      </c>
      <c r="C944" t="inlineStr">
        <is>
          <t>Character</t>
        </is>
      </c>
      <c r="D944" t="inlineStr">
        <is>
          <t>Character</t>
        </is>
      </c>
      <c r="E944" t="inlineStr">
        <is>
          <t>Chaos Warlord Titan</t>
        </is>
      </c>
      <c r="F944" t="inlineStr">
        <is>
          <t>1 model</t>
        </is>
      </c>
      <c r="G944" t="inlineStr">
        <is>
          <t>Character</t>
        </is>
      </c>
      <c r="L944" t="n">
        <v>3500</v>
      </c>
      <c r="N944" t="inlineStr">
        <is>
          <t>Added from current Munitorum Field Manual v4.1 (non-Legends)</t>
        </is>
      </c>
      <c r="O944" t="inlineStr">
        <is>
          <t>https://www.warhammer-community.com/en-gb/downloads/warhammer-40000/</t>
        </is>
      </c>
    </row>
    <row r="945">
      <c r="A945" t="inlineStr">
        <is>
          <t>Dark Angels</t>
        </is>
      </c>
      <c r="B945" t="inlineStr">
        <is>
          <t>Dark Angels</t>
        </is>
      </c>
      <c r="C945" t="inlineStr">
        <is>
          <t>Character</t>
        </is>
      </c>
      <c r="D945" t="inlineStr">
        <is>
          <t>Character</t>
        </is>
      </c>
      <c r="E945" t="inlineStr">
        <is>
          <t>Lazarus</t>
        </is>
      </c>
      <c r="F945" t="inlineStr">
        <is>
          <t>1 model</t>
        </is>
      </c>
      <c r="G945" t="inlineStr">
        <is>
          <t>Character</t>
        </is>
      </c>
      <c r="L945" t="n">
        <v>70</v>
      </c>
      <c r="N945" t="inlineStr">
        <is>
          <t>Added from current Munitorum Field Manual v4.1 (non-Legends)</t>
        </is>
      </c>
      <c r="O945" t="inlineStr">
        <is>
          <t>https://www.warhammer-community.com/en-gb/downloads/warhammer-40000/</t>
        </is>
      </c>
    </row>
    <row r="946">
      <c r="A946" t="inlineStr">
        <is>
          <t>Dark Angels</t>
        </is>
      </c>
      <c r="B946" t="inlineStr">
        <is>
          <t>Dark Angels</t>
        </is>
      </c>
      <c r="C946" t="inlineStr">
        <is>
          <t>Vehicle / Support</t>
        </is>
      </c>
      <c r="D946" t="inlineStr">
        <is>
          <t>Vehicle</t>
        </is>
      </c>
      <c r="E946" t="inlineStr">
        <is>
          <t>Nephilim Jetfighter</t>
        </is>
      </c>
      <c r="F946" t="inlineStr">
        <is>
          <t>1 model</t>
        </is>
      </c>
      <c r="G946" t="inlineStr">
        <is>
          <t>Vehicle</t>
        </is>
      </c>
      <c r="L946" t="n">
        <v>195</v>
      </c>
      <c r="N946" t="inlineStr">
        <is>
          <t>Added from current Munitorum Field Manual v4.1 (non-Legends)</t>
        </is>
      </c>
      <c r="O946" t="inlineStr">
        <is>
          <t>https://www.warhammer-community.com/en-gb/downloads/warhammer-40000/</t>
        </is>
      </c>
    </row>
    <row r="947">
      <c r="A947" t="inlineStr">
        <is>
          <t>Dark Angels</t>
        </is>
      </c>
      <c r="B947" t="inlineStr">
        <is>
          <t>Dark Angels</t>
        </is>
      </c>
      <c r="C947" t="inlineStr">
        <is>
          <t>Infantry / Other</t>
        </is>
      </c>
      <c r="D947" t="inlineStr">
        <is>
          <t>Infantry</t>
        </is>
      </c>
      <c r="E947" t="inlineStr">
        <is>
          <t>Ravenwing Dark Talon</t>
        </is>
      </c>
      <c r="F947" t="inlineStr">
        <is>
          <t>1 model</t>
        </is>
      </c>
      <c r="G947" t="inlineStr">
        <is>
          <t>Infantry</t>
        </is>
      </c>
      <c r="L947" t="n">
        <v>200</v>
      </c>
      <c r="N947" t="inlineStr">
        <is>
          <t>Added from current Munitorum Field Manual v4.1 (non-Legends)</t>
        </is>
      </c>
      <c r="O947" t="inlineStr">
        <is>
          <t>https://www.warhammer-community.com/en-gb/downloads/warhammer-40000/</t>
        </is>
      </c>
    </row>
    <row r="948">
      <c r="A948" t="inlineStr">
        <is>
          <t>Death Guard</t>
        </is>
      </c>
      <c r="C948" t="inlineStr">
        <is>
          <t>Infantry / Other</t>
        </is>
      </c>
      <c r="D948" t="inlineStr">
        <is>
          <t>Beast / Swarm</t>
        </is>
      </c>
      <c r="E948" t="inlineStr">
        <is>
          <t>Beasts Of Nurgle</t>
        </is>
      </c>
      <c r="F948" t="inlineStr">
        <is>
          <t>1 model</t>
        </is>
      </c>
      <c r="G948" t="inlineStr">
        <is>
          <t>Beast / Swarm</t>
        </is>
      </c>
      <c r="L948" t="n">
        <v>70</v>
      </c>
      <c r="N948" t="inlineStr">
        <is>
          <t>Added from current Munitorum Field Manual v4.1 (non-Legends)</t>
        </is>
      </c>
      <c r="O948" t="inlineStr">
        <is>
          <t>https://www.warhammer-community.com/en-gb/downloads/warhammer-40000/</t>
        </is>
      </c>
    </row>
    <row r="949">
      <c r="A949" t="inlineStr">
        <is>
          <t>Death Guard</t>
        </is>
      </c>
      <c r="C949" t="inlineStr">
        <is>
          <t>Vehicle / Support</t>
        </is>
      </c>
      <c r="D949" t="inlineStr">
        <is>
          <t>Vehicle</t>
        </is>
      </c>
      <c r="E949" t="inlineStr">
        <is>
          <t>Chaos Land Raider</t>
        </is>
      </c>
      <c r="F949" t="inlineStr">
        <is>
          <t>1 model</t>
        </is>
      </c>
      <c r="G949" t="inlineStr">
        <is>
          <t>Vehicle</t>
        </is>
      </c>
      <c r="L949" t="n">
        <v>220</v>
      </c>
      <c r="M949" t="inlineStr">
        <is>
          <t>Your 1st To 2nd Units Cost: 1 models = 220 pts | Your 3rd + Unit Costs: 1 models = 240 pts</t>
        </is>
      </c>
      <c r="N949" t="inlineStr">
        <is>
          <t>Added from current Munitorum Field Manual v4.1 (non-Legends)</t>
        </is>
      </c>
      <c r="O949" t="inlineStr">
        <is>
          <t>https://www.warhammer-community.com/en-gb/downloads/warhammer-40000/</t>
        </is>
      </c>
    </row>
    <row r="950">
      <c r="A950" t="inlineStr">
        <is>
          <t>Death Guard</t>
        </is>
      </c>
      <c r="C950" t="inlineStr">
        <is>
          <t>Vehicle / Support</t>
        </is>
      </c>
      <c r="D950" t="inlineStr">
        <is>
          <t>Vehicle</t>
        </is>
      </c>
      <c r="E950" t="inlineStr">
        <is>
          <t>Chaos Predator Annihilator</t>
        </is>
      </c>
      <c r="F950" t="inlineStr">
        <is>
          <t>1 model</t>
        </is>
      </c>
      <c r="G950" t="inlineStr">
        <is>
          <t>Vehicle</t>
        </is>
      </c>
      <c r="L950" t="n">
        <v>135</v>
      </c>
      <c r="M950" t="inlineStr">
        <is>
          <t>Your 1st To 2nd Units Cost: 1 models = 135 pts | Your 3rd + Unit Costs: 1 models = 145 pts</t>
        </is>
      </c>
      <c r="N950" t="inlineStr">
        <is>
          <t>Added from current Munitorum Field Manual v4.1 (non-Legends)</t>
        </is>
      </c>
      <c r="O950" t="inlineStr">
        <is>
          <t>https://www.warhammer-community.com/en-gb/downloads/warhammer-40000/</t>
        </is>
      </c>
    </row>
    <row r="951">
      <c r="A951" t="inlineStr">
        <is>
          <t>Death Guard</t>
        </is>
      </c>
      <c r="C951" t="inlineStr">
        <is>
          <t>Vehicle / Support</t>
        </is>
      </c>
      <c r="D951" t="inlineStr">
        <is>
          <t>Vehicle</t>
        </is>
      </c>
      <c r="E951" t="inlineStr">
        <is>
          <t>Chaos Predator Destructor</t>
        </is>
      </c>
      <c r="F951" t="inlineStr">
        <is>
          <t>1 model</t>
        </is>
      </c>
      <c r="G951" t="inlineStr">
        <is>
          <t>Vehicle</t>
        </is>
      </c>
      <c r="L951" t="n">
        <v>145</v>
      </c>
      <c r="M951" t="inlineStr">
        <is>
          <t>Your 1st To 2nd Units Cost: 1 models = 145 pts | Your 3rd + Unit Costs: 1 models = 155 pts</t>
        </is>
      </c>
      <c r="N951" t="inlineStr">
        <is>
          <t>Added from current Munitorum Field Manual v4.1 (non-Legends)</t>
        </is>
      </c>
      <c r="O951" t="inlineStr">
        <is>
          <t>https://www.warhammer-community.com/en-gb/downloads/warhammer-40000/</t>
        </is>
      </c>
    </row>
    <row r="952">
      <c r="A952" t="inlineStr">
        <is>
          <t>Death Guard</t>
        </is>
      </c>
      <c r="C952" t="inlineStr">
        <is>
          <t>Vehicle / Support</t>
        </is>
      </c>
      <c r="D952" t="inlineStr">
        <is>
          <t>Vehicle</t>
        </is>
      </c>
      <c r="E952" t="inlineStr">
        <is>
          <t>Chaos Rhino</t>
        </is>
      </c>
      <c r="F952" t="inlineStr">
        <is>
          <t>1 model</t>
        </is>
      </c>
      <c r="G952" t="inlineStr">
        <is>
          <t>Vehicle</t>
        </is>
      </c>
      <c r="L952" t="n">
        <v>85</v>
      </c>
      <c r="N952" t="inlineStr">
        <is>
          <t>Added from current Munitorum Field Manual v4.1 (non-Legends)</t>
        </is>
      </c>
      <c r="O952" t="inlineStr">
        <is>
          <t>https://www.warhammer-community.com/en-gb/downloads/warhammer-40000/</t>
        </is>
      </c>
    </row>
    <row r="953">
      <c r="A953" t="inlineStr">
        <is>
          <t>Death Guard</t>
        </is>
      </c>
      <c r="C953" t="inlineStr">
        <is>
          <t>Monster / Support</t>
        </is>
      </c>
      <c r="D953" t="inlineStr">
        <is>
          <t>Monster</t>
        </is>
      </c>
      <c r="E953" t="inlineStr">
        <is>
          <t>Daemon Prince Of Nurgle</t>
        </is>
      </c>
      <c r="F953" t="inlineStr">
        <is>
          <t>1 model</t>
        </is>
      </c>
      <c r="G953" t="inlineStr">
        <is>
          <t>Monster</t>
        </is>
      </c>
      <c r="L953" t="n">
        <v>195</v>
      </c>
      <c r="N953" t="inlineStr">
        <is>
          <t>Added from current Munitorum Field Manual v4.1 (non-Legends)</t>
        </is>
      </c>
      <c r="O953" t="inlineStr">
        <is>
          <t>https://www.warhammer-community.com/en-gb/downloads/warhammer-40000/</t>
        </is>
      </c>
    </row>
    <row r="954">
      <c r="A954" t="inlineStr">
        <is>
          <t>Death Guard</t>
        </is>
      </c>
      <c r="C954" t="inlineStr">
        <is>
          <t>Monster / Support</t>
        </is>
      </c>
      <c r="D954" t="inlineStr">
        <is>
          <t>Monster</t>
        </is>
      </c>
      <c r="E954" t="inlineStr">
        <is>
          <t>Daemon Prince Of Nurgle With Wings</t>
        </is>
      </c>
      <c r="F954" t="inlineStr">
        <is>
          <t>1 model</t>
        </is>
      </c>
      <c r="G954" t="inlineStr">
        <is>
          <t>Monster</t>
        </is>
      </c>
      <c r="L954" t="n">
        <v>170</v>
      </c>
      <c r="N954" t="inlineStr">
        <is>
          <t>Added from current Munitorum Field Manual v4.1 (non-Legends)</t>
        </is>
      </c>
      <c r="O954" t="inlineStr">
        <is>
          <t>https://www.warhammer-community.com/en-gb/downloads/warhammer-40000/</t>
        </is>
      </c>
    </row>
    <row r="955">
      <c r="A955" t="inlineStr">
        <is>
          <t>Death Guard</t>
        </is>
      </c>
      <c r="C955" t="inlineStr">
        <is>
          <t>Infantry / Other</t>
        </is>
      </c>
      <c r="D955" t="inlineStr">
        <is>
          <t>Infantry</t>
        </is>
      </c>
      <c r="E955" t="inlineStr">
        <is>
          <t>Foetid Bloat-Drone With Heavy Blight Launcher</t>
        </is>
      </c>
      <c r="F955" t="inlineStr">
        <is>
          <t>1 model</t>
        </is>
      </c>
      <c r="G955" t="inlineStr">
        <is>
          <t>Infantry</t>
        </is>
      </c>
      <c r="L955" t="n">
        <v>125</v>
      </c>
      <c r="M955" t="inlineStr">
        <is>
          <t>Your 1st To 2nd Units Cost: 1 models = 125 pts | Your 3rd + Unit Costs: 1 models = 135 pts</t>
        </is>
      </c>
      <c r="N955" t="inlineStr">
        <is>
          <t>Added from current Munitorum Field Manual v4.1 (non-Legends)</t>
        </is>
      </c>
      <c r="O955" t="inlineStr">
        <is>
          <t>https://www.warhammer-community.com/en-gb/downloads/warhammer-40000/</t>
        </is>
      </c>
    </row>
    <row r="956">
      <c r="A956" t="inlineStr">
        <is>
          <t>Death Guard</t>
        </is>
      </c>
      <c r="C956" t="inlineStr">
        <is>
          <t>Monster / Support</t>
        </is>
      </c>
      <c r="D956" t="inlineStr">
        <is>
          <t>Monster</t>
        </is>
      </c>
      <c r="E956" t="inlineStr">
        <is>
          <t>Great Unclean One</t>
        </is>
      </c>
      <c r="F956" t="inlineStr">
        <is>
          <t>1 model</t>
        </is>
      </c>
      <c r="G956" t="inlineStr">
        <is>
          <t>Monster</t>
        </is>
      </c>
      <c r="L956" t="n">
        <v>265</v>
      </c>
      <c r="M956" t="inlineStr">
        <is>
          <t>Your 1st To 2nd Units Cost: 1 models = 265 pts | Your 3rd + Unit Costs: 1 models = 280 pts</t>
        </is>
      </c>
      <c r="N956" t="inlineStr">
        <is>
          <t>Added from current Munitorum Field Manual v4.1 (non-Legends)</t>
        </is>
      </c>
      <c r="O956" t="inlineStr">
        <is>
          <t>https://www.warhammer-community.com/en-gb/downloads/warhammer-40000/</t>
        </is>
      </c>
    </row>
    <row r="957">
      <c r="A957" t="inlineStr">
        <is>
          <t>Death Guard</t>
        </is>
      </c>
      <c r="C957" t="inlineStr">
        <is>
          <t>Character</t>
        </is>
      </c>
      <c r="D957" t="inlineStr">
        <is>
          <t>Character</t>
        </is>
      </c>
      <c r="E957" t="inlineStr">
        <is>
          <t>Lord Of Poxes</t>
        </is>
      </c>
      <c r="F957" t="inlineStr">
        <is>
          <t>1 model</t>
        </is>
      </c>
      <c r="G957" t="inlineStr">
        <is>
          <t>Character</t>
        </is>
      </c>
      <c r="L957" t="n">
        <v>65</v>
      </c>
      <c r="N957" t="inlineStr">
        <is>
          <t>Added from current Munitorum Field Manual v4.1 (non-Legends)</t>
        </is>
      </c>
      <c r="O957" t="inlineStr">
        <is>
          <t>https://www.warhammer-community.com/en-gb/downloads/warhammer-40000/</t>
        </is>
      </c>
    </row>
    <row r="958">
      <c r="A958" t="inlineStr">
        <is>
          <t>Death Guard</t>
        </is>
      </c>
      <c r="C958" t="inlineStr">
        <is>
          <t>Infantry / Other</t>
        </is>
      </c>
      <c r="D958" t="inlineStr">
        <is>
          <t>Beast / Swarm</t>
        </is>
      </c>
      <c r="E958" t="inlineStr">
        <is>
          <t>Nurglings</t>
        </is>
      </c>
      <c r="F958" t="inlineStr">
        <is>
          <t>3 models</t>
        </is>
      </c>
      <c r="G958" t="inlineStr">
        <is>
          <t>Beast / Swarm</t>
        </is>
      </c>
      <c r="L958" t="n">
        <v>45</v>
      </c>
      <c r="N958" t="inlineStr">
        <is>
          <t>Added from current Munitorum Field Manual v4.1 (non-Legends)</t>
        </is>
      </c>
      <c r="O958" t="inlineStr">
        <is>
          <t>https://www.warhammer-community.com/en-gb/downloads/warhammer-40000/</t>
        </is>
      </c>
    </row>
    <row r="959">
      <c r="A959" t="inlineStr">
        <is>
          <t>Death Guard</t>
        </is>
      </c>
      <c r="C959" t="inlineStr">
        <is>
          <t>Infantry / Other</t>
        </is>
      </c>
      <c r="D959" t="inlineStr">
        <is>
          <t>Infantry</t>
        </is>
      </c>
      <c r="E959" t="inlineStr">
        <is>
          <t>Plague Drones</t>
        </is>
      </c>
      <c r="F959" t="inlineStr">
        <is>
          <t>3 models</t>
        </is>
      </c>
      <c r="G959" t="inlineStr">
        <is>
          <t>Infantry</t>
        </is>
      </c>
      <c r="L959" t="n">
        <v>110</v>
      </c>
      <c r="N959" t="inlineStr">
        <is>
          <t>Added from current Munitorum Field Manual v4.1 (non-Legends)</t>
        </is>
      </c>
      <c r="O959" t="inlineStr">
        <is>
          <t>https://www.warhammer-community.com/en-gb/downloads/warhammer-40000/</t>
        </is>
      </c>
    </row>
    <row r="960">
      <c r="A960" t="inlineStr">
        <is>
          <t>Death Guard</t>
        </is>
      </c>
      <c r="C960" t="inlineStr">
        <is>
          <t>Infantry / Other</t>
        </is>
      </c>
      <c r="D960" t="inlineStr">
        <is>
          <t>Infantry</t>
        </is>
      </c>
      <c r="E960" t="inlineStr">
        <is>
          <t>Plaguebearers</t>
        </is>
      </c>
      <c r="F960" t="inlineStr">
        <is>
          <t>10 models</t>
        </is>
      </c>
      <c r="G960" t="inlineStr">
        <is>
          <t>Infantry</t>
        </is>
      </c>
      <c r="L960" t="n">
        <v>115</v>
      </c>
      <c r="N960" t="inlineStr">
        <is>
          <t>Added from current Munitorum Field Manual v4.1 (non-Legends)</t>
        </is>
      </c>
      <c r="O960" t="inlineStr">
        <is>
          <t>https://www.warhammer-community.com/en-gb/downloads/warhammer-40000/</t>
        </is>
      </c>
    </row>
    <row r="961">
      <c r="A961" t="inlineStr">
        <is>
          <t>Death Guard</t>
        </is>
      </c>
      <c r="C961" t="inlineStr">
        <is>
          <t>Monster / Support</t>
        </is>
      </c>
      <c r="D961" t="inlineStr">
        <is>
          <t>Monster</t>
        </is>
      </c>
      <c r="E961" t="inlineStr">
        <is>
          <t>Rotigus</t>
        </is>
      </c>
      <c r="F961" t="inlineStr">
        <is>
          <t>1 model</t>
        </is>
      </c>
      <c r="G961" t="inlineStr">
        <is>
          <t>Monster</t>
        </is>
      </c>
      <c r="L961" t="n">
        <v>280</v>
      </c>
      <c r="N961" t="inlineStr">
        <is>
          <t>Added from current Munitorum Field Manual v4.1 (non-Legends)</t>
        </is>
      </c>
      <c r="O961" t="inlineStr">
        <is>
          <t>https://www.warhammer-community.com/en-gb/downloads/warhammer-40000/</t>
        </is>
      </c>
    </row>
    <row r="962">
      <c r="A962" t="inlineStr">
        <is>
          <t>Deathwatch</t>
        </is>
      </c>
      <c r="B962" t="inlineStr">
        <is>
          <t>Deathwatch</t>
        </is>
      </c>
      <c r="C962" t="inlineStr">
        <is>
          <t>Infantry / Other</t>
        </is>
      </c>
      <c r="D962" t="inlineStr">
        <is>
          <t>Infantry</t>
        </is>
      </c>
      <c r="E962" t="inlineStr">
        <is>
          <t>Decimus Kill Team</t>
        </is>
      </c>
      <c r="F962" t="inlineStr">
        <is>
          <t>5 models</t>
        </is>
      </c>
      <c r="G962" t="inlineStr">
        <is>
          <t>Infantry</t>
        </is>
      </c>
      <c r="L962" t="n">
        <v>100</v>
      </c>
      <c r="N962" t="inlineStr">
        <is>
          <t>Added from current Munitorum Field Manual v4.1 (non-Legends)</t>
        </is>
      </c>
      <c r="O962" t="inlineStr">
        <is>
          <t>https://www.warhammer-community.com/en-gb/downloads/warhammer-40000/</t>
        </is>
      </c>
    </row>
    <row r="963">
      <c r="A963" t="inlineStr">
        <is>
          <t>Deathwatch</t>
        </is>
      </c>
      <c r="B963" t="inlineStr">
        <is>
          <t>Deathwatch</t>
        </is>
      </c>
      <c r="C963" t="inlineStr">
        <is>
          <t>Infantry / Other</t>
        </is>
      </c>
      <c r="D963" t="inlineStr">
        <is>
          <t>Infantry</t>
        </is>
      </c>
      <c r="E963" t="inlineStr">
        <is>
          <t>Talonstrike Kill Team</t>
        </is>
      </c>
      <c r="F963" t="inlineStr">
        <is>
          <t>10 models</t>
        </is>
      </c>
      <c r="G963" t="inlineStr">
        <is>
          <t>Infantry</t>
        </is>
      </c>
      <c r="L963" t="n">
        <v>265</v>
      </c>
      <c r="M963" t="inlineStr">
        <is>
          <t>Your 1st To 2nd Units Cost: 10 models = 265 pts | Your 3rd + Unit Costs: 10 models = 280 pts</t>
        </is>
      </c>
      <c r="N963" t="inlineStr">
        <is>
          <t>Added from current Munitorum Field Manual v4.1 (non-Legends)</t>
        </is>
      </c>
      <c r="O963" t="inlineStr">
        <is>
          <t>https://www.warhammer-community.com/en-gb/downloads/warhammer-40000/</t>
        </is>
      </c>
    </row>
    <row r="964">
      <c r="A964" t="inlineStr">
        <is>
          <t>Drukhari</t>
        </is>
      </c>
      <c r="C964" t="inlineStr">
        <is>
          <t>Infantry / Other</t>
        </is>
      </c>
      <c r="D964" t="inlineStr">
        <is>
          <t>Infantry</t>
        </is>
      </c>
      <c r="E964" t="inlineStr">
        <is>
          <t>Hand Of The Archon</t>
        </is>
      </c>
      <c r="F964" t="inlineStr">
        <is>
          <t>10 models</t>
        </is>
      </c>
      <c r="G964" t="inlineStr">
        <is>
          <t>Infantry</t>
        </is>
      </c>
      <c r="L964" t="n">
        <v>115</v>
      </c>
      <c r="N964" t="inlineStr">
        <is>
          <t>Added from current Munitorum Field Manual v4.1 (non-Legends)</t>
        </is>
      </c>
      <c r="O964" t="inlineStr">
        <is>
          <t>https://www.warhammer-community.com/en-gb/downloads/warhammer-40000/</t>
        </is>
      </c>
    </row>
    <row r="965">
      <c r="A965" t="inlineStr">
        <is>
          <t>Drukhari</t>
        </is>
      </c>
      <c r="C965" t="inlineStr">
        <is>
          <t>Character</t>
        </is>
      </c>
      <c r="D965" t="inlineStr">
        <is>
          <t>Character</t>
        </is>
      </c>
      <c r="E965" t="inlineStr">
        <is>
          <t>Lady Malys</t>
        </is>
      </c>
      <c r="F965" t="inlineStr">
        <is>
          <t>1 model</t>
        </is>
      </c>
      <c r="G965" t="inlineStr">
        <is>
          <t>Character</t>
        </is>
      </c>
      <c r="L965" t="n">
        <v>100</v>
      </c>
      <c r="N965" t="inlineStr">
        <is>
          <t>Added from current Munitorum Field Manual v4.1 (non-Legends)</t>
        </is>
      </c>
      <c r="O965" t="inlineStr">
        <is>
          <t>https://www.warhammer-community.com/en-gb/downloads/warhammer-40000/</t>
        </is>
      </c>
    </row>
    <row r="966">
      <c r="A966" t="inlineStr">
        <is>
          <t>Drukhari</t>
        </is>
      </c>
      <c r="C966" t="inlineStr">
        <is>
          <t>Infantry / Other</t>
        </is>
      </c>
      <c r="D966" t="inlineStr">
        <is>
          <t>Infantry</t>
        </is>
      </c>
      <c r="E966" t="inlineStr">
        <is>
          <t>Scourges With Heavy Weapons</t>
        </is>
      </c>
      <c r="F966" t="inlineStr">
        <is>
          <t>5 models</t>
        </is>
      </c>
      <c r="G966" t="inlineStr">
        <is>
          <t>Infantry</t>
        </is>
      </c>
      <c r="L966" t="n">
        <v>110</v>
      </c>
      <c r="M966" t="inlineStr">
        <is>
          <t>Your 1st To 2nd Units Cost: 5 models = 110 pts | Your 3rd + Unit Costs: 5 models = 120 pts | Wargear: Haywire blaster +5 pts | Wargear: Dark lance +5 pts</t>
        </is>
      </c>
      <c r="N966" t="inlineStr">
        <is>
          <t>Added from current Munitorum Field Manual v4.1 (non-Legends)</t>
        </is>
      </c>
      <c r="O966" t="inlineStr">
        <is>
          <t>https://www.warhammer-community.com/en-gb/downloads/warhammer-40000/</t>
        </is>
      </c>
    </row>
    <row r="967">
      <c r="A967" t="inlineStr">
        <is>
          <t>Drukhari</t>
        </is>
      </c>
      <c r="C967" t="inlineStr">
        <is>
          <t>Infantry / Other</t>
        </is>
      </c>
      <c r="D967" t="inlineStr">
        <is>
          <t>Infantry</t>
        </is>
      </c>
      <c r="E967" t="inlineStr">
        <is>
          <t>Scourges With Shardcarbines</t>
        </is>
      </c>
      <c r="F967" t="inlineStr">
        <is>
          <t>5 models</t>
        </is>
      </c>
      <c r="G967" t="inlineStr">
        <is>
          <t>Infantry</t>
        </is>
      </c>
      <c r="L967" t="n">
        <v>75</v>
      </c>
      <c r="M967" t="inlineStr">
        <is>
          <t>Your 1st To 2nd Units Cost: 5 models = 75 pts | Your 3rd + Unit Costs: 5 models = 85 pts</t>
        </is>
      </c>
      <c r="N967" t="inlineStr">
        <is>
          <t>Added from current Munitorum Field Manual v4.1 (non-Legends)</t>
        </is>
      </c>
      <c r="O967" t="inlineStr">
        <is>
          <t>https://www.warhammer-community.com/en-gb/downloads/warhammer-40000/</t>
        </is>
      </c>
    </row>
    <row r="968">
      <c r="A968" t="inlineStr">
        <is>
          <t>Emperor's Children</t>
        </is>
      </c>
      <c r="C968" t="inlineStr">
        <is>
          <t>Vehicle / Support</t>
        </is>
      </c>
      <c r="D968" t="inlineStr">
        <is>
          <t>Vehicle</t>
        </is>
      </c>
      <c r="E968" t="inlineStr">
        <is>
          <t>Chaos Land Raider</t>
        </is>
      </c>
      <c r="F968" t="inlineStr">
        <is>
          <t>1 model</t>
        </is>
      </c>
      <c r="G968" t="inlineStr">
        <is>
          <t>Vehicle</t>
        </is>
      </c>
      <c r="L968" t="n">
        <v>220</v>
      </c>
      <c r="M968" t="inlineStr">
        <is>
          <t>Your 1st To 2nd Units Cost: 1 models = 220 pts | Your 3rd + Unit Costs: 1 models = 240 pts</t>
        </is>
      </c>
      <c r="N968" t="inlineStr">
        <is>
          <t>Added from current Munitorum Field Manual v4.1 (non-Legends)</t>
        </is>
      </c>
      <c r="O968" t="inlineStr">
        <is>
          <t>https://www.warhammer-community.com/en-gb/downloads/warhammer-40000/</t>
        </is>
      </c>
    </row>
    <row r="969">
      <c r="A969" t="inlineStr">
        <is>
          <t>Emperor's Children</t>
        </is>
      </c>
      <c r="C969" t="inlineStr">
        <is>
          <t>Vehicle / Support</t>
        </is>
      </c>
      <c r="D969" t="inlineStr">
        <is>
          <t>Vehicle</t>
        </is>
      </c>
      <c r="E969" t="inlineStr">
        <is>
          <t>Chaos Rhino</t>
        </is>
      </c>
      <c r="F969" t="inlineStr">
        <is>
          <t>1 model</t>
        </is>
      </c>
      <c r="G969" t="inlineStr">
        <is>
          <t>Vehicle</t>
        </is>
      </c>
      <c r="L969" t="n">
        <v>80</v>
      </c>
      <c r="N969" t="inlineStr">
        <is>
          <t>Added from current Munitorum Field Manual v4.1 (non-Legends)</t>
        </is>
      </c>
      <c r="O969" t="inlineStr">
        <is>
          <t>https://www.warhammer-community.com/en-gb/downloads/warhammer-40000/</t>
        </is>
      </c>
    </row>
    <row r="970">
      <c r="A970" t="inlineStr">
        <is>
          <t>Emperor's Children</t>
        </is>
      </c>
      <c r="C970" t="inlineStr">
        <is>
          <t>Infantry / Other</t>
        </is>
      </c>
      <c r="D970" t="inlineStr">
        <is>
          <t>Beast / Swarm</t>
        </is>
      </c>
      <c r="E970" t="inlineStr">
        <is>
          <t>Chaos Spawn</t>
        </is>
      </c>
      <c r="F970" t="inlineStr">
        <is>
          <t>2 models</t>
        </is>
      </c>
      <c r="G970" t="inlineStr">
        <is>
          <t>Beast / Swarm</t>
        </is>
      </c>
      <c r="L970" t="n">
        <v>70</v>
      </c>
      <c r="N970" t="inlineStr">
        <is>
          <t>Added from current Munitorum Field Manual v4.1 (non-Legends)</t>
        </is>
      </c>
      <c r="O970" t="inlineStr">
        <is>
          <t>https://www.warhammer-community.com/en-gb/downloads/warhammer-40000/</t>
        </is>
      </c>
    </row>
    <row r="971">
      <c r="A971" t="inlineStr">
        <is>
          <t>Emperor's Children</t>
        </is>
      </c>
      <c r="C971" t="inlineStr">
        <is>
          <t>Infantry / Other</t>
        </is>
      </c>
      <c r="D971" t="inlineStr">
        <is>
          <t>Infantry</t>
        </is>
      </c>
      <c r="E971" t="inlineStr">
        <is>
          <t>Chaos Terminators</t>
        </is>
      </c>
      <c r="F971" t="inlineStr">
        <is>
          <t>5 models</t>
        </is>
      </c>
      <c r="G971" t="inlineStr">
        <is>
          <t>Infantry</t>
        </is>
      </c>
      <c r="L971" t="n">
        <v>145</v>
      </c>
      <c r="N971" t="inlineStr">
        <is>
          <t>Added from current Munitorum Field Manual v4.1 (non-Legends)</t>
        </is>
      </c>
      <c r="O971" t="inlineStr">
        <is>
          <t>https://www.warhammer-community.com/en-gb/downloads/warhammer-40000/</t>
        </is>
      </c>
    </row>
    <row r="972">
      <c r="A972" t="inlineStr">
        <is>
          <t>Emperor's Children</t>
        </is>
      </c>
      <c r="C972" t="inlineStr">
        <is>
          <t>Infantry / Other</t>
        </is>
      </c>
      <c r="D972" t="inlineStr">
        <is>
          <t>Infantry</t>
        </is>
      </c>
      <c r="E972" t="inlineStr">
        <is>
          <t>Daemonettes</t>
        </is>
      </c>
      <c r="F972" t="inlineStr">
        <is>
          <t>10 models</t>
        </is>
      </c>
      <c r="G972" t="inlineStr">
        <is>
          <t>Infantry</t>
        </is>
      </c>
      <c r="L972" t="n">
        <v>90</v>
      </c>
      <c r="N972" t="inlineStr">
        <is>
          <t>Added from current Munitorum Field Manual v4.1 (non-Legends)</t>
        </is>
      </c>
      <c r="O972" t="inlineStr">
        <is>
          <t>https://www.warhammer-community.com/en-gb/downloads/warhammer-40000/</t>
        </is>
      </c>
    </row>
    <row r="973">
      <c r="A973" t="inlineStr">
        <is>
          <t>Emperor's Children</t>
        </is>
      </c>
      <c r="C973" t="inlineStr">
        <is>
          <t>Vehicle / Support</t>
        </is>
      </c>
      <c r="D973" t="inlineStr">
        <is>
          <t>Vehicle</t>
        </is>
      </c>
      <c r="E973" t="inlineStr">
        <is>
          <t>Defiler</t>
        </is>
      </c>
      <c r="F973" t="inlineStr">
        <is>
          <t>1 model</t>
        </is>
      </c>
      <c r="G973" t="inlineStr">
        <is>
          <t>Vehicle</t>
        </is>
      </c>
      <c r="L973" t="n">
        <v>290</v>
      </c>
      <c r="M973" t="inlineStr">
        <is>
          <t>Your 1st Unit Costs: 1 models = 290 pts | Your 2nd + Unit Costs: 1 models = 320 pts | Wargear: Heavy reaper autocannon +10 pts | Wargear: Hades lascannon +10 pts</t>
        </is>
      </c>
      <c r="N973" t="inlineStr">
        <is>
          <t>Added from current Munitorum Field Manual v4.1 (non-Legends)</t>
        </is>
      </c>
      <c r="O973" t="inlineStr">
        <is>
          <t>https://www.warhammer-community.com/en-gb/downloads/warhammer-40000/</t>
        </is>
      </c>
    </row>
    <row r="974">
      <c r="A974" t="inlineStr">
        <is>
          <t>Emperor's Children</t>
        </is>
      </c>
      <c r="C974" t="inlineStr">
        <is>
          <t>Infantry / Other</t>
        </is>
      </c>
      <c r="D974" t="inlineStr">
        <is>
          <t>Beast / Swarm</t>
        </is>
      </c>
      <c r="E974" t="inlineStr">
        <is>
          <t>Fiends</t>
        </is>
      </c>
      <c r="F974" t="inlineStr">
        <is>
          <t>3 models</t>
        </is>
      </c>
      <c r="G974" t="inlineStr">
        <is>
          <t>Beast / Swarm</t>
        </is>
      </c>
      <c r="L974" t="n">
        <v>90</v>
      </c>
      <c r="N974" t="inlineStr">
        <is>
          <t>Added from current Munitorum Field Manual v4.1 (non-Legends)</t>
        </is>
      </c>
      <c r="O974" t="inlineStr">
        <is>
          <t>https://www.warhammer-community.com/en-gb/downloads/warhammer-40000/</t>
        </is>
      </c>
    </row>
    <row r="975">
      <c r="A975" t="inlineStr">
        <is>
          <t>Emperor's Children</t>
        </is>
      </c>
      <c r="C975" t="inlineStr">
        <is>
          <t>Infantry / Other</t>
        </is>
      </c>
      <c r="D975" t="inlineStr">
        <is>
          <t>Infantry</t>
        </is>
      </c>
      <c r="E975" t="inlineStr">
        <is>
          <t>Flawless Blades</t>
        </is>
      </c>
      <c r="F975" t="inlineStr">
        <is>
          <t>3 models</t>
        </is>
      </c>
      <c r="G975" t="inlineStr">
        <is>
          <t>Infantry</t>
        </is>
      </c>
      <c r="L975" t="n">
        <v>95</v>
      </c>
      <c r="N975" t="inlineStr">
        <is>
          <t>Added from current Munitorum Field Manual v4.1 (non-Legends)</t>
        </is>
      </c>
      <c r="O975" t="inlineStr">
        <is>
          <t>https://www.warhammer-community.com/en-gb/downloads/warhammer-40000/</t>
        </is>
      </c>
    </row>
    <row r="976">
      <c r="A976" t="inlineStr">
        <is>
          <t>Emperor's Children</t>
        </is>
      </c>
      <c r="C976" t="inlineStr">
        <is>
          <t>Vehicle / Support</t>
        </is>
      </c>
      <c r="D976" t="inlineStr">
        <is>
          <t>Vehicle</t>
        </is>
      </c>
      <c r="E976" t="inlineStr">
        <is>
          <t>Heldrake</t>
        </is>
      </c>
      <c r="F976" t="inlineStr">
        <is>
          <t>1 model</t>
        </is>
      </c>
      <c r="G976" t="inlineStr">
        <is>
          <t>Vehicle</t>
        </is>
      </c>
      <c r="L976" t="n">
        <v>175</v>
      </c>
      <c r="N976" t="inlineStr">
        <is>
          <t>Added from current Munitorum Field Manual v4.1 (non-Legends)</t>
        </is>
      </c>
      <c r="O976" t="inlineStr">
        <is>
          <t>https://www.warhammer-community.com/en-gb/downloads/warhammer-40000/</t>
        </is>
      </c>
    </row>
    <row r="977">
      <c r="A977" t="inlineStr">
        <is>
          <t>Emperor's Children</t>
        </is>
      </c>
      <c r="C977" t="inlineStr">
        <is>
          <t>Monster / Support</t>
        </is>
      </c>
      <c r="D977" t="inlineStr">
        <is>
          <t>Monster</t>
        </is>
      </c>
      <c r="E977" t="inlineStr">
        <is>
          <t>Keeper Of Secrets</t>
        </is>
      </c>
      <c r="F977" t="inlineStr">
        <is>
          <t>1 model</t>
        </is>
      </c>
      <c r="G977" t="inlineStr">
        <is>
          <t>Monster</t>
        </is>
      </c>
      <c r="L977" t="n">
        <v>255</v>
      </c>
      <c r="M977" t="inlineStr">
        <is>
          <t>Your 1st To 2nd Units Cost: 1 models = 255 pts | Your 3rd + Unit Costs: 1 models = 270 pts</t>
        </is>
      </c>
      <c r="N977" t="inlineStr">
        <is>
          <t>Added from current Munitorum Field Manual v4.1 (non-Legends)</t>
        </is>
      </c>
      <c r="O977" t="inlineStr">
        <is>
          <t>https://www.warhammer-community.com/en-gb/downloads/warhammer-40000/</t>
        </is>
      </c>
    </row>
    <row r="978">
      <c r="A978" t="inlineStr">
        <is>
          <t>Emperor's Children</t>
        </is>
      </c>
      <c r="C978" t="inlineStr">
        <is>
          <t>Character</t>
        </is>
      </c>
      <c r="D978" t="inlineStr">
        <is>
          <t>Character</t>
        </is>
      </c>
      <c r="E978" t="inlineStr">
        <is>
          <t>Lord Exultant</t>
        </is>
      </c>
      <c r="F978" t="inlineStr">
        <is>
          <t>1 model</t>
        </is>
      </c>
      <c r="G978" t="inlineStr">
        <is>
          <t>Character</t>
        </is>
      </c>
      <c r="L978" t="n">
        <v>80</v>
      </c>
      <c r="M978" t="inlineStr">
        <is>
          <t>Your 1st To 2nd Units Cost: 1 models = 80 pts | Your 3rd + Unit Costs: 1 models = 90 pts</t>
        </is>
      </c>
      <c r="N978" t="inlineStr">
        <is>
          <t>Added from current Munitorum Field Manual v4.1 (non-Legends)</t>
        </is>
      </c>
      <c r="O978" t="inlineStr">
        <is>
          <t>https://www.warhammer-community.com/en-gb/downloads/warhammer-40000/</t>
        </is>
      </c>
    </row>
    <row r="979">
      <c r="A979" t="inlineStr">
        <is>
          <t>Emperor's Children</t>
        </is>
      </c>
      <c r="C979" t="inlineStr">
        <is>
          <t>Vehicle / Support</t>
        </is>
      </c>
      <c r="D979" t="inlineStr">
        <is>
          <t>Vehicle</t>
        </is>
      </c>
      <c r="E979" t="inlineStr">
        <is>
          <t>Maulerfiend</t>
        </is>
      </c>
      <c r="F979" t="inlineStr">
        <is>
          <t>1 model</t>
        </is>
      </c>
      <c r="G979" t="inlineStr">
        <is>
          <t>Vehicle</t>
        </is>
      </c>
      <c r="L979" t="n">
        <v>130</v>
      </c>
      <c r="M979" t="inlineStr">
        <is>
          <t>Your 1st To 2nd Units Cost: 1 models = 130 pts | Your 3rd + Unit Costs: 1 models = 140 pts</t>
        </is>
      </c>
      <c r="N979" t="inlineStr">
        <is>
          <t>Added from current Munitorum Field Manual v4.1 (non-Legends)</t>
        </is>
      </c>
      <c r="O979" t="inlineStr">
        <is>
          <t>https://www.warhammer-community.com/en-gb/downloads/warhammer-40000/</t>
        </is>
      </c>
    </row>
    <row r="980">
      <c r="A980" t="inlineStr">
        <is>
          <t>Emperor's Children</t>
        </is>
      </c>
      <c r="C980" t="inlineStr">
        <is>
          <t>Infantry / Other</t>
        </is>
      </c>
      <c r="D980" t="inlineStr">
        <is>
          <t>Infantry</t>
        </is>
      </c>
      <c r="E980" t="inlineStr">
        <is>
          <t>Seekers</t>
        </is>
      </c>
      <c r="F980" t="inlineStr">
        <is>
          <t>5 models</t>
        </is>
      </c>
      <c r="G980" t="inlineStr">
        <is>
          <t>Infantry</t>
        </is>
      </c>
      <c r="L980" t="n">
        <v>80</v>
      </c>
      <c r="N980" t="inlineStr">
        <is>
          <t>Added from current Munitorum Field Manual v4.1 (non-Legends)</t>
        </is>
      </c>
      <c r="O980" t="inlineStr">
        <is>
          <t>https://www.warhammer-community.com/en-gb/downloads/warhammer-40000/</t>
        </is>
      </c>
    </row>
    <row r="981">
      <c r="A981" t="inlineStr">
        <is>
          <t>Emperor's Children</t>
        </is>
      </c>
      <c r="C981" t="inlineStr">
        <is>
          <t>Infantry / Other</t>
        </is>
      </c>
      <c r="D981" t="inlineStr">
        <is>
          <t>Infantry</t>
        </is>
      </c>
      <c r="E981" t="inlineStr">
        <is>
          <t>Shalaxi Helbane</t>
        </is>
      </c>
      <c r="F981" t="inlineStr">
        <is>
          <t>1 model</t>
        </is>
      </c>
      <c r="G981" t="inlineStr">
        <is>
          <t>Infantry</t>
        </is>
      </c>
      <c r="L981" t="n">
        <v>340</v>
      </c>
      <c r="N981" t="inlineStr">
        <is>
          <t>Added from current Munitorum Field Manual v4.1 (non-Legends)</t>
        </is>
      </c>
      <c r="O981" t="inlineStr">
        <is>
          <t>https://www.warhammer-community.com/en-gb/downloads/warhammer-40000/</t>
        </is>
      </c>
    </row>
    <row r="982">
      <c r="A982" t="inlineStr">
        <is>
          <t>Emperor's Children</t>
        </is>
      </c>
      <c r="C982" t="inlineStr">
        <is>
          <t>Character</t>
        </is>
      </c>
      <c r="D982" t="inlineStr">
        <is>
          <t>Character</t>
        </is>
      </c>
      <c r="E982" t="inlineStr">
        <is>
          <t>Sorcerer</t>
        </is>
      </c>
      <c r="F982" t="inlineStr">
        <is>
          <t>1 model</t>
        </is>
      </c>
      <c r="G982" t="inlineStr">
        <is>
          <t>Character</t>
        </is>
      </c>
      <c r="L982" t="n">
        <v>60</v>
      </c>
      <c r="N982" t="inlineStr">
        <is>
          <t>Added from current Munitorum Field Manual v4.1 (non-Legends)</t>
        </is>
      </c>
      <c r="O982" t="inlineStr">
        <is>
          <t>https://www.warhammer-community.com/en-gb/downloads/warhammer-40000/</t>
        </is>
      </c>
    </row>
    <row r="983">
      <c r="A983" t="inlineStr">
        <is>
          <t>Genestealer Cults</t>
        </is>
      </c>
      <c r="C983" t="inlineStr">
        <is>
          <t>Character</t>
        </is>
      </c>
      <c r="D983" t="inlineStr">
        <is>
          <t>Character</t>
        </is>
      </c>
      <c r="E983" t="inlineStr">
        <is>
          <t>Acolyte Iconward</t>
        </is>
      </c>
      <c r="F983" t="inlineStr">
        <is>
          <t>1 model</t>
        </is>
      </c>
      <c r="G983" t="inlineStr">
        <is>
          <t>Character</t>
        </is>
      </c>
      <c r="L983" t="n">
        <v>50</v>
      </c>
      <c r="N983" t="inlineStr">
        <is>
          <t>Added from current Munitorum Field Manual v4.1 (non-Legends)</t>
        </is>
      </c>
      <c r="O983" t="inlineStr">
        <is>
          <t>https://www.warhammer-community.com/en-gb/downloads/warhammer-40000/</t>
        </is>
      </c>
    </row>
    <row r="984">
      <c r="A984" t="inlineStr">
        <is>
          <t>Genestealer Cults</t>
        </is>
      </c>
      <c r="C984" t="inlineStr">
        <is>
          <t>Character</t>
        </is>
      </c>
      <c r="D984" t="inlineStr">
        <is>
          <t>Character</t>
        </is>
      </c>
      <c r="E984" t="inlineStr">
        <is>
          <t>Benefictus</t>
        </is>
      </c>
      <c r="F984" t="inlineStr">
        <is>
          <t>1 model</t>
        </is>
      </c>
      <c r="G984" t="inlineStr">
        <is>
          <t>Character</t>
        </is>
      </c>
      <c r="L984" t="n">
        <v>75</v>
      </c>
      <c r="N984" t="inlineStr">
        <is>
          <t>Added from current Munitorum Field Manual v4.1 (non-Legends)</t>
        </is>
      </c>
      <c r="O984" t="inlineStr">
        <is>
          <t>https://www.warhammer-community.com/en-gb/downloads/warhammer-40000/</t>
        </is>
      </c>
    </row>
    <row r="985">
      <c r="A985" t="inlineStr">
        <is>
          <t>Grey Knights</t>
        </is>
      </c>
      <c r="C985" t="inlineStr">
        <is>
          <t>Character</t>
        </is>
      </c>
      <c r="D985" t="inlineStr">
        <is>
          <t>Character</t>
        </is>
      </c>
      <c r="E985" t="inlineStr">
        <is>
          <t>Grand Master Voldus</t>
        </is>
      </c>
      <c r="F985" t="inlineStr">
        <is>
          <t>1 model</t>
        </is>
      </c>
      <c r="G985" t="inlineStr">
        <is>
          <t>Character</t>
        </is>
      </c>
      <c r="L985" t="n">
        <v>140</v>
      </c>
      <c r="N985" t="inlineStr">
        <is>
          <t>Added from current Munitorum Field Manual v4.1 (non-Legends)</t>
        </is>
      </c>
      <c r="O985" t="inlineStr">
        <is>
          <t>https://www.warhammer-community.com/en-gb/downloads/warhammer-40000/</t>
        </is>
      </c>
    </row>
    <row r="986">
      <c r="A986" t="inlineStr">
        <is>
          <t>Grey Knights</t>
        </is>
      </c>
      <c r="C986" t="inlineStr">
        <is>
          <t>Vehicle / Support</t>
        </is>
      </c>
      <c r="D986" t="inlineStr">
        <is>
          <t>Vehicle</t>
        </is>
      </c>
      <c r="E986" t="inlineStr">
        <is>
          <t>Grey Knights Thunderhawk Gunship</t>
        </is>
      </c>
      <c r="F986" t="inlineStr">
        <is>
          <t>1 model</t>
        </is>
      </c>
      <c r="G986" t="inlineStr">
        <is>
          <t>Vehicle</t>
        </is>
      </c>
      <c r="L986" t="n">
        <v>805</v>
      </c>
      <c r="M986" t="inlineStr">
        <is>
          <t>Your 1st Unit Costs: 1 models = 805 pts | Your 2nd + Unit Costs: 1 models = 855 pts</t>
        </is>
      </c>
      <c r="N986" t="inlineStr">
        <is>
          <t>Added from current Munitorum Field Manual v4.1 (non-Legends)</t>
        </is>
      </c>
      <c r="O986" t="inlineStr">
        <is>
          <t>https://www.warhammer-community.com/en-gb/downloads/warhammer-40000/</t>
        </is>
      </c>
    </row>
    <row r="987">
      <c r="A987" t="inlineStr">
        <is>
          <t>Grey Knights</t>
        </is>
      </c>
      <c r="C987" t="inlineStr">
        <is>
          <t>Vehicle / Support</t>
        </is>
      </c>
      <c r="D987" t="inlineStr">
        <is>
          <t>Vehicle</t>
        </is>
      </c>
      <c r="E987" t="inlineStr">
        <is>
          <t>Land Raider</t>
        </is>
      </c>
      <c r="F987" t="inlineStr">
        <is>
          <t>1 model</t>
        </is>
      </c>
      <c r="G987" t="inlineStr">
        <is>
          <t>Vehicle</t>
        </is>
      </c>
      <c r="L987" t="n">
        <v>220</v>
      </c>
      <c r="M987" t="inlineStr">
        <is>
          <t>Your 1st To 2nd Units Cost: 1 models = 220 pts | Your 3rd + Unit Costs: 1 models = 240 pts</t>
        </is>
      </c>
      <c r="N987" t="inlineStr">
        <is>
          <t>Added from current Munitorum Field Manual v4.1 (non-Legends)</t>
        </is>
      </c>
      <c r="O987" t="inlineStr">
        <is>
          <t>https://www.warhammer-community.com/en-gb/downloads/warhammer-40000/</t>
        </is>
      </c>
    </row>
    <row r="988">
      <c r="A988" t="inlineStr">
        <is>
          <t>Grey Knights</t>
        </is>
      </c>
      <c r="C988" t="inlineStr">
        <is>
          <t>Vehicle / Support</t>
        </is>
      </c>
      <c r="D988" t="inlineStr">
        <is>
          <t>Vehicle</t>
        </is>
      </c>
      <c r="E988" t="inlineStr">
        <is>
          <t>Land Raider Crusader</t>
        </is>
      </c>
      <c r="F988" t="inlineStr">
        <is>
          <t>1 model</t>
        </is>
      </c>
      <c r="G988" t="inlineStr">
        <is>
          <t>Vehicle</t>
        </is>
      </c>
      <c r="L988" t="n">
        <v>220</v>
      </c>
      <c r="M988" t="inlineStr">
        <is>
          <t>Your 1st To 2nd Units Cost: 1 models = 220 pts | Your 3rd + Unit Costs: 1 models = 240 pts</t>
        </is>
      </c>
      <c r="N988" t="inlineStr">
        <is>
          <t>Added from current Munitorum Field Manual v4.1 (non-Legends)</t>
        </is>
      </c>
      <c r="O988" t="inlineStr">
        <is>
          <t>https://www.warhammer-community.com/en-gb/downloads/warhammer-40000/</t>
        </is>
      </c>
    </row>
    <row r="989">
      <c r="A989" t="inlineStr">
        <is>
          <t>Grey Knights</t>
        </is>
      </c>
      <c r="C989" t="inlineStr">
        <is>
          <t>Vehicle / Support</t>
        </is>
      </c>
      <c r="D989" t="inlineStr">
        <is>
          <t>Vehicle</t>
        </is>
      </c>
      <c r="E989" t="inlineStr">
        <is>
          <t>Land Raider Redeemer</t>
        </is>
      </c>
      <c r="F989" t="inlineStr">
        <is>
          <t>1 model</t>
        </is>
      </c>
      <c r="G989" t="inlineStr">
        <is>
          <t>Vehicle</t>
        </is>
      </c>
      <c r="L989" t="n">
        <v>250</v>
      </c>
      <c r="M989" t="inlineStr">
        <is>
          <t>Your 1st To 2nd Units Cost: 1 models = 250 pts | Your 3rd + Unit Costs: 1 models = 270 pts</t>
        </is>
      </c>
      <c r="N989" t="inlineStr">
        <is>
          <t>Added from current Munitorum Field Manual v4.1 (non-Legends)</t>
        </is>
      </c>
      <c r="O989" t="inlineStr">
        <is>
          <t>https://www.warhammer-community.com/en-gb/downloads/warhammer-40000/</t>
        </is>
      </c>
    </row>
    <row r="990">
      <c r="A990" t="inlineStr">
        <is>
          <t>Grey Knights</t>
        </is>
      </c>
      <c r="C990" t="inlineStr">
        <is>
          <t>Infantry / Other</t>
        </is>
      </c>
      <c r="D990" t="inlineStr">
        <is>
          <t>Infantry</t>
        </is>
      </c>
      <c r="E990" t="inlineStr">
        <is>
          <t>Razorback</t>
        </is>
      </c>
      <c r="F990" t="inlineStr">
        <is>
          <t>1 model</t>
        </is>
      </c>
      <c r="G990" t="inlineStr">
        <is>
          <t>Infantry</t>
        </is>
      </c>
      <c r="L990" t="n">
        <v>85</v>
      </c>
      <c r="N990" t="inlineStr">
        <is>
          <t>Added from current Munitorum Field Manual v4.1 (non-Legends)</t>
        </is>
      </c>
      <c r="O990" t="inlineStr">
        <is>
          <t>https://www.warhammer-community.com/en-gb/downloads/warhammer-40000/</t>
        </is>
      </c>
    </row>
    <row r="991">
      <c r="A991" t="inlineStr">
        <is>
          <t>Grey Knights</t>
        </is>
      </c>
      <c r="C991" t="inlineStr">
        <is>
          <t>Vehicle / Support</t>
        </is>
      </c>
      <c r="D991" t="inlineStr">
        <is>
          <t>Vehicle</t>
        </is>
      </c>
      <c r="E991" t="inlineStr">
        <is>
          <t>Rhino</t>
        </is>
      </c>
      <c r="F991" t="inlineStr">
        <is>
          <t>1 model</t>
        </is>
      </c>
      <c r="G991" t="inlineStr">
        <is>
          <t>Vehicle</t>
        </is>
      </c>
      <c r="L991" t="n">
        <v>80</v>
      </c>
      <c r="N991" t="inlineStr">
        <is>
          <t>Added from current Munitorum Field Manual v4.1 (non-Legends)</t>
        </is>
      </c>
      <c r="O991" t="inlineStr">
        <is>
          <t>https://www.warhammer-community.com/en-gb/downloads/warhammer-40000/</t>
        </is>
      </c>
    </row>
    <row r="992">
      <c r="A992" t="inlineStr">
        <is>
          <t>Grey Knights</t>
        </is>
      </c>
      <c r="C992" t="inlineStr">
        <is>
          <t>Vehicle / Support</t>
        </is>
      </c>
      <c r="D992" t="inlineStr">
        <is>
          <t>Vehicle</t>
        </is>
      </c>
      <c r="E992" t="inlineStr">
        <is>
          <t>Stormhawk Interceptor</t>
        </is>
      </c>
      <c r="F992" t="inlineStr">
        <is>
          <t>1 model</t>
        </is>
      </c>
      <c r="G992" t="inlineStr">
        <is>
          <t>Vehicle</t>
        </is>
      </c>
      <c r="L992" t="n">
        <v>160</v>
      </c>
      <c r="N992" t="inlineStr">
        <is>
          <t>Added from current Munitorum Field Manual v4.1 (non-Legends)</t>
        </is>
      </c>
      <c r="O992" t="inlineStr">
        <is>
          <t>https://www.warhammer-community.com/en-gb/downloads/warhammer-40000/</t>
        </is>
      </c>
    </row>
    <row r="993">
      <c r="A993" t="inlineStr">
        <is>
          <t>Grey Knights</t>
        </is>
      </c>
      <c r="C993" t="inlineStr">
        <is>
          <t>Vehicle / Support</t>
        </is>
      </c>
      <c r="D993" t="inlineStr">
        <is>
          <t>Vehicle</t>
        </is>
      </c>
      <c r="E993" t="inlineStr">
        <is>
          <t>Stormraven Gunship</t>
        </is>
      </c>
      <c r="F993" t="inlineStr">
        <is>
          <t>1 model</t>
        </is>
      </c>
      <c r="G993" t="inlineStr">
        <is>
          <t>Vehicle</t>
        </is>
      </c>
      <c r="L993" t="n">
        <v>280</v>
      </c>
      <c r="M993" t="inlineStr">
        <is>
          <t>Your 1st Unit Costs: 1 models = 280 pts | Your 2nd + Unit Costs: 1 models = 300 pts</t>
        </is>
      </c>
      <c r="N993" t="inlineStr">
        <is>
          <t>Added from current Munitorum Field Manual v4.1 (non-Legends)</t>
        </is>
      </c>
      <c r="O993" t="inlineStr">
        <is>
          <t>https://www.warhammer-community.com/en-gb/downloads/warhammer-40000/</t>
        </is>
      </c>
    </row>
    <row r="994">
      <c r="A994" t="inlineStr">
        <is>
          <t>Grey Knights</t>
        </is>
      </c>
      <c r="C994" t="inlineStr">
        <is>
          <t>Vehicle / Support</t>
        </is>
      </c>
      <c r="D994" t="inlineStr">
        <is>
          <t>Vehicle</t>
        </is>
      </c>
      <c r="E994" t="inlineStr">
        <is>
          <t>Stormtalon Gunship</t>
        </is>
      </c>
      <c r="F994" t="inlineStr">
        <is>
          <t>1 model</t>
        </is>
      </c>
      <c r="G994" t="inlineStr">
        <is>
          <t>Vehicle</t>
        </is>
      </c>
      <c r="L994" t="n">
        <v>170</v>
      </c>
      <c r="N994" t="inlineStr">
        <is>
          <t>Added from current Munitorum Field Manual v4.1 (non-Legends)</t>
        </is>
      </c>
      <c r="O994" t="inlineStr">
        <is>
          <t>https://www.warhammer-community.com/en-gb/downloads/warhammer-40000/</t>
        </is>
      </c>
    </row>
    <row r="995">
      <c r="A995" t="inlineStr">
        <is>
          <t>Imperial Agents</t>
        </is>
      </c>
      <c r="C995" t="inlineStr">
        <is>
          <t>Infantry / Other</t>
        </is>
      </c>
      <c r="D995" t="inlineStr">
        <is>
          <t>Infantry</t>
        </is>
      </c>
      <c r="E995" t="inlineStr">
        <is>
          <t>Aquila Kill Team</t>
        </is>
      </c>
      <c r="F995" t="inlineStr">
        <is>
          <t>5 models</t>
        </is>
      </c>
      <c r="G995" t="inlineStr">
        <is>
          <t>Infantry</t>
        </is>
      </c>
      <c r="L995" t="n">
        <v>100</v>
      </c>
      <c r="N995" t="inlineStr">
        <is>
          <t>Added from current Munitorum Field Manual v4.1 (non-Legends)</t>
        </is>
      </c>
      <c r="O995" t="inlineStr">
        <is>
          <t>https://www.warhammer-community.com/en-gb/downloads/warhammer-40000/</t>
        </is>
      </c>
    </row>
    <row r="996">
      <c r="A996" t="inlineStr">
        <is>
          <t>Imperial Agents</t>
        </is>
      </c>
      <c r="C996" t="inlineStr">
        <is>
          <t>Infantry / Other</t>
        </is>
      </c>
      <c r="D996" t="inlineStr">
        <is>
          <t>Infantry</t>
        </is>
      </c>
      <c r="E996" t="inlineStr">
        <is>
          <t>Corvus Blackstar</t>
        </is>
      </c>
      <c r="F996" t="inlineStr">
        <is>
          <t>1 model</t>
        </is>
      </c>
      <c r="G996" t="inlineStr">
        <is>
          <t>Infantry</t>
        </is>
      </c>
      <c r="L996" t="n">
        <v>180</v>
      </c>
      <c r="N996" t="inlineStr">
        <is>
          <t>Added from current Munitorum Field Manual v4.1 (non-Legends)</t>
        </is>
      </c>
      <c r="O996" t="inlineStr">
        <is>
          <t>https://www.warhammer-community.com/en-gb/downloads/warhammer-40000/</t>
        </is>
      </c>
    </row>
    <row r="997">
      <c r="A997" t="inlineStr">
        <is>
          <t>Imperial Agents</t>
        </is>
      </c>
      <c r="C997" t="inlineStr">
        <is>
          <t>Infantry / Other</t>
        </is>
      </c>
      <c r="D997" t="inlineStr">
        <is>
          <t>Infantry</t>
        </is>
      </c>
      <c r="E997" t="inlineStr">
        <is>
          <t>Deathwatch Kill Team</t>
        </is>
      </c>
      <c r="F997" t="inlineStr">
        <is>
          <t>5 models</t>
        </is>
      </c>
      <c r="G997" t="inlineStr">
        <is>
          <t>Infantry</t>
        </is>
      </c>
      <c r="L997" t="n">
        <v>100</v>
      </c>
      <c r="N997" t="inlineStr">
        <is>
          <t>Added from current Munitorum Field Manual v4.1 (non-Legends)</t>
        </is>
      </c>
      <c r="O997" t="inlineStr">
        <is>
          <t>https://www.warhammer-community.com/en-gb/downloads/warhammer-40000/</t>
        </is>
      </c>
    </row>
    <row r="998">
      <c r="A998" t="inlineStr">
        <is>
          <t>Imperial Agents</t>
        </is>
      </c>
      <c r="C998" t="inlineStr">
        <is>
          <t>Infantry / Other</t>
        </is>
      </c>
      <c r="D998" t="inlineStr">
        <is>
          <t>Infantry</t>
        </is>
      </c>
      <c r="E998" t="inlineStr">
        <is>
          <t>Grey Knights Terminator Squad</t>
        </is>
      </c>
      <c r="F998" t="inlineStr">
        <is>
          <t>5 models</t>
        </is>
      </c>
      <c r="G998" t="inlineStr">
        <is>
          <t>Infantry</t>
        </is>
      </c>
      <c r="L998" t="n">
        <v>190</v>
      </c>
      <c r="M998" t="inlineStr">
        <is>
          <t>Your Unit Costs: 5 models = 190 pts | Wargear: Psycannon +5 pts</t>
        </is>
      </c>
      <c r="N998" t="inlineStr">
        <is>
          <t>Added from current Munitorum Field Manual v4.1 (non-Legends)</t>
        </is>
      </c>
      <c r="O998" t="inlineStr">
        <is>
          <t>https://www.warhammer-community.com/en-gb/downloads/warhammer-40000/</t>
        </is>
      </c>
    </row>
    <row r="999">
      <c r="A999" t="inlineStr">
        <is>
          <t>Imperial Agents</t>
        </is>
      </c>
      <c r="C999" t="inlineStr">
        <is>
          <t>Vehicle / Support</t>
        </is>
      </c>
      <c r="D999" t="inlineStr">
        <is>
          <t>Vehicle</t>
        </is>
      </c>
      <c r="E999" t="inlineStr">
        <is>
          <t>Imperial Rhino</t>
        </is>
      </c>
      <c r="F999" t="inlineStr">
        <is>
          <t>1 model</t>
        </is>
      </c>
      <c r="G999" t="inlineStr">
        <is>
          <t>Vehicle</t>
        </is>
      </c>
      <c r="L999" t="n">
        <v>75</v>
      </c>
      <c r="N999" t="inlineStr">
        <is>
          <t>Added from current Munitorum Field Manual v4.1 (non-Legends)</t>
        </is>
      </c>
      <c r="O999" t="inlineStr">
        <is>
          <t>https://www.warhammer-community.com/en-gb/downloads/warhammer-40000/</t>
        </is>
      </c>
    </row>
    <row r="1000">
      <c r="A1000" t="inlineStr">
        <is>
          <t>Imperial Agents</t>
        </is>
      </c>
      <c r="C1000" t="inlineStr">
        <is>
          <t>Character</t>
        </is>
      </c>
      <c r="D1000" t="inlineStr">
        <is>
          <t>Character</t>
        </is>
      </c>
      <c r="E1000" t="inlineStr">
        <is>
          <t>Inquisitor</t>
        </is>
      </c>
      <c r="F1000" t="inlineStr">
        <is>
          <t>1 model</t>
        </is>
      </c>
      <c r="G1000" t="inlineStr">
        <is>
          <t>Character</t>
        </is>
      </c>
      <c r="L1000" t="n">
        <v>55</v>
      </c>
      <c r="N1000" t="inlineStr">
        <is>
          <t>Added from current Munitorum Field Manual v4.1 (non-Legends)</t>
        </is>
      </c>
      <c r="O1000" t="inlineStr">
        <is>
          <t>https://www.warhammer-community.com/en-gb/downloads/warhammer-40000/</t>
        </is>
      </c>
    </row>
    <row r="1001">
      <c r="A1001" t="inlineStr">
        <is>
          <t>Imperial Agents</t>
        </is>
      </c>
      <c r="C1001" t="inlineStr">
        <is>
          <t>Character</t>
        </is>
      </c>
      <c r="D1001" t="inlineStr">
        <is>
          <t>Character</t>
        </is>
      </c>
      <c r="E1001" t="inlineStr">
        <is>
          <t>Inquisitor Coteaz</t>
        </is>
      </c>
      <c r="F1001" t="inlineStr">
        <is>
          <t>1 model</t>
        </is>
      </c>
      <c r="G1001" t="inlineStr">
        <is>
          <t>Character</t>
        </is>
      </c>
      <c r="L1001" t="n">
        <v>75</v>
      </c>
      <c r="N1001" t="inlineStr">
        <is>
          <t>Added from current Munitorum Field Manual v4.1 (non-Legends)</t>
        </is>
      </c>
      <c r="O1001" t="inlineStr">
        <is>
          <t>https://www.warhammer-community.com/en-gb/downloads/warhammer-40000/</t>
        </is>
      </c>
    </row>
    <row r="1002">
      <c r="A1002" t="inlineStr">
        <is>
          <t>Imperial Agents</t>
        </is>
      </c>
      <c r="C1002" t="inlineStr">
        <is>
          <t>Character</t>
        </is>
      </c>
      <c r="D1002" t="inlineStr">
        <is>
          <t>Character</t>
        </is>
      </c>
      <c r="E1002" t="inlineStr">
        <is>
          <t>Inquisitor Greyfax</t>
        </is>
      </c>
      <c r="F1002" t="inlineStr">
        <is>
          <t>1 model</t>
        </is>
      </c>
      <c r="G1002" t="inlineStr">
        <is>
          <t>Character</t>
        </is>
      </c>
      <c r="L1002" t="n">
        <v>65</v>
      </c>
      <c r="N1002" t="inlineStr">
        <is>
          <t>Added from current Munitorum Field Manual v4.1 (non-Legends)</t>
        </is>
      </c>
      <c r="O1002" t="inlineStr">
        <is>
          <t>https://www.warhammer-community.com/en-gb/downloads/warhammer-40000/</t>
        </is>
      </c>
    </row>
    <row r="1003">
      <c r="A1003" t="inlineStr">
        <is>
          <t>Imperial Agents</t>
        </is>
      </c>
      <c r="C1003" t="inlineStr">
        <is>
          <t>Character</t>
        </is>
      </c>
      <c r="D1003" t="inlineStr">
        <is>
          <t>Character</t>
        </is>
      </c>
      <c r="E1003" t="inlineStr">
        <is>
          <t>Inquisitor Kroyle</t>
        </is>
      </c>
      <c r="F1003" t="inlineStr">
        <is>
          <t>1 model</t>
        </is>
      </c>
      <c r="G1003" t="inlineStr">
        <is>
          <t>Character</t>
        </is>
      </c>
      <c r="L1003" t="n">
        <v>100</v>
      </c>
      <c r="N1003" t="inlineStr">
        <is>
          <t>Added from current Munitorum Field Manual v4.1 (non-Legends)</t>
        </is>
      </c>
      <c r="O1003" t="inlineStr">
        <is>
          <t>https://www.warhammer-community.com/en-gb/downloads/warhammer-40000/</t>
        </is>
      </c>
    </row>
    <row r="1004">
      <c r="A1004" t="inlineStr">
        <is>
          <t>Imperial Agents</t>
        </is>
      </c>
      <c r="C1004" t="inlineStr">
        <is>
          <t>Character</t>
        </is>
      </c>
      <c r="D1004" t="inlineStr">
        <is>
          <t>Character</t>
        </is>
      </c>
      <c r="E1004" t="inlineStr">
        <is>
          <t>Inquisitorial Chimera</t>
        </is>
      </c>
      <c r="F1004" t="inlineStr">
        <is>
          <t>1 model</t>
        </is>
      </c>
      <c r="G1004" t="inlineStr">
        <is>
          <t>Character</t>
        </is>
      </c>
      <c r="L1004" t="n">
        <v>70</v>
      </c>
      <c r="N1004" t="inlineStr">
        <is>
          <t>Added from current Munitorum Field Manual v4.1 (non-Legends)</t>
        </is>
      </c>
      <c r="O1004" t="inlineStr">
        <is>
          <t>https://www.warhammer-community.com/en-gb/downloads/warhammer-40000/</t>
        </is>
      </c>
    </row>
    <row r="1005">
      <c r="A1005" t="inlineStr">
        <is>
          <t>Imperial Agents</t>
        </is>
      </c>
      <c r="C1005" t="inlineStr">
        <is>
          <t>Infantry / Other</t>
        </is>
      </c>
      <c r="D1005" t="inlineStr">
        <is>
          <t>Infantry</t>
        </is>
      </c>
      <c r="E1005" t="inlineStr">
        <is>
          <t>Sanctifiers</t>
        </is>
      </c>
      <c r="F1005" t="inlineStr">
        <is>
          <t>9 models</t>
        </is>
      </c>
      <c r="G1005" t="inlineStr">
        <is>
          <t>Infantry</t>
        </is>
      </c>
      <c r="L1005" t="n">
        <v>100</v>
      </c>
      <c r="N1005" t="inlineStr">
        <is>
          <t>Added from current Munitorum Field Manual v4.1 (non-Legends)</t>
        </is>
      </c>
      <c r="O1005" t="inlineStr">
        <is>
          <t>https://www.warhammer-community.com/en-gb/downloads/warhammer-40000/</t>
        </is>
      </c>
    </row>
    <row r="1006">
      <c r="A1006" t="inlineStr">
        <is>
          <t>Imperial Agents</t>
        </is>
      </c>
      <c r="C1006" t="inlineStr">
        <is>
          <t>Infantry / Other</t>
        </is>
      </c>
      <c r="D1006" t="inlineStr">
        <is>
          <t>Infantry</t>
        </is>
      </c>
      <c r="E1006" t="inlineStr">
        <is>
          <t>Sisters Of Battle Immolator</t>
        </is>
      </c>
      <c r="F1006" t="inlineStr">
        <is>
          <t>1 model</t>
        </is>
      </c>
      <c r="G1006" t="inlineStr">
        <is>
          <t>Infantry</t>
        </is>
      </c>
      <c r="L1006" t="n">
        <v>100</v>
      </c>
      <c r="M1006" t="inlineStr">
        <is>
          <t>Your Unit Costs: 1 models = 100 pts | Wargear: Twin multi-melta +15 pts</t>
        </is>
      </c>
      <c r="N1006" t="inlineStr">
        <is>
          <t>Added from current Munitorum Field Manual v4.1 (non-Legends)</t>
        </is>
      </c>
      <c r="O1006" t="inlineStr">
        <is>
          <t>https://www.warhammer-community.com/en-gb/downloads/warhammer-40000/</t>
        </is>
      </c>
    </row>
    <row r="1007">
      <c r="A1007" t="inlineStr">
        <is>
          <t>Imperial Agents</t>
        </is>
      </c>
      <c r="C1007" t="inlineStr">
        <is>
          <t>Infantry / Other</t>
        </is>
      </c>
      <c r="D1007" t="inlineStr">
        <is>
          <t>Infantry</t>
        </is>
      </c>
      <c r="E1007" t="inlineStr">
        <is>
          <t>Sisters Of Battle Squad</t>
        </is>
      </c>
      <c r="F1007" t="inlineStr">
        <is>
          <t>10 models</t>
        </is>
      </c>
      <c r="G1007" t="inlineStr">
        <is>
          <t>Infantry</t>
        </is>
      </c>
      <c r="L1007" t="n">
        <v>100</v>
      </c>
      <c r="N1007" t="inlineStr">
        <is>
          <t>Added from current Munitorum Field Manual v4.1 (non-Legends)</t>
        </is>
      </c>
      <c r="O1007" t="inlineStr">
        <is>
          <t>https://www.warhammer-community.com/en-gb/downloads/warhammer-40000/</t>
        </is>
      </c>
    </row>
    <row r="1008">
      <c r="A1008" t="inlineStr">
        <is>
          <t>Imperial Agents</t>
        </is>
      </c>
      <c r="C1008" t="inlineStr">
        <is>
          <t>Infantry / Other</t>
        </is>
      </c>
      <c r="D1008" t="inlineStr">
        <is>
          <t>Infantry</t>
        </is>
      </c>
      <c r="E1008" t="inlineStr">
        <is>
          <t>Vigilant Squad</t>
        </is>
      </c>
      <c r="F1008" t="inlineStr">
        <is>
          <t>11 models</t>
        </is>
      </c>
      <c r="G1008" t="inlineStr">
        <is>
          <t>Infantry</t>
        </is>
      </c>
      <c r="L1008" t="n">
        <v>85</v>
      </c>
      <c r="N1008" t="inlineStr">
        <is>
          <t>Added from current Munitorum Field Manual v4.1 (non-Legends)</t>
        </is>
      </c>
      <c r="O1008" t="inlineStr">
        <is>
          <t>https://www.warhammer-community.com/en-gb/downloads/warhammer-40000/</t>
        </is>
      </c>
    </row>
    <row r="1009">
      <c r="A1009" t="inlineStr">
        <is>
          <t>Imperial Agents</t>
        </is>
      </c>
      <c r="C1009" t="inlineStr">
        <is>
          <t>Character</t>
        </is>
      </c>
      <c r="D1009" t="inlineStr">
        <is>
          <t>Character</t>
        </is>
      </c>
      <c r="E1009" t="inlineStr">
        <is>
          <t>Watch Master</t>
        </is>
      </c>
      <c r="F1009" t="inlineStr">
        <is>
          <t>1 model</t>
        </is>
      </c>
      <c r="G1009" t="inlineStr">
        <is>
          <t>Character</t>
        </is>
      </c>
      <c r="L1009" t="n">
        <v>95</v>
      </c>
      <c r="N1009" t="inlineStr">
        <is>
          <t>Added from current Munitorum Field Manual v4.1 (non-Legends)</t>
        </is>
      </c>
      <c r="O1009" t="inlineStr">
        <is>
          <t>https://www.warhammer-community.com/en-gb/downloads/warhammer-40000/</t>
        </is>
      </c>
    </row>
    <row r="1010">
      <c r="A1010" t="inlineStr">
        <is>
          <t>Imperial Knights</t>
        </is>
      </c>
      <c r="C1010" t="inlineStr">
        <is>
          <t>Infantry / Other</t>
        </is>
      </c>
      <c r="D1010" t="inlineStr">
        <is>
          <t>Infantry</t>
        </is>
      </c>
      <c r="E1010" t="inlineStr">
        <is>
          <t>Acastus Knight Asterius</t>
        </is>
      </c>
      <c r="F1010" t="inlineStr">
        <is>
          <t>1 model</t>
        </is>
      </c>
      <c r="G1010" t="inlineStr">
        <is>
          <t>Infantry</t>
        </is>
      </c>
      <c r="L1010" t="n">
        <v>785</v>
      </c>
      <c r="M1010" t="inlineStr">
        <is>
          <t>Your 1st Unit Costs: 1 models = 785 pts | Your 2nd + Unit Costs: 1 models = 860 pts</t>
        </is>
      </c>
      <c r="N1010" t="inlineStr">
        <is>
          <t>Added from current Munitorum Field Manual v4.1 (non-Legends)</t>
        </is>
      </c>
      <c r="O1010" t="inlineStr">
        <is>
          <t>https://www.warhammer-community.com/en-gb/downloads/warhammer-40000/</t>
        </is>
      </c>
    </row>
    <row r="1011">
      <c r="A1011" t="inlineStr">
        <is>
          <t>Imperial Knights</t>
        </is>
      </c>
      <c r="C1011" t="inlineStr">
        <is>
          <t>Infantry / Other</t>
        </is>
      </c>
      <c r="D1011" t="inlineStr">
        <is>
          <t>Infantry</t>
        </is>
      </c>
      <c r="E1011" t="inlineStr">
        <is>
          <t>Acastus Knight Porphyrion</t>
        </is>
      </c>
      <c r="F1011" t="inlineStr">
        <is>
          <t>1 model</t>
        </is>
      </c>
      <c r="G1011" t="inlineStr">
        <is>
          <t>Infantry</t>
        </is>
      </c>
      <c r="L1011" t="n">
        <v>725</v>
      </c>
      <c r="M1011" t="inlineStr">
        <is>
          <t>Your 1st Unit Costs: 1 models = 725 pts | Your 2nd + Unit Costs: 1 models = 800 pts</t>
        </is>
      </c>
      <c r="N1011" t="inlineStr">
        <is>
          <t>Added from current Munitorum Field Manual v4.1 (non-Legends)</t>
        </is>
      </c>
      <c r="O1011" t="inlineStr">
        <is>
          <t>https://www.warhammer-community.com/en-gb/downloads/warhammer-40000/</t>
        </is>
      </c>
    </row>
    <row r="1012">
      <c r="A1012" t="inlineStr">
        <is>
          <t>Imperial Knights</t>
        </is>
      </c>
      <c r="C1012" t="inlineStr">
        <is>
          <t>Infantry / Other</t>
        </is>
      </c>
      <c r="D1012" t="inlineStr">
        <is>
          <t>Infantry</t>
        </is>
      </c>
      <c r="E1012" t="inlineStr">
        <is>
          <t>Armiger Moirax</t>
        </is>
      </c>
      <c r="F1012" t="inlineStr">
        <is>
          <t>1 model</t>
        </is>
      </c>
      <c r="G1012" t="inlineStr">
        <is>
          <t>Infantry</t>
        </is>
      </c>
      <c r="L1012" t="n">
        <v>150</v>
      </c>
      <c r="M1012" t="inlineStr">
        <is>
          <t>Your 1st To 2nd Units Cost: 1 models = 150 pts | Your 3rd + Unit Costs: 1 models = 160 pts</t>
        </is>
      </c>
      <c r="N1012" t="inlineStr">
        <is>
          <t>Added from current Munitorum Field Manual v4.1 (non-Legends)</t>
        </is>
      </c>
      <c r="O1012" t="inlineStr">
        <is>
          <t>https://www.warhammer-community.com/en-gb/downloads/warhammer-40000/</t>
        </is>
      </c>
    </row>
    <row r="1013">
      <c r="A1013" t="inlineStr">
        <is>
          <t>Imperial Knights</t>
        </is>
      </c>
      <c r="C1013" t="inlineStr">
        <is>
          <t>Infantry / Other</t>
        </is>
      </c>
      <c r="D1013" t="inlineStr">
        <is>
          <t>Infantry</t>
        </is>
      </c>
      <c r="E1013" t="inlineStr">
        <is>
          <t>Cerastus Knight Acheron</t>
        </is>
      </c>
      <c r="F1013" t="inlineStr">
        <is>
          <t>1 model</t>
        </is>
      </c>
      <c r="G1013" t="inlineStr">
        <is>
          <t>Infantry</t>
        </is>
      </c>
      <c r="L1013" t="n">
        <v>380</v>
      </c>
      <c r="M1013" t="inlineStr">
        <is>
          <t>Your 1st Unit Costs: 1 models = 380 pts | Your 2nd + Unit Costs: 1 models = 395 pts</t>
        </is>
      </c>
      <c r="N1013" t="inlineStr">
        <is>
          <t>Added from current Munitorum Field Manual v4.1 (non-Legends)</t>
        </is>
      </c>
      <c r="O1013" t="inlineStr">
        <is>
          <t>https://www.warhammer-community.com/en-gb/downloads/warhammer-40000/</t>
        </is>
      </c>
    </row>
    <row r="1014">
      <c r="A1014" t="inlineStr">
        <is>
          <t>Imperial Knights</t>
        </is>
      </c>
      <c r="C1014" t="inlineStr">
        <is>
          <t>Infantry / Other</t>
        </is>
      </c>
      <c r="D1014" t="inlineStr">
        <is>
          <t>Infantry</t>
        </is>
      </c>
      <c r="E1014" t="inlineStr">
        <is>
          <t>Cerastus Knight Atrapos</t>
        </is>
      </c>
      <c r="F1014" t="inlineStr">
        <is>
          <t>1 model</t>
        </is>
      </c>
      <c r="G1014" t="inlineStr">
        <is>
          <t>Infantry</t>
        </is>
      </c>
      <c r="L1014" t="n">
        <v>405</v>
      </c>
      <c r="M1014" t="inlineStr">
        <is>
          <t>Your 1st Unit Costs: 1 models = 405 pts | Your 2nd + Unit Costs: 1 models = 425 pts</t>
        </is>
      </c>
      <c r="N1014" t="inlineStr">
        <is>
          <t>Added from current Munitorum Field Manual v4.1 (non-Legends)</t>
        </is>
      </c>
      <c r="O1014" t="inlineStr">
        <is>
          <t>https://www.warhammer-community.com/en-gb/downloads/warhammer-40000/</t>
        </is>
      </c>
    </row>
    <row r="1015">
      <c r="A1015" t="inlineStr">
        <is>
          <t>Imperial Knights</t>
        </is>
      </c>
      <c r="C1015" t="inlineStr">
        <is>
          <t>Infantry / Other</t>
        </is>
      </c>
      <c r="D1015" t="inlineStr">
        <is>
          <t>Infantry</t>
        </is>
      </c>
      <c r="E1015" t="inlineStr">
        <is>
          <t>Cerastus Knight Castigator</t>
        </is>
      </c>
      <c r="F1015" t="inlineStr">
        <is>
          <t>1 model</t>
        </is>
      </c>
      <c r="G1015" t="inlineStr">
        <is>
          <t>Infantry</t>
        </is>
      </c>
      <c r="L1015" t="n">
        <v>380</v>
      </c>
      <c r="M1015" t="inlineStr">
        <is>
          <t>Your 1st Unit Costs: 1 models = 380 pts | Your 2nd + Unit Costs: 1 models = 395 pts</t>
        </is>
      </c>
      <c r="N1015" t="inlineStr">
        <is>
          <t>Added from current Munitorum Field Manual v4.1 (non-Legends)</t>
        </is>
      </c>
      <c r="O1015" t="inlineStr">
        <is>
          <t>https://www.warhammer-community.com/en-gb/downloads/warhammer-40000/</t>
        </is>
      </c>
    </row>
    <row r="1016">
      <c r="A1016" t="inlineStr">
        <is>
          <t>Imperial Knights</t>
        </is>
      </c>
      <c r="C1016" t="inlineStr">
        <is>
          <t>Infantry / Other</t>
        </is>
      </c>
      <c r="D1016" t="inlineStr">
        <is>
          <t>Infantry</t>
        </is>
      </c>
      <c r="E1016" t="inlineStr">
        <is>
          <t>Cerastus Knight Lancer</t>
        </is>
      </c>
      <c r="F1016" t="inlineStr">
        <is>
          <t>1 model</t>
        </is>
      </c>
      <c r="G1016" t="inlineStr">
        <is>
          <t>Infantry</t>
        </is>
      </c>
      <c r="L1016" t="n">
        <v>415</v>
      </c>
      <c r="M1016" t="inlineStr">
        <is>
          <t>Your 1st Unit Costs: 1 models = 415 pts | Your 2nd + Unit Costs: 1 models = 435 pts</t>
        </is>
      </c>
      <c r="N1016" t="inlineStr">
        <is>
          <t>Added from current Munitorum Field Manual v4.1 (non-Legends)</t>
        </is>
      </c>
      <c r="O1016" t="inlineStr">
        <is>
          <t>https://www.warhammer-community.com/en-gb/downloads/warhammer-40000/</t>
        </is>
      </c>
    </row>
    <row r="1017">
      <c r="A1017" t="inlineStr">
        <is>
          <t>Imperial Knights</t>
        </is>
      </c>
      <c r="C1017" t="inlineStr">
        <is>
          <t>Infantry / Other</t>
        </is>
      </c>
      <c r="D1017" t="inlineStr">
        <is>
          <t>Infantry</t>
        </is>
      </c>
      <c r="E1017" t="inlineStr">
        <is>
          <t>Knight Defender</t>
        </is>
      </c>
      <c r="F1017" t="inlineStr">
        <is>
          <t>1 model</t>
        </is>
      </c>
      <c r="G1017" t="inlineStr">
        <is>
          <t>Infantry</t>
        </is>
      </c>
      <c r="L1017" t="n">
        <v>400</v>
      </c>
      <c r="M1017" t="inlineStr">
        <is>
          <t>Your 1st Unit Costs: 1 models = 400 pts | Your 2nd + Unit Costs: 1 models = 420 pts</t>
        </is>
      </c>
      <c r="N1017" t="inlineStr">
        <is>
          <t>Added from current Munitorum Field Manual v4.1 (non-Legends)</t>
        </is>
      </c>
      <c r="O1017" t="inlineStr">
        <is>
          <t>https://www.warhammer-community.com/en-gb/downloads/warhammer-40000/</t>
        </is>
      </c>
    </row>
    <row r="1018">
      <c r="A1018" t="inlineStr">
        <is>
          <t>Imperial Knights</t>
        </is>
      </c>
      <c r="C1018" t="inlineStr">
        <is>
          <t>Infantry / Other</t>
        </is>
      </c>
      <c r="D1018" t="inlineStr">
        <is>
          <t>Infantry</t>
        </is>
      </c>
      <c r="E1018" t="inlineStr">
        <is>
          <t>Knight Destrier</t>
        </is>
      </c>
      <c r="F1018" t="inlineStr">
        <is>
          <t>1 model</t>
        </is>
      </c>
      <c r="G1018" t="inlineStr">
        <is>
          <t>Infantry</t>
        </is>
      </c>
      <c r="L1018" t="n">
        <v>265</v>
      </c>
      <c r="M1018" t="inlineStr">
        <is>
          <t>Your 1st To 2nd Units Cost: 1 models = 265 pts | Your 3rd + Unit Costs: 1 models = 280 pts</t>
        </is>
      </c>
      <c r="N1018" t="inlineStr">
        <is>
          <t>Added from current Munitorum Field Manual v4.1 (non-Legends)</t>
        </is>
      </c>
      <c r="O1018" t="inlineStr">
        <is>
          <t>https://www.warhammer-community.com/en-gb/downloads/warhammer-40000/</t>
        </is>
      </c>
    </row>
    <row r="1019">
      <c r="A1019" t="inlineStr">
        <is>
          <t>Imperial Knights</t>
        </is>
      </c>
      <c r="C1019" t="inlineStr">
        <is>
          <t>Infantry / Other</t>
        </is>
      </c>
      <c r="D1019" t="inlineStr">
        <is>
          <t>Infantry</t>
        </is>
      </c>
      <c r="E1019" t="inlineStr">
        <is>
          <t>Questoris Knight Magaera</t>
        </is>
      </c>
      <c r="F1019" t="inlineStr">
        <is>
          <t>1 model</t>
        </is>
      </c>
      <c r="G1019" t="inlineStr">
        <is>
          <t>Infantry</t>
        </is>
      </c>
      <c r="L1019" t="n">
        <v>385</v>
      </c>
      <c r="M1019" t="inlineStr">
        <is>
          <t>Your 1st Unit Costs: 1 models = 385 pts | Your 2nd + Unit Costs: 1 models = 400 pts</t>
        </is>
      </c>
      <c r="N1019" t="inlineStr">
        <is>
          <t>Added from current Munitorum Field Manual v4.1 (non-Legends)</t>
        </is>
      </c>
      <c r="O1019" t="inlineStr">
        <is>
          <t>https://www.warhammer-community.com/en-gb/downloads/warhammer-40000/</t>
        </is>
      </c>
    </row>
    <row r="1020">
      <c r="A1020" t="inlineStr">
        <is>
          <t>Imperial Knights</t>
        </is>
      </c>
      <c r="C1020" t="inlineStr">
        <is>
          <t>Infantry / Other</t>
        </is>
      </c>
      <c r="D1020" t="inlineStr">
        <is>
          <t>Infantry</t>
        </is>
      </c>
      <c r="E1020" t="inlineStr">
        <is>
          <t>Questoris Knight Styrix</t>
        </is>
      </c>
      <c r="F1020" t="inlineStr">
        <is>
          <t>1 model</t>
        </is>
      </c>
      <c r="G1020" t="inlineStr">
        <is>
          <t>Infantry</t>
        </is>
      </c>
      <c r="L1020" t="n">
        <v>375</v>
      </c>
      <c r="M1020" t="inlineStr">
        <is>
          <t>Your 1st Unit Costs: 1 models = 375 pts | Your 2nd + Unit Costs: 1 models = 390 pts</t>
        </is>
      </c>
      <c r="N1020" t="inlineStr">
        <is>
          <t>Added from current Munitorum Field Manual v4.1 (non-Legends)</t>
        </is>
      </c>
      <c r="O1020" t="inlineStr">
        <is>
          <t>https://www.warhammer-community.com/en-gb/downloads/warhammer-40000/</t>
        </is>
      </c>
    </row>
    <row r="1021">
      <c r="A1021" t="inlineStr">
        <is>
          <t>Leagues of Votann</t>
        </is>
      </c>
      <c r="C1021" t="inlineStr">
        <is>
          <t>Infantry / Other</t>
        </is>
      </c>
      <c r="D1021" t="inlineStr">
        <is>
          <t>Infantry</t>
        </is>
      </c>
      <c r="E1021" t="inlineStr">
        <is>
          <t>Arkanyst Evaluator</t>
        </is>
      </c>
      <c r="F1021" t="inlineStr">
        <is>
          <t>1 model</t>
        </is>
      </c>
      <c r="G1021" t="inlineStr">
        <is>
          <t>Infantry</t>
        </is>
      </c>
      <c r="L1021" t="n">
        <v>70</v>
      </c>
      <c r="N1021" t="inlineStr">
        <is>
          <t>Added from current Munitorum Field Manual v4.1 (non-Legends)</t>
        </is>
      </c>
      <c r="O1021" t="inlineStr">
        <is>
          <t>https://www.warhammer-community.com/en-gb/downloads/warhammer-40000/</t>
        </is>
      </c>
    </row>
    <row r="1022">
      <c r="A1022" t="inlineStr">
        <is>
          <t>Leagues of Votann</t>
        </is>
      </c>
      <c r="C1022" t="inlineStr">
        <is>
          <t>Character</t>
        </is>
      </c>
      <c r="D1022" t="inlineStr">
        <is>
          <t>Character</t>
        </is>
      </c>
      <c r="E1022" t="inlineStr">
        <is>
          <t>Berehk Stornbröw</t>
        </is>
      </c>
      <c r="F1022" t="inlineStr">
        <is>
          <t>1 model</t>
        </is>
      </c>
      <c r="G1022" t="inlineStr">
        <is>
          <t>Character</t>
        </is>
      </c>
      <c r="L1022" t="n">
        <v>95</v>
      </c>
      <c r="N1022" t="inlineStr">
        <is>
          <t>Added from current Munitorum Field Manual v4.1 (non-Legends)</t>
        </is>
      </c>
      <c r="O1022" t="inlineStr">
        <is>
          <t>https://www.warhammer-community.com/en-gb/downloads/warhammer-40000/</t>
        </is>
      </c>
    </row>
    <row r="1023">
      <c r="A1023" t="inlineStr">
        <is>
          <t>Leagues of Votann</t>
        </is>
      </c>
      <c r="C1023" t="inlineStr">
        <is>
          <t>Infantry / Other</t>
        </is>
      </c>
      <c r="D1023" t="inlineStr">
        <is>
          <t>Infantry</t>
        </is>
      </c>
      <c r="E1023" t="inlineStr">
        <is>
          <t>Buri Aegnirssen</t>
        </is>
      </c>
      <c r="F1023" t="inlineStr">
        <is>
          <t>1 model</t>
        </is>
      </c>
      <c r="G1023" t="inlineStr">
        <is>
          <t>Infantry</t>
        </is>
      </c>
      <c r="L1023" t="n">
        <v>95</v>
      </c>
      <c r="N1023" t="inlineStr">
        <is>
          <t>Added from current Munitorum Field Manual v4.1 (non-Legends)</t>
        </is>
      </c>
      <c r="O1023" t="inlineStr">
        <is>
          <t>https://www.warhammer-community.com/en-gb/downloads/warhammer-40000/</t>
        </is>
      </c>
    </row>
    <row r="1024">
      <c r="A1024" t="inlineStr">
        <is>
          <t>Leagues of Votann</t>
        </is>
      </c>
      <c r="C1024" t="inlineStr">
        <is>
          <t>Infantry / Other</t>
        </is>
      </c>
      <c r="D1024" t="inlineStr">
        <is>
          <t>Infantry</t>
        </is>
      </c>
      <c r="E1024" t="inlineStr">
        <is>
          <t>Cthonian Earthshakers</t>
        </is>
      </c>
      <c r="F1024" t="inlineStr">
        <is>
          <t>2 models</t>
        </is>
      </c>
      <c r="G1024" t="inlineStr">
        <is>
          <t>Infantry</t>
        </is>
      </c>
      <c r="L1024" t="n">
        <v>110</v>
      </c>
      <c r="N1024" t="inlineStr">
        <is>
          <t>Added from current Munitorum Field Manual v4.1 (non-Legends)</t>
        </is>
      </c>
      <c r="O1024" t="inlineStr">
        <is>
          <t>https://www.warhammer-community.com/en-gb/downloads/warhammer-40000/</t>
        </is>
      </c>
    </row>
    <row r="1025">
      <c r="A1025" t="inlineStr">
        <is>
          <t>Leagues of Votann</t>
        </is>
      </c>
      <c r="C1025" t="inlineStr">
        <is>
          <t>Infantry / Other</t>
        </is>
      </c>
      <c r="D1025" t="inlineStr">
        <is>
          <t>Infantry</t>
        </is>
      </c>
      <c r="E1025" t="inlineStr">
        <is>
          <t>Ironkin Steeljacks With Heavy Volkanite Disintegrators</t>
        </is>
      </c>
      <c r="F1025" t="inlineStr">
        <is>
          <t>3 models</t>
        </is>
      </c>
      <c r="G1025" t="inlineStr">
        <is>
          <t>Infantry</t>
        </is>
      </c>
      <c r="L1025" t="n">
        <v>80</v>
      </c>
      <c r="M1025" t="inlineStr">
        <is>
          <t>Your 1st To 2nd Units Cost: 3 models = 80 pts; 6 models = 160 pts | Your 3rd + Unit Costs: 3 models = 90 pts; 6 models = 170 pts</t>
        </is>
      </c>
      <c r="N1025" t="inlineStr">
        <is>
          <t>Added from current Munitorum Field Manual v4.1 (non-Legends)</t>
        </is>
      </c>
      <c r="O1025" t="inlineStr">
        <is>
          <t>https://www.warhammer-community.com/en-gb/downloads/warhammer-40000/</t>
        </is>
      </c>
    </row>
    <row r="1026">
      <c r="A1026" t="inlineStr">
        <is>
          <t>Leagues of Votann</t>
        </is>
      </c>
      <c r="C1026" t="inlineStr">
        <is>
          <t>Infantry / Other</t>
        </is>
      </c>
      <c r="D1026" t="inlineStr">
        <is>
          <t>Infantry</t>
        </is>
      </c>
      <c r="E1026" t="inlineStr">
        <is>
          <t>Ironkin Steeljacks With Melee Weapons</t>
        </is>
      </c>
      <c r="F1026" t="inlineStr">
        <is>
          <t>3 models</t>
        </is>
      </c>
      <c r="G1026" t="inlineStr">
        <is>
          <t>Infantry</t>
        </is>
      </c>
      <c r="L1026" t="n">
        <v>80</v>
      </c>
      <c r="M1026" t="inlineStr">
        <is>
          <t>Your 1st To 2nd Units Cost: 3 models = 80 pts; 6 models = 160 pts | Your 3rd + Unit Costs: 3 models = 90 pts; 6 models = 170 pts</t>
        </is>
      </c>
      <c r="N1026" t="inlineStr">
        <is>
          <t>Added from current Munitorum Field Manual v4.1 (non-Legends)</t>
        </is>
      </c>
      <c r="O1026" t="inlineStr">
        <is>
          <t>https://www.warhammer-community.com/en-gb/downloads/warhammer-40000/</t>
        </is>
      </c>
    </row>
    <row r="1027">
      <c r="A1027" t="inlineStr">
        <is>
          <t>Leagues of Votann</t>
        </is>
      </c>
      <c r="C1027" t="inlineStr">
        <is>
          <t>Vehicle / Support</t>
        </is>
      </c>
      <c r="D1027" t="inlineStr">
        <is>
          <t>Vehicle</t>
        </is>
      </c>
      <c r="E1027" t="inlineStr">
        <is>
          <t>Kapricus Carrier</t>
        </is>
      </c>
      <c r="F1027" t="inlineStr">
        <is>
          <t>1 model</t>
        </is>
      </c>
      <c r="G1027" t="inlineStr">
        <is>
          <t>Vehicle</t>
        </is>
      </c>
      <c r="L1027" t="n">
        <v>75</v>
      </c>
      <c r="N1027" t="inlineStr">
        <is>
          <t>Added from current Munitorum Field Manual v4.1 (non-Legends)</t>
        </is>
      </c>
      <c r="O1027" t="inlineStr">
        <is>
          <t>https://www.warhammer-community.com/en-gb/downloads/warhammer-40000/</t>
        </is>
      </c>
    </row>
    <row r="1028">
      <c r="A1028" t="inlineStr">
        <is>
          <t>Leagues of Votann</t>
        </is>
      </c>
      <c r="C1028" t="inlineStr">
        <is>
          <t>Infantry / Other</t>
        </is>
      </c>
      <c r="D1028" t="inlineStr">
        <is>
          <t>Infantry</t>
        </is>
      </c>
      <c r="E1028" t="inlineStr">
        <is>
          <t>Kapricus Defenders</t>
        </is>
      </c>
      <c r="F1028" t="inlineStr">
        <is>
          <t>1 model</t>
        </is>
      </c>
      <c r="G1028" t="inlineStr">
        <is>
          <t>Infantry</t>
        </is>
      </c>
      <c r="L1028" t="n">
        <v>65</v>
      </c>
      <c r="N1028" t="inlineStr">
        <is>
          <t>Added from current Munitorum Field Manual v4.1 (non-Legends)</t>
        </is>
      </c>
      <c r="O1028" t="inlineStr">
        <is>
          <t>https://www.warhammer-community.com/en-gb/downloads/warhammer-40000/</t>
        </is>
      </c>
    </row>
    <row r="1029">
      <c r="A1029" t="inlineStr">
        <is>
          <t>Leagues of Votann</t>
        </is>
      </c>
      <c r="C1029" t="inlineStr">
        <is>
          <t>Character</t>
        </is>
      </c>
      <c r="D1029" t="inlineStr">
        <is>
          <t>Character</t>
        </is>
      </c>
      <c r="E1029" t="inlineStr">
        <is>
          <t>Memnyr Strategist</t>
        </is>
      </c>
      <c r="F1029" t="inlineStr">
        <is>
          <t>1 model</t>
        </is>
      </c>
      <c r="G1029" t="inlineStr">
        <is>
          <t>Character</t>
        </is>
      </c>
      <c r="L1029" t="n">
        <v>45</v>
      </c>
      <c r="N1029" t="inlineStr">
        <is>
          <t>Added from current Munitorum Field Manual v4.1 (non-Legends)</t>
        </is>
      </c>
      <c r="O1029" t="inlineStr">
        <is>
          <t>https://www.warhammer-community.com/en-gb/downloads/warhammer-40000/</t>
        </is>
      </c>
    </row>
    <row r="1030">
      <c r="A1030" t="inlineStr">
        <is>
          <t>Necrons</t>
        </is>
      </c>
      <c r="C1030" t="inlineStr">
        <is>
          <t>Infantry / Other</t>
        </is>
      </c>
      <c r="D1030" t="inlineStr">
        <is>
          <t>Infantry</t>
        </is>
      </c>
      <c r="E1030" t="inlineStr">
        <is>
          <t>Canoptek Macrocytes</t>
        </is>
      </c>
      <c r="F1030" t="inlineStr">
        <is>
          <t>5 models</t>
        </is>
      </c>
      <c r="G1030" t="inlineStr">
        <is>
          <t>Infantry</t>
        </is>
      </c>
      <c r="L1030" t="n">
        <v>70</v>
      </c>
      <c r="N1030" t="inlineStr">
        <is>
          <t>Added from current Munitorum Field Manual v4.1 (non-Legends)</t>
        </is>
      </c>
      <c r="O1030" t="inlineStr">
        <is>
          <t>https://www.warhammer-community.com/en-gb/downloads/warhammer-40000/</t>
        </is>
      </c>
    </row>
    <row r="1031">
      <c r="A1031" t="inlineStr">
        <is>
          <t>Necrons</t>
        </is>
      </c>
      <c r="C1031" t="inlineStr">
        <is>
          <t>Infantry / Other</t>
        </is>
      </c>
      <c r="D1031" t="inlineStr">
        <is>
          <t>Infantry</t>
        </is>
      </c>
      <c r="E1031" t="inlineStr">
        <is>
          <t>Canoptek Tomb Crawlers</t>
        </is>
      </c>
      <c r="F1031" t="inlineStr">
        <is>
          <t>2 models</t>
        </is>
      </c>
      <c r="G1031" t="inlineStr">
        <is>
          <t>Infantry</t>
        </is>
      </c>
      <c r="L1031" t="n">
        <v>50</v>
      </c>
      <c r="N1031" t="inlineStr">
        <is>
          <t>Added from current Munitorum Field Manual v4.1 (non-Legends)</t>
        </is>
      </c>
      <c r="O1031" t="inlineStr">
        <is>
          <t>https://www.warhammer-community.com/en-gb/downloads/warhammer-40000/</t>
        </is>
      </c>
    </row>
    <row r="1032">
      <c r="A1032" t="inlineStr">
        <is>
          <t>Necrons</t>
        </is>
      </c>
      <c r="C1032" t="inlineStr">
        <is>
          <t>Infantry / Other</t>
        </is>
      </c>
      <c r="D1032" t="inlineStr">
        <is>
          <t>Infantry</t>
        </is>
      </c>
      <c r="E1032" t="inlineStr">
        <is>
          <t>Cryptothralls</t>
        </is>
      </c>
      <c r="F1032" t="inlineStr">
        <is>
          <t>2 models</t>
        </is>
      </c>
      <c r="G1032" t="inlineStr">
        <is>
          <t>Infantry</t>
        </is>
      </c>
      <c r="L1032" t="n">
        <v>60</v>
      </c>
      <c r="N1032" t="inlineStr">
        <is>
          <t>Added from current Munitorum Field Manual v4.1 (non-Legends)</t>
        </is>
      </c>
      <c r="O1032" t="inlineStr">
        <is>
          <t>https://www.warhammer-community.com/en-gb/downloads/warhammer-40000/</t>
        </is>
      </c>
    </row>
    <row r="1033">
      <c r="A1033" t="inlineStr">
        <is>
          <t>Necrons</t>
        </is>
      </c>
      <c r="C1033" t="inlineStr">
        <is>
          <t>Character</t>
        </is>
      </c>
      <c r="D1033" t="inlineStr">
        <is>
          <t>Character</t>
        </is>
      </c>
      <c r="E1033" t="inlineStr">
        <is>
          <t>Geomancer</t>
        </is>
      </c>
      <c r="F1033" t="inlineStr">
        <is>
          <t>1 model</t>
        </is>
      </c>
      <c r="G1033" t="inlineStr">
        <is>
          <t>Character</t>
        </is>
      </c>
      <c r="L1033" t="n">
        <v>75</v>
      </c>
      <c r="N1033" t="inlineStr">
        <is>
          <t>Added from current Munitorum Field Manual v4.1 (non-Legends)</t>
        </is>
      </c>
      <c r="O1033" t="inlineStr">
        <is>
          <t>https://www.warhammer-community.com/en-gb/downloads/warhammer-40000/</t>
        </is>
      </c>
    </row>
    <row r="1034">
      <c r="A1034" t="inlineStr">
        <is>
          <t>Necrons</t>
        </is>
      </c>
      <c r="C1034" t="inlineStr">
        <is>
          <t>Character</t>
        </is>
      </c>
      <c r="D1034" t="inlineStr">
        <is>
          <t>Character</t>
        </is>
      </c>
      <c r="E1034" t="inlineStr">
        <is>
          <t>Nekrosor Ammentar</t>
        </is>
      </c>
      <c r="F1034" t="inlineStr">
        <is>
          <t>1 model</t>
        </is>
      </c>
      <c r="G1034" t="inlineStr">
        <is>
          <t>Character</t>
        </is>
      </c>
      <c r="L1034" t="n">
        <v>175</v>
      </c>
      <c r="N1034" t="inlineStr">
        <is>
          <t>Added from current Munitorum Field Manual v4.1 (non-Legends)</t>
        </is>
      </c>
      <c r="O1034" t="inlineStr">
        <is>
          <t>https://www.warhammer-community.com/en-gb/downloads/warhammer-40000/</t>
        </is>
      </c>
    </row>
    <row r="1035">
      <c r="A1035" t="inlineStr">
        <is>
          <t>Necrons</t>
        </is>
      </c>
      <c r="C1035" t="inlineStr">
        <is>
          <t>Vehicle / Support</t>
        </is>
      </c>
      <c r="D1035" t="inlineStr">
        <is>
          <t>Vehicle</t>
        </is>
      </c>
      <c r="E1035" t="inlineStr">
        <is>
          <t>Seraptek Heavy Construct</t>
        </is>
      </c>
      <c r="F1035" t="inlineStr">
        <is>
          <t>1 model</t>
        </is>
      </c>
      <c r="G1035" t="inlineStr">
        <is>
          <t>Vehicle</t>
        </is>
      </c>
      <c r="L1035" t="n">
        <v>540</v>
      </c>
      <c r="M1035" t="inlineStr">
        <is>
          <t>Your 1st Unit Costs: 1 models = 540 pts | Your 2nd + Unit Costs: 1 models = 570 pts</t>
        </is>
      </c>
      <c r="N1035" t="inlineStr">
        <is>
          <t>Added from current Munitorum Field Manual v4.1 (non-Legends)</t>
        </is>
      </c>
      <c r="O1035" t="inlineStr">
        <is>
          <t>https://www.warhammer-community.com/en-gb/downloads/warhammer-40000/</t>
        </is>
      </c>
    </row>
    <row r="1036">
      <c r="A1036" t="inlineStr">
        <is>
          <t>Orks</t>
        </is>
      </c>
      <c r="C1036" t="inlineStr">
        <is>
          <t>Character</t>
        </is>
      </c>
      <c r="D1036" t="inlineStr">
        <is>
          <t>Character</t>
        </is>
      </c>
      <c r="E1036" t="inlineStr">
        <is>
          <t>Bannernob</t>
        </is>
      </c>
      <c r="F1036" t="inlineStr">
        <is>
          <t>1 model</t>
        </is>
      </c>
      <c r="G1036" t="inlineStr">
        <is>
          <t>Character</t>
        </is>
      </c>
      <c r="L1036" t="n">
        <v>50</v>
      </c>
      <c r="N1036" t="inlineStr">
        <is>
          <t>Added from current Munitorum Field Manual v4.1 (non-Legends)</t>
        </is>
      </c>
      <c r="O1036" t="inlineStr">
        <is>
          <t>https://www.warhammer-community.com/en-gb/downloads/warhammer-40000/</t>
        </is>
      </c>
    </row>
    <row r="1037">
      <c r="A1037" t="inlineStr">
        <is>
          <t>Orks</t>
        </is>
      </c>
      <c r="C1037" t="inlineStr">
        <is>
          <t>Infantry / Other</t>
        </is>
      </c>
      <c r="D1037" t="inlineStr">
        <is>
          <t>Infantry</t>
        </is>
      </c>
      <c r="E1037" t="inlineStr">
        <is>
          <t>Big Mek Dakkarig</t>
        </is>
      </c>
      <c r="F1037" t="inlineStr">
        <is>
          <t>1 model</t>
        </is>
      </c>
      <c r="G1037" t="inlineStr">
        <is>
          <t>Infantry</t>
        </is>
      </c>
      <c r="L1037" t="n">
        <v>100</v>
      </c>
      <c r="M1037" t="inlineStr">
        <is>
          <t>Your 1st To 2nd Units Cost: 1 models = 100 pts | Your 3rd + Unit Costs: 1 models = 110 pts</t>
        </is>
      </c>
      <c r="N1037" t="inlineStr">
        <is>
          <t>Added from current Munitorum Field Manual v4.1 (non-Legends)</t>
        </is>
      </c>
      <c r="O1037" t="inlineStr">
        <is>
          <t>https://www.warhammer-community.com/en-gb/downloads/warhammer-40000/</t>
        </is>
      </c>
    </row>
    <row r="1038">
      <c r="A1038" t="inlineStr">
        <is>
          <t>Orks</t>
        </is>
      </c>
      <c r="C1038" t="inlineStr">
        <is>
          <t>Character</t>
        </is>
      </c>
      <c r="D1038" t="inlineStr">
        <is>
          <t>Character</t>
        </is>
      </c>
      <c r="E1038" t="inlineStr">
        <is>
          <t>Bigboss</t>
        </is>
      </c>
      <c r="F1038" t="inlineStr">
        <is>
          <t>1 model</t>
        </is>
      </c>
      <c r="G1038" t="inlineStr">
        <is>
          <t>Character</t>
        </is>
      </c>
      <c r="L1038" t="n">
        <v>55</v>
      </c>
      <c r="N1038" t="inlineStr">
        <is>
          <t>Added from current Munitorum Field Manual v4.1 (non-Legends)</t>
        </is>
      </c>
      <c r="O1038" t="inlineStr">
        <is>
          <t>https://www.warhammer-community.com/en-gb/downloads/warhammer-40000/</t>
        </is>
      </c>
    </row>
    <row r="1039">
      <c r="A1039" t="inlineStr">
        <is>
          <t>Orks</t>
        </is>
      </c>
      <c r="C1039" t="inlineStr">
        <is>
          <t>Character</t>
        </is>
      </c>
      <c r="D1039" t="inlineStr">
        <is>
          <t>Character</t>
        </is>
      </c>
      <c r="E1039" t="inlineStr">
        <is>
          <t>Big’Ed Bossbunka</t>
        </is>
      </c>
      <c r="F1039" t="inlineStr">
        <is>
          <t>1 model</t>
        </is>
      </c>
      <c r="G1039" t="inlineStr">
        <is>
          <t>Character</t>
        </is>
      </c>
      <c r="L1039" t="n">
        <v>135</v>
      </c>
      <c r="N1039" t="inlineStr">
        <is>
          <t>Added from current Munitorum Field Manual v4.1 (non-Legends)</t>
        </is>
      </c>
      <c r="O1039" t="inlineStr">
        <is>
          <t>https://www.warhammer-community.com/en-gb/downloads/warhammer-40000/</t>
        </is>
      </c>
    </row>
    <row r="1040">
      <c r="A1040" t="inlineStr">
        <is>
          <t>Orks</t>
        </is>
      </c>
      <c r="C1040" t="inlineStr">
        <is>
          <t>Infantry / Other</t>
        </is>
      </c>
      <c r="D1040" t="inlineStr">
        <is>
          <t>Infantry</t>
        </is>
      </c>
      <c r="E1040" t="inlineStr">
        <is>
          <t>Breaka Boyz</t>
        </is>
      </c>
      <c r="F1040" t="inlineStr">
        <is>
          <t>6 models</t>
        </is>
      </c>
      <c r="G1040" t="inlineStr">
        <is>
          <t>Infantry</t>
        </is>
      </c>
      <c r="L1040" t="n">
        <v>125</v>
      </c>
      <c r="M1040" t="inlineStr">
        <is>
          <t>Your 1st To 2nd Units Cost: 6 models = 125 pts | Your 3rd + Unit Costs: 6 models = 135 pts</t>
        </is>
      </c>
      <c r="N1040" t="inlineStr">
        <is>
          <t>Added from current Munitorum Field Manual v4.1 (non-Legends)</t>
        </is>
      </c>
      <c r="O1040" t="inlineStr">
        <is>
          <t>https://www.warhammer-community.com/en-gb/downloads/warhammer-40000/</t>
        </is>
      </c>
    </row>
    <row r="1041">
      <c r="A1041" t="inlineStr">
        <is>
          <t>Orks</t>
        </is>
      </c>
      <c r="C1041" t="inlineStr">
        <is>
          <t>Infantry / Other</t>
        </is>
      </c>
      <c r="D1041" t="inlineStr">
        <is>
          <t>Beast / Swarm</t>
        </is>
      </c>
      <c r="E1041" t="inlineStr">
        <is>
          <t>Gargantuan Squiggoth</t>
        </is>
      </c>
      <c r="F1041" t="inlineStr">
        <is>
          <t>1 model</t>
        </is>
      </c>
      <c r="G1041" t="inlineStr">
        <is>
          <t>Beast / Swarm</t>
        </is>
      </c>
      <c r="L1041" t="n">
        <v>440</v>
      </c>
      <c r="M1041" t="inlineStr">
        <is>
          <t>Your 1st Unit Costs: 1 models = 440 pts | Your 2nd + Unit Costs: 1 models = 490 pts</t>
        </is>
      </c>
      <c r="N1041" t="inlineStr">
        <is>
          <t>Added from current Munitorum Field Manual v4.1 (non-Legends)</t>
        </is>
      </c>
      <c r="O1041" t="inlineStr">
        <is>
          <t>https://www.warhammer-community.com/en-gb/downloads/warhammer-40000/</t>
        </is>
      </c>
    </row>
    <row r="1042">
      <c r="A1042" t="inlineStr">
        <is>
          <t>Orks</t>
        </is>
      </c>
      <c r="C1042" t="inlineStr">
        <is>
          <t>Infantry / Other</t>
        </is>
      </c>
      <c r="D1042" t="inlineStr">
        <is>
          <t>Infantry</t>
        </is>
      </c>
      <c r="E1042" t="inlineStr">
        <is>
          <t>Kustom Boosta-Blasta</t>
        </is>
      </c>
      <c r="F1042" t="inlineStr">
        <is>
          <t>1 model</t>
        </is>
      </c>
      <c r="G1042" t="inlineStr">
        <is>
          <t>Infantry</t>
        </is>
      </c>
      <c r="L1042" t="n">
        <v>70</v>
      </c>
      <c r="N1042" t="inlineStr">
        <is>
          <t>Added from current Munitorum Field Manual v4.1 (non-Legends)</t>
        </is>
      </c>
      <c r="O1042" t="inlineStr">
        <is>
          <t>https://www.warhammer-community.com/en-gb/downloads/warhammer-40000/</t>
        </is>
      </c>
    </row>
    <row r="1043">
      <c r="A1043" t="inlineStr">
        <is>
          <t>Orks</t>
        </is>
      </c>
      <c r="C1043" t="inlineStr">
        <is>
          <t>Infantry / Other</t>
        </is>
      </c>
      <c r="D1043" t="inlineStr">
        <is>
          <t>Mounted / Bike</t>
        </is>
      </c>
      <c r="E1043" t="inlineStr">
        <is>
          <t>Wartrakk</t>
        </is>
      </c>
      <c r="F1043" t="inlineStr">
        <is>
          <t>1 model</t>
        </is>
      </c>
      <c r="G1043" t="inlineStr">
        <is>
          <t>Mounted / Bike</t>
        </is>
      </c>
      <c r="L1043" t="n">
        <v>60</v>
      </c>
      <c r="N1043" t="inlineStr">
        <is>
          <t>Added from current Munitorum Field Manual v4.1 (non-Legends)</t>
        </is>
      </c>
      <c r="O1043" t="inlineStr">
        <is>
          <t>https://www.warhammer-community.com/en-gb/downloads/warhammer-40000/</t>
        </is>
      </c>
    </row>
    <row r="1044">
      <c r="A1044" t="inlineStr">
        <is>
          <t>Orks</t>
        </is>
      </c>
      <c r="C1044" t="inlineStr">
        <is>
          <t>Infantry / Other</t>
        </is>
      </c>
      <c r="D1044" t="inlineStr">
        <is>
          <t>Infantry</t>
        </is>
      </c>
      <c r="E1044" t="inlineStr">
        <is>
          <t>Wazdakka Gutsmek</t>
        </is>
      </c>
      <c r="F1044" t="inlineStr">
        <is>
          <t>1 model</t>
        </is>
      </c>
      <c r="G1044" t="inlineStr">
        <is>
          <t>Infantry</t>
        </is>
      </c>
      <c r="L1044" t="n">
        <v>175</v>
      </c>
      <c r="N1044" t="inlineStr">
        <is>
          <t>Added from current Munitorum Field Manual v4.1 (non-Legends)</t>
        </is>
      </c>
      <c r="O1044" t="inlineStr">
        <is>
          <t>https://www.warhammer-community.com/en-gb/downloads/warhammer-40000/</t>
        </is>
      </c>
    </row>
    <row r="1045">
      <c r="A1045" t="inlineStr">
        <is>
          <t>Orks</t>
        </is>
      </c>
      <c r="C1045" t="inlineStr">
        <is>
          <t>Character</t>
        </is>
      </c>
      <c r="D1045" t="inlineStr">
        <is>
          <t>Character</t>
        </is>
      </c>
      <c r="E1045" t="inlineStr">
        <is>
          <t>Wurrboy</t>
        </is>
      </c>
      <c r="F1045" t="inlineStr">
        <is>
          <t>1 model</t>
        </is>
      </c>
      <c r="G1045" t="inlineStr">
        <is>
          <t>Character</t>
        </is>
      </c>
      <c r="L1045" t="n">
        <v>60</v>
      </c>
      <c r="N1045" t="inlineStr">
        <is>
          <t>Added from current Munitorum Field Manual v4.1 (non-Legends)</t>
        </is>
      </c>
      <c r="O1045" t="inlineStr">
        <is>
          <t>https://www.warhammer-community.com/en-gb/downloads/warhammer-40000/</t>
        </is>
      </c>
    </row>
    <row r="1046">
      <c r="A1046" t="inlineStr">
        <is>
          <t>Raven Guard</t>
        </is>
      </c>
      <c r="B1046" t="inlineStr">
        <is>
          <t>Raven Guard</t>
        </is>
      </c>
      <c r="C1046" t="inlineStr">
        <is>
          <t>Infantry / Other</t>
        </is>
      </c>
      <c r="D1046" t="inlineStr">
        <is>
          <t>Infantry</t>
        </is>
      </c>
      <c r="E1046" t="inlineStr">
        <is>
          <t>Aethon Shaan</t>
        </is>
      </c>
      <c r="F1046" t="inlineStr">
        <is>
          <t>1 model</t>
        </is>
      </c>
      <c r="G1046" t="inlineStr">
        <is>
          <t>Infantry</t>
        </is>
      </c>
      <c r="L1046" t="n">
        <v>100</v>
      </c>
      <c r="N1046" t="inlineStr">
        <is>
          <t>Added from current Munitorum Field Manual v4.1 (non-Legends)</t>
        </is>
      </c>
      <c r="O1046" t="inlineStr">
        <is>
          <t>https://www.warhammer-community.com/en-gb/downloads/warhammer-40000/</t>
        </is>
      </c>
    </row>
    <row r="1047">
      <c r="A1047" t="inlineStr">
        <is>
          <t>Space Marines</t>
        </is>
      </c>
      <c r="B1047" t="inlineStr">
        <is>
          <t>Space Marines</t>
        </is>
      </c>
      <c r="C1047" t="inlineStr">
        <is>
          <t>Character</t>
        </is>
      </c>
      <c r="D1047" t="inlineStr">
        <is>
          <t>Character</t>
        </is>
      </c>
      <c r="E1047" t="inlineStr">
        <is>
          <t>Ancient In Terminator Armour</t>
        </is>
      </c>
      <c r="F1047" t="inlineStr">
        <is>
          <t>1 model</t>
        </is>
      </c>
      <c r="G1047" t="inlineStr">
        <is>
          <t>Character</t>
        </is>
      </c>
      <c r="L1047" t="n">
        <v>65</v>
      </c>
      <c r="N1047" t="inlineStr">
        <is>
          <t>Added from current Munitorum Field Manual v4.1 (non-Legends)</t>
        </is>
      </c>
      <c r="O1047" t="inlineStr">
        <is>
          <t>https://www.warhammer-community.com/en-gb/downloads/warhammer-40000/</t>
        </is>
      </c>
    </row>
    <row r="1048">
      <c r="A1048" t="inlineStr">
        <is>
          <t>Space Marines</t>
        </is>
      </c>
      <c r="B1048" t="inlineStr">
        <is>
          <t>Space Marines</t>
        </is>
      </c>
      <c r="C1048" t="inlineStr">
        <is>
          <t>Infantry / Other</t>
        </is>
      </c>
      <c r="D1048" t="inlineStr">
        <is>
          <t>Infantry</t>
        </is>
      </c>
      <c r="E1048" t="inlineStr">
        <is>
          <t>Astraeus</t>
        </is>
      </c>
      <c r="F1048" t="inlineStr">
        <is>
          <t>1 model</t>
        </is>
      </c>
      <c r="G1048" t="inlineStr">
        <is>
          <t>Infantry</t>
        </is>
      </c>
      <c r="L1048" t="n">
        <v>525</v>
      </c>
      <c r="M1048" t="inlineStr">
        <is>
          <t>Your 1st Unit Costs: 1 models = 525 pts | Your 2nd + Unit Costs: 1 models = 575 pts</t>
        </is>
      </c>
      <c r="N1048" t="inlineStr">
        <is>
          <t>Added from current Munitorum Field Manual v4.1 (non-Legends)</t>
        </is>
      </c>
      <c r="O1048" t="inlineStr">
        <is>
          <t>https://www.warhammer-community.com/en-gb/downloads/warhammer-40000/</t>
        </is>
      </c>
    </row>
    <row r="1049">
      <c r="A1049" t="inlineStr">
        <is>
          <t>Iron Hands</t>
        </is>
      </c>
      <c r="B1049" t="inlineStr">
        <is>
          <t>Iron Hands</t>
        </is>
      </c>
      <c r="C1049" t="inlineStr">
        <is>
          <t>Character</t>
        </is>
      </c>
      <c r="D1049" t="inlineStr">
        <is>
          <t>Character</t>
        </is>
      </c>
      <c r="E1049" t="inlineStr">
        <is>
          <t>Caanok Var</t>
        </is>
      </c>
      <c r="F1049" t="inlineStr">
        <is>
          <t>1 model</t>
        </is>
      </c>
      <c r="G1049" t="inlineStr">
        <is>
          <t>Character</t>
        </is>
      </c>
      <c r="L1049" t="n">
        <v>90</v>
      </c>
      <c r="N1049" t="inlineStr">
        <is>
          <t>Added from current Munitorum Field Manual v4.1 (non-Legends)</t>
        </is>
      </c>
      <c r="O1049" t="inlineStr">
        <is>
          <t>https://www.warhammer-community.com/en-gb/downloads/warhammer-40000/</t>
        </is>
      </c>
    </row>
    <row r="1050">
      <c r="A1050" t="inlineStr">
        <is>
          <t>Ultramarines</t>
        </is>
      </c>
      <c r="B1050" t="inlineStr">
        <is>
          <t>Ultramarines</t>
        </is>
      </c>
      <c r="C1050" t="inlineStr">
        <is>
          <t>Character</t>
        </is>
      </c>
      <c r="D1050" t="inlineStr">
        <is>
          <t>Character</t>
        </is>
      </c>
      <c r="E1050" t="inlineStr">
        <is>
          <t>Captain Titus</t>
        </is>
      </c>
      <c r="F1050" t="inlineStr">
        <is>
          <t>1 model</t>
        </is>
      </c>
      <c r="G1050" t="inlineStr">
        <is>
          <t>Character</t>
        </is>
      </c>
      <c r="L1050" t="n">
        <v>90</v>
      </c>
      <c r="N1050" t="inlineStr">
        <is>
          <t>Added from current Munitorum Field Manual v4.1 (non-Legends)</t>
        </is>
      </c>
      <c r="O1050" t="inlineStr">
        <is>
          <t>https://www.warhammer-community.com/en-gb/downloads/warhammer-40000/</t>
        </is>
      </c>
    </row>
    <row r="1051">
      <c r="A1051" t="inlineStr">
        <is>
          <t>Space Marines</t>
        </is>
      </c>
      <c r="B1051" t="inlineStr">
        <is>
          <t>Space Marines</t>
        </is>
      </c>
      <c r="C1051" t="inlineStr">
        <is>
          <t>Character</t>
        </is>
      </c>
      <c r="D1051" t="inlineStr">
        <is>
          <t>Character</t>
        </is>
      </c>
      <c r="E1051" t="inlineStr">
        <is>
          <t>Captain With Jump Pack</t>
        </is>
      </c>
      <c r="F1051" t="inlineStr">
        <is>
          <t>1 model</t>
        </is>
      </c>
      <c r="G1051" t="inlineStr">
        <is>
          <t>Character</t>
        </is>
      </c>
      <c r="L1051" t="n">
        <v>75</v>
      </c>
      <c r="N1051" t="inlineStr">
        <is>
          <t>Added from current Munitorum Field Manual v4.1 (non-Legends)</t>
        </is>
      </c>
      <c r="O1051" t="inlineStr">
        <is>
          <t>https://www.warhammer-community.com/en-gb/downloads/warhammer-40000/</t>
        </is>
      </c>
    </row>
    <row r="1052">
      <c r="A1052" t="inlineStr">
        <is>
          <t>Ultramarines</t>
        </is>
      </c>
      <c r="B1052" t="inlineStr">
        <is>
          <t>Ultramarines</t>
        </is>
      </c>
      <c r="C1052" t="inlineStr">
        <is>
          <t>Character</t>
        </is>
      </c>
      <c r="D1052" t="inlineStr">
        <is>
          <t>Character</t>
        </is>
      </c>
      <c r="E1052" t="inlineStr">
        <is>
          <t>Cato Sicarius</t>
        </is>
      </c>
      <c r="F1052" t="inlineStr">
        <is>
          <t>1 model</t>
        </is>
      </c>
      <c r="G1052" t="inlineStr">
        <is>
          <t>Character</t>
        </is>
      </c>
      <c r="L1052" t="n">
        <v>95</v>
      </c>
      <c r="N1052" t="inlineStr">
        <is>
          <t>Added from current Munitorum Field Manual v4.1 (non-Legends)</t>
        </is>
      </c>
      <c r="O1052" t="inlineStr">
        <is>
          <t>https://www.warhammer-community.com/en-gb/downloads/warhammer-40000/</t>
        </is>
      </c>
    </row>
    <row r="1053">
      <c r="A1053" t="inlineStr">
        <is>
          <t>Space Marines</t>
        </is>
      </c>
      <c r="B1053" t="inlineStr">
        <is>
          <t>Space Marines</t>
        </is>
      </c>
      <c r="C1053" t="inlineStr">
        <is>
          <t>Infantry / Other</t>
        </is>
      </c>
      <c r="D1053" t="inlineStr">
        <is>
          <t>Infantry</t>
        </is>
      </c>
      <c r="E1053" t="inlineStr">
        <is>
          <t>Centurion Assault Squad</t>
        </is>
      </c>
      <c r="F1053" t="inlineStr">
        <is>
          <t>3 models</t>
        </is>
      </c>
      <c r="G1053" t="inlineStr">
        <is>
          <t>Infantry</t>
        </is>
      </c>
      <c r="L1053" t="n">
        <v>150</v>
      </c>
      <c r="N1053" t="inlineStr">
        <is>
          <t>Added from current Munitorum Field Manual v4.1 (non-Legends)</t>
        </is>
      </c>
      <c r="O1053" t="inlineStr">
        <is>
          <t>https://www.warhammer-community.com/en-gb/downloads/warhammer-40000/</t>
        </is>
      </c>
    </row>
    <row r="1054">
      <c r="A1054" t="inlineStr">
        <is>
          <t>Space Marines</t>
        </is>
      </c>
      <c r="B1054" t="inlineStr">
        <is>
          <t>Space Marines</t>
        </is>
      </c>
      <c r="C1054" t="inlineStr">
        <is>
          <t>Infantry / Other</t>
        </is>
      </c>
      <c r="D1054" t="inlineStr">
        <is>
          <t>Infantry</t>
        </is>
      </c>
      <c r="E1054" t="inlineStr">
        <is>
          <t>Centurion Devastator Squad</t>
        </is>
      </c>
      <c r="F1054" t="inlineStr">
        <is>
          <t>3 models</t>
        </is>
      </c>
      <c r="G1054" t="inlineStr">
        <is>
          <t>Infantry</t>
        </is>
      </c>
      <c r="L1054" t="n">
        <v>175</v>
      </c>
      <c r="N1054" t="inlineStr">
        <is>
          <t>Added from current Munitorum Field Manual v4.1 (non-Legends)</t>
        </is>
      </c>
      <c r="O1054" t="inlineStr">
        <is>
          <t>https://www.warhammer-community.com/en-gb/downloads/warhammer-40000/</t>
        </is>
      </c>
    </row>
    <row r="1055">
      <c r="A1055" t="inlineStr">
        <is>
          <t>Space Marines</t>
        </is>
      </c>
      <c r="B1055" t="inlineStr">
        <is>
          <t>Space Marines</t>
        </is>
      </c>
      <c r="C1055" t="inlineStr">
        <is>
          <t>Character</t>
        </is>
      </c>
      <c r="D1055" t="inlineStr">
        <is>
          <t>Character</t>
        </is>
      </c>
      <c r="E1055" t="inlineStr">
        <is>
          <t>Chaplain With Jump Pack</t>
        </is>
      </c>
      <c r="F1055" t="inlineStr">
        <is>
          <t>1 model</t>
        </is>
      </c>
      <c r="G1055" t="inlineStr">
        <is>
          <t>Character</t>
        </is>
      </c>
      <c r="L1055" t="n">
        <v>75</v>
      </c>
      <c r="N1055" t="inlineStr">
        <is>
          <t>Added from current Munitorum Field Manual v4.1 (non-Legends)</t>
        </is>
      </c>
      <c r="O1055" t="inlineStr">
        <is>
          <t>https://www.warhammer-community.com/en-gb/downloads/warhammer-40000/</t>
        </is>
      </c>
    </row>
    <row r="1056">
      <c r="A1056" t="inlineStr">
        <is>
          <t>Ultramarines</t>
        </is>
      </c>
      <c r="B1056" t="inlineStr">
        <is>
          <t>Ultramarines</t>
        </is>
      </c>
      <c r="C1056" t="inlineStr">
        <is>
          <t>Character</t>
        </is>
      </c>
      <c r="D1056" t="inlineStr">
        <is>
          <t>Character</t>
        </is>
      </c>
      <c r="E1056" t="inlineStr">
        <is>
          <t>Chief Librarian Tigurius</t>
        </is>
      </c>
      <c r="F1056" t="inlineStr">
        <is>
          <t>1 model</t>
        </is>
      </c>
      <c r="G1056" t="inlineStr">
        <is>
          <t>Character</t>
        </is>
      </c>
      <c r="L1056" t="n">
        <v>95</v>
      </c>
      <c r="N1056" t="inlineStr">
        <is>
          <t>Added from current Munitorum Field Manual v4.1 (non-Legends)</t>
        </is>
      </c>
      <c r="O1056" t="inlineStr">
        <is>
          <t>https://www.warhammer-community.com/en-gb/downloads/warhammer-40000/</t>
        </is>
      </c>
    </row>
    <row r="1057">
      <c r="A1057" t="inlineStr">
        <is>
          <t>Space Marines</t>
        </is>
      </c>
      <c r="B1057" t="inlineStr">
        <is>
          <t>Space Marines</t>
        </is>
      </c>
      <c r="C1057" t="inlineStr">
        <is>
          <t>Vehicle / Support</t>
        </is>
      </c>
      <c r="D1057" t="inlineStr">
        <is>
          <t>Vehicle</t>
        </is>
      </c>
      <c r="E1057" t="inlineStr">
        <is>
          <t>Dreadnought</t>
        </is>
      </c>
      <c r="F1057" t="inlineStr">
        <is>
          <t>1 model</t>
        </is>
      </c>
      <c r="G1057" t="inlineStr">
        <is>
          <t>Vehicle</t>
        </is>
      </c>
      <c r="L1057" t="n">
        <v>135</v>
      </c>
      <c r="N1057" t="inlineStr">
        <is>
          <t>Added from current Munitorum Field Manual v4.1 (non-Legends)</t>
        </is>
      </c>
      <c r="O1057" t="inlineStr">
        <is>
          <t>https://www.warhammer-community.com/en-gb/downloads/warhammer-40000/</t>
        </is>
      </c>
    </row>
    <row r="1058">
      <c r="A1058" t="inlineStr">
        <is>
          <t>Space Marines</t>
        </is>
      </c>
      <c r="B1058" t="inlineStr">
        <is>
          <t>Space Marines</t>
        </is>
      </c>
      <c r="C1058" t="inlineStr">
        <is>
          <t>Infantry / Other</t>
        </is>
      </c>
      <c r="D1058" t="inlineStr">
        <is>
          <t>Infantry</t>
        </is>
      </c>
      <c r="E1058" t="inlineStr">
        <is>
          <t>Drop Pod</t>
        </is>
      </c>
      <c r="F1058" t="inlineStr">
        <is>
          <t>1 model</t>
        </is>
      </c>
      <c r="G1058" t="inlineStr">
        <is>
          <t>Infantry</t>
        </is>
      </c>
      <c r="L1058" t="n">
        <v>70</v>
      </c>
      <c r="N1058" t="inlineStr">
        <is>
          <t>Added from current Munitorum Field Manual v4.1 (non-Legends)</t>
        </is>
      </c>
      <c r="O1058" t="inlineStr">
        <is>
          <t>https://www.warhammer-community.com/en-gb/downloads/warhammer-40000/</t>
        </is>
      </c>
    </row>
    <row r="1059">
      <c r="A1059" t="inlineStr">
        <is>
          <t>Space Marines</t>
        </is>
      </c>
      <c r="B1059" t="inlineStr">
        <is>
          <t>Space Marines</t>
        </is>
      </c>
      <c r="C1059" t="inlineStr">
        <is>
          <t>Infantry / Other</t>
        </is>
      </c>
      <c r="D1059" t="inlineStr">
        <is>
          <t>Infantry</t>
        </is>
      </c>
      <c r="E1059" t="inlineStr">
        <is>
          <t>Eradicator Squad With Heavy Bolters</t>
        </is>
      </c>
      <c r="F1059" t="inlineStr">
        <is>
          <t>3 models</t>
        </is>
      </c>
      <c r="G1059" t="inlineStr">
        <is>
          <t>Infantry</t>
        </is>
      </c>
      <c r="L1059" t="n">
        <v>70</v>
      </c>
      <c r="M1059" t="inlineStr">
        <is>
          <t>Your 1st To 2nd Units Cost: 3 models = 70 pts | Your 3rd + Unit Costs: 3 models = 80 pts</t>
        </is>
      </c>
      <c r="N1059" t="inlineStr">
        <is>
          <t>Added from current Munitorum Field Manual v4.1 (non-Legends)</t>
        </is>
      </c>
      <c r="O1059" t="inlineStr">
        <is>
          <t>https://www.warhammer-community.com/en-gb/downloads/warhammer-40000/</t>
        </is>
      </c>
    </row>
    <row r="1060">
      <c r="A1060" t="inlineStr">
        <is>
          <t>Space Marines</t>
        </is>
      </c>
      <c r="B1060" t="inlineStr">
        <is>
          <t>Space Marines</t>
        </is>
      </c>
      <c r="C1060" t="inlineStr">
        <is>
          <t>Infantry / Other</t>
        </is>
      </c>
      <c r="D1060" t="inlineStr">
        <is>
          <t>Infantry</t>
        </is>
      </c>
      <c r="E1060" t="inlineStr">
        <is>
          <t>Firestrike Servo-Turrets</t>
        </is>
      </c>
      <c r="F1060" t="inlineStr">
        <is>
          <t>1 model</t>
        </is>
      </c>
      <c r="G1060" t="inlineStr">
        <is>
          <t>Infantry</t>
        </is>
      </c>
      <c r="L1060" t="n">
        <v>75</v>
      </c>
      <c r="N1060" t="inlineStr">
        <is>
          <t>Added from current Munitorum Field Manual v4.1 (non-Legends)</t>
        </is>
      </c>
      <c r="O1060" t="inlineStr">
        <is>
          <t>https://www.warhammer-community.com/en-gb/downloads/warhammer-40000/</t>
        </is>
      </c>
    </row>
    <row r="1061">
      <c r="A1061" t="inlineStr">
        <is>
          <t>Space Marines</t>
        </is>
      </c>
      <c r="B1061" t="inlineStr">
        <is>
          <t>Space Marines</t>
        </is>
      </c>
      <c r="C1061" t="inlineStr">
        <is>
          <t>Infantry / Other</t>
        </is>
      </c>
      <c r="D1061" t="inlineStr">
        <is>
          <t>Infantry</t>
        </is>
      </c>
      <c r="E1061" t="inlineStr">
        <is>
          <t>Intercessor Squad</t>
        </is>
      </c>
      <c r="F1061" t="inlineStr">
        <is>
          <t>5 models</t>
        </is>
      </c>
      <c r="G1061" t="inlineStr">
        <is>
          <t>Infantry</t>
        </is>
      </c>
      <c r="L1061" t="n">
        <v>80</v>
      </c>
      <c r="N1061" t="inlineStr">
        <is>
          <t>Added from current Munitorum Field Manual v4.1 (non-Legends)</t>
        </is>
      </c>
      <c r="O1061" t="inlineStr">
        <is>
          <t>https://www.warhammer-community.com/en-gb/downloads/warhammer-40000/</t>
        </is>
      </c>
    </row>
    <row r="1062">
      <c r="A1062" t="inlineStr">
        <is>
          <t>Iron Hands</t>
        </is>
      </c>
      <c r="B1062" t="inlineStr">
        <is>
          <t>Iron Hands</t>
        </is>
      </c>
      <c r="C1062" t="inlineStr">
        <is>
          <t>Character</t>
        </is>
      </c>
      <c r="D1062" t="inlineStr">
        <is>
          <t>Character</t>
        </is>
      </c>
      <c r="E1062" t="inlineStr">
        <is>
          <t>Iron Father Feirros</t>
        </is>
      </c>
      <c r="F1062" t="inlineStr">
        <is>
          <t>1 model</t>
        </is>
      </c>
      <c r="G1062" t="inlineStr">
        <is>
          <t>Character</t>
        </is>
      </c>
      <c r="L1062" t="n">
        <v>85</v>
      </c>
      <c r="N1062" t="inlineStr">
        <is>
          <t>Added from current Munitorum Field Manual v4.1 (non-Legends)</t>
        </is>
      </c>
      <c r="O1062" t="inlineStr">
        <is>
          <t>https://www.warhammer-community.com/en-gb/downloads/warhammer-40000/</t>
        </is>
      </c>
    </row>
    <row r="1063">
      <c r="A1063" t="inlineStr">
        <is>
          <t>Space Marines</t>
        </is>
      </c>
      <c r="B1063" t="inlineStr">
        <is>
          <t>Space Marines</t>
        </is>
      </c>
      <c r="C1063" t="inlineStr">
        <is>
          <t>Infantry / Other</t>
        </is>
      </c>
      <c r="D1063" t="inlineStr">
        <is>
          <t>Infantry</t>
        </is>
      </c>
      <c r="E1063" t="inlineStr">
        <is>
          <t>Land Speeder</t>
        </is>
      </c>
      <c r="F1063" t="inlineStr">
        <is>
          <t>1 model</t>
        </is>
      </c>
      <c r="G1063" t="inlineStr">
        <is>
          <t>Infantry</t>
        </is>
      </c>
      <c r="L1063" t="n">
        <v>95</v>
      </c>
      <c r="M1063" t="inlineStr">
        <is>
          <t>Your 1st To 2nd Units Cost: 1 models = 95 pts | Your 3rd + Unit Costs: 1 models = 105 pts</t>
        </is>
      </c>
      <c r="N1063" t="inlineStr">
        <is>
          <t>Added from current Munitorum Field Manual v4.1 (non-Legends)</t>
        </is>
      </c>
      <c r="O1063" t="inlineStr">
        <is>
          <t>https://www.warhammer-community.com/en-gb/downloads/warhammer-40000/</t>
        </is>
      </c>
    </row>
    <row r="1064">
      <c r="A1064" t="inlineStr">
        <is>
          <t>Space Marines</t>
        </is>
      </c>
      <c r="B1064" t="inlineStr">
        <is>
          <t>Space Marines</t>
        </is>
      </c>
      <c r="C1064" t="inlineStr">
        <is>
          <t>Character</t>
        </is>
      </c>
      <c r="D1064" t="inlineStr">
        <is>
          <t>Character</t>
        </is>
      </c>
      <c r="E1064" t="inlineStr">
        <is>
          <t>Lieutenant In Reiver Armour</t>
        </is>
      </c>
      <c r="F1064" t="inlineStr">
        <is>
          <t>1 model</t>
        </is>
      </c>
      <c r="G1064" t="inlineStr">
        <is>
          <t>Character</t>
        </is>
      </c>
      <c r="L1064" t="n">
        <v>45</v>
      </c>
      <c r="N1064" t="inlineStr">
        <is>
          <t>Added from current Munitorum Field Manual v4.1 (non-Legends)</t>
        </is>
      </c>
      <c r="O1064" t="inlineStr">
        <is>
          <t>https://www.warhammer-community.com/en-gb/downloads/warhammer-40000/</t>
        </is>
      </c>
    </row>
    <row r="1065">
      <c r="A1065" t="inlineStr">
        <is>
          <t>Ultramarines</t>
        </is>
      </c>
      <c r="B1065" t="inlineStr">
        <is>
          <t>Ultramarines</t>
        </is>
      </c>
      <c r="C1065" t="inlineStr">
        <is>
          <t>Character</t>
        </is>
      </c>
      <c r="D1065" t="inlineStr">
        <is>
          <t>Character</t>
        </is>
      </c>
      <c r="E1065" t="inlineStr">
        <is>
          <t>Marneus Calgar In Armour Of Antilochus</t>
        </is>
      </c>
      <c r="F1065" t="inlineStr">
        <is>
          <t>1 model</t>
        </is>
      </c>
      <c r="G1065" t="inlineStr">
        <is>
          <t>Character</t>
        </is>
      </c>
      <c r="L1065" t="n">
        <v>140</v>
      </c>
      <c r="N1065" t="inlineStr">
        <is>
          <t>Added from current Munitorum Field Manual v4.1 (non-Legends)</t>
        </is>
      </c>
      <c r="O1065" t="inlineStr">
        <is>
          <t>https://www.warhammer-community.com/en-gb/downloads/warhammer-40000/</t>
        </is>
      </c>
    </row>
    <row r="1066">
      <c r="A1066" t="inlineStr">
        <is>
          <t>White Scars</t>
        </is>
      </c>
      <c r="B1066" t="inlineStr">
        <is>
          <t>White Scars</t>
        </is>
      </c>
      <c r="C1066" t="inlineStr">
        <is>
          <t>Character</t>
        </is>
      </c>
      <c r="D1066" t="inlineStr">
        <is>
          <t>Character</t>
        </is>
      </c>
      <c r="E1066" t="inlineStr">
        <is>
          <t>Suboden Khan</t>
        </is>
      </c>
      <c r="F1066" t="inlineStr">
        <is>
          <t>1 model</t>
        </is>
      </c>
      <c r="G1066" t="inlineStr">
        <is>
          <t>Character</t>
        </is>
      </c>
      <c r="L1066" t="n">
        <v>100</v>
      </c>
      <c r="N1066" t="inlineStr">
        <is>
          <t>Added from current Munitorum Field Manual v4.1 (non-Legends)</t>
        </is>
      </c>
      <c r="O1066" t="inlineStr">
        <is>
          <t>https://www.warhammer-community.com/en-gb/downloads/warhammer-40000/</t>
        </is>
      </c>
    </row>
    <row r="1067">
      <c r="A1067" t="inlineStr">
        <is>
          <t>Space Marines</t>
        </is>
      </c>
      <c r="B1067" t="inlineStr">
        <is>
          <t>Space Marines</t>
        </is>
      </c>
      <c r="C1067" t="inlineStr">
        <is>
          <t>Vehicle / Support</t>
        </is>
      </c>
      <c r="D1067" t="inlineStr">
        <is>
          <t>Vehicle</t>
        </is>
      </c>
      <c r="E1067" t="inlineStr">
        <is>
          <t>Thunderhawk Gunship</t>
        </is>
      </c>
      <c r="F1067" t="inlineStr">
        <is>
          <t>1 model</t>
        </is>
      </c>
      <c r="G1067" t="inlineStr">
        <is>
          <t>Vehicle</t>
        </is>
      </c>
      <c r="L1067" t="n">
        <v>840</v>
      </c>
      <c r="N1067" t="inlineStr">
        <is>
          <t>Added from current Munitorum Field Manual v4.1 (non-Legends)</t>
        </is>
      </c>
      <c r="O1067" t="inlineStr">
        <is>
          <t>https://www.warhammer-community.com/en-gb/downloads/warhammer-40000/</t>
        </is>
      </c>
    </row>
    <row r="1068">
      <c r="A1068" t="inlineStr">
        <is>
          <t>Ultramarines</t>
        </is>
      </c>
      <c r="B1068" t="inlineStr">
        <is>
          <t>Ultramarines</t>
        </is>
      </c>
      <c r="C1068" t="inlineStr">
        <is>
          <t>Infantry / Other</t>
        </is>
      </c>
      <c r="D1068" t="inlineStr">
        <is>
          <t>Infantry</t>
        </is>
      </c>
      <c r="E1068" t="inlineStr">
        <is>
          <t>Victrix Honour Guard</t>
        </is>
      </c>
      <c r="F1068" t="inlineStr">
        <is>
          <t>3 models</t>
        </is>
      </c>
      <c r="G1068" t="inlineStr">
        <is>
          <t>Infantry</t>
        </is>
      </c>
      <c r="L1068" t="n">
        <v>110</v>
      </c>
      <c r="M1068" t="inlineStr">
        <is>
          <t>Your 1st Unit Costs: 3 models = 110 pts; 6 models = 220 pts | Your 2nd + Unit Costs: 3 models = 130 pts; 6 models = 240 pts | Wargear: Banner of Macragge +10 pts | Wargear: Blades of honour +10 pts</t>
        </is>
      </c>
      <c r="N1068" t="inlineStr">
        <is>
          <t>Added from current Munitorum Field Manual v4.1 (non-Legends)</t>
        </is>
      </c>
      <c r="O1068" t="inlineStr">
        <is>
          <t>https://www.warhammer-community.com/en-gb/downloads/warhammer-40000/</t>
        </is>
      </c>
    </row>
    <row r="1069">
      <c r="A1069" t="inlineStr">
        <is>
          <t>Salamanders</t>
        </is>
      </c>
      <c r="B1069" t="inlineStr">
        <is>
          <t>Salamanders</t>
        </is>
      </c>
      <c r="C1069" t="inlineStr">
        <is>
          <t>Character</t>
        </is>
      </c>
      <c r="D1069" t="inlineStr">
        <is>
          <t>Character</t>
        </is>
      </c>
      <c r="E1069" t="inlineStr">
        <is>
          <t>Vulkan He’Stan</t>
        </is>
      </c>
      <c r="F1069" t="inlineStr">
        <is>
          <t>1 model</t>
        </is>
      </c>
      <c r="G1069" t="inlineStr">
        <is>
          <t>Character</t>
        </is>
      </c>
      <c r="L1069" t="n">
        <v>85</v>
      </c>
      <c r="N1069" t="inlineStr">
        <is>
          <t>Added from current Munitorum Field Manual v4.1 (non-Legends)</t>
        </is>
      </c>
      <c r="O1069" t="inlineStr">
        <is>
          <t>https://www.warhammer-community.com/en-gb/downloads/warhammer-40000/</t>
        </is>
      </c>
    </row>
    <row r="1070">
      <c r="A1070" t="inlineStr">
        <is>
          <t>Ultramarines</t>
        </is>
      </c>
      <c r="B1070" t="inlineStr">
        <is>
          <t>Ultramarines</t>
        </is>
      </c>
      <c r="C1070" t="inlineStr">
        <is>
          <t>Character</t>
        </is>
      </c>
      <c r="D1070" t="inlineStr">
        <is>
          <t>Character</t>
        </is>
      </c>
      <c r="E1070" t="inlineStr">
        <is>
          <t>Wardens Of Ultramar</t>
        </is>
      </c>
      <c r="F1070" t="inlineStr">
        <is>
          <t>6 models</t>
        </is>
      </c>
      <c r="G1070" t="inlineStr">
        <is>
          <t>Character</t>
        </is>
      </c>
      <c r="L1070" t="n">
        <v>110</v>
      </c>
      <c r="N1070" t="inlineStr">
        <is>
          <t>Added from current Munitorum Field Manual v4.1 (non-Legends)</t>
        </is>
      </c>
      <c r="O1070" t="inlineStr">
        <is>
          <t>https://www.warhammer-community.com/en-gb/downloads/warhammer-40000/</t>
        </is>
      </c>
    </row>
    <row r="1071">
      <c r="A1071" t="inlineStr">
        <is>
          <t>Space Wolves</t>
        </is>
      </c>
      <c r="B1071" t="inlineStr">
        <is>
          <t>Space Wolves</t>
        </is>
      </c>
      <c r="C1071" t="inlineStr">
        <is>
          <t>Character</t>
        </is>
      </c>
      <c r="D1071" t="inlineStr">
        <is>
          <t>Character</t>
        </is>
      </c>
      <c r="E1071" t="inlineStr">
        <is>
          <t>Iron Priest</t>
        </is>
      </c>
      <c r="F1071" t="inlineStr">
        <is>
          <t>1 model</t>
        </is>
      </c>
      <c r="G1071" t="inlineStr">
        <is>
          <t>Character</t>
        </is>
      </c>
      <c r="L1071" t="n">
        <v>55</v>
      </c>
      <c r="N1071" t="inlineStr">
        <is>
          <t>Added from current Munitorum Field Manual v4.1 (non-Legends)</t>
        </is>
      </c>
      <c r="O1071" t="inlineStr">
        <is>
          <t>https://www.warhammer-community.com/en-gb/downloads/warhammer-40000/</t>
        </is>
      </c>
    </row>
    <row r="1072">
      <c r="A1072" t="inlineStr">
        <is>
          <t>Space Wolves</t>
        </is>
      </c>
      <c r="B1072" t="inlineStr">
        <is>
          <t>Space Wolves</t>
        </is>
      </c>
      <c r="C1072" t="inlineStr">
        <is>
          <t>Character</t>
        </is>
      </c>
      <c r="D1072" t="inlineStr">
        <is>
          <t>Character</t>
        </is>
      </c>
      <c r="E1072" t="inlineStr">
        <is>
          <t>Wolf Guard Battle Leader</t>
        </is>
      </c>
      <c r="F1072" t="inlineStr">
        <is>
          <t>1 model</t>
        </is>
      </c>
      <c r="G1072" t="inlineStr">
        <is>
          <t>Character</t>
        </is>
      </c>
      <c r="L1072" t="n">
        <v>65</v>
      </c>
      <c r="N1072" t="inlineStr">
        <is>
          <t>Added from current Munitorum Field Manual v4.1 (non-Legends)</t>
        </is>
      </c>
      <c r="O1072" t="inlineStr">
        <is>
          <t>https://www.warhammer-community.com/en-gb/downloads/warhammer-40000/</t>
        </is>
      </c>
    </row>
    <row r="1073">
      <c r="A1073" t="inlineStr">
        <is>
          <t>Space Wolves</t>
        </is>
      </c>
      <c r="B1073" t="inlineStr">
        <is>
          <t>Space Wolves</t>
        </is>
      </c>
      <c r="C1073" t="inlineStr">
        <is>
          <t>Infantry / Other</t>
        </is>
      </c>
      <c r="D1073" t="inlineStr">
        <is>
          <t>Infantry</t>
        </is>
      </c>
      <c r="E1073" t="inlineStr">
        <is>
          <t>Wolf Guard Headtakers</t>
        </is>
      </c>
      <c r="F1073" t="inlineStr">
        <is>
          <t>3 models</t>
        </is>
      </c>
      <c r="G1073" t="inlineStr">
        <is>
          <t>Infantry</t>
        </is>
      </c>
      <c r="L1073" t="n">
        <v>85</v>
      </c>
      <c r="M1073" t="inlineStr">
        <is>
          <t>Your 1st To 2nd Units Cost: 3 models = 85 pts; 6 models = 115 pts; 6 models = 170 pts; 12 models = 230 pts | Your 3rd + Unit Costs: 3 models = 95 pts; 6 models = 125 pts; 6 models = 180 pts; 12 models = 240 pts</t>
        </is>
      </c>
      <c r="N1073" t="inlineStr">
        <is>
          <t>Added from current Munitorum Field Manual v4.1 (non-Legends)</t>
        </is>
      </c>
      <c r="O1073" t="inlineStr">
        <is>
          <t>https://www.warhammer-community.com/en-gb/downloads/warhammer-40000/</t>
        </is>
      </c>
    </row>
    <row r="1074">
      <c r="A1074" t="inlineStr">
        <is>
          <t>Space Wolves</t>
        </is>
      </c>
      <c r="B1074" t="inlineStr">
        <is>
          <t>Space Wolves</t>
        </is>
      </c>
      <c r="C1074" t="inlineStr">
        <is>
          <t>Infantry / Other</t>
        </is>
      </c>
      <c r="D1074" t="inlineStr">
        <is>
          <t>Infantry</t>
        </is>
      </c>
      <c r="E1074" t="inlineStr">
        <is>
          <t>Wolf Guard Terminators</t>
        </is>
      </c>
      <c r="F1074" t="inlineStr">
        <is>
          <t>5 models</t>
        </is>
      </c>
      <c r="G1074" t="inlineStr">
        <is>
          <t>Infantry</t>
        </is>
      </c>
      <c r="L1074" t="n">
        <v>150</v>
      </c>
      <c r="M1074" t="inlineStr">
        <is>
          <t>Your 1st Unit Costs: 5 models = 150 pts; 10 models = 300 pts | Your 2nd + Unit Costs: 5 models = 160 pts; 10 models = 310 pts | Wargear: Storm Shield +5 pts</t>
        </is>
      </c>
      <c r="N1074" t="inlineStr">
        <is>
          <t>Added from current Munitorum Field Manual v4.1 (non-Legends)</t>
        </is>
      </c>
      <c r="O1074" t="inlineStr">
        <is>
          <t>https://www.warhammer-community.com/en-gb/downloads/warhammer-40000/</t>
        </is>
      </c>
    </row>
    <row r="1075">
      <c r="A1075" t="inlineStr">
        <is>
          <t>Space Wolves</t>
        </is>
      </c>
      <c r="B1075" t="inlineStr">
        <is>
          <t>Space Wolves</t>
        </is>
      </c>
      <c r="C1075" t="inlineStr">
        <is>
          <t>Character</t>
        </is>
      </c>
      <c r="D1075" t="inlineStr">
        <is>
          <t>Character</t>
        </is>
      </c>
      <c r="E1075" t="inlineStr">
        <is>
          <t>Wolf Priest</t>
        </is>
      </c>
      <c r="F1075" t="inlineStr">
        <is>
          <t>1 model</t>
        </is>
      </c>
      <c r="G1075" t="inlineStr">
        <is>
          <t>Character</t>
        </is>
      </c>
      <c r="L1075" t="n">
        <v>70</v>
      </c>
      <c r="N1075" t="inlineStr">
        <is>
          <t>Added from current Munitorum Field Manual v4.1 (non-Legends)</t>
        </is>
      </c>
      <c r="O1075" t="inlineStr">
        <is>
          <t>https://www.warhammer-community.com/en-gb/downloads/warhammer-40000/</t>
        </is>
      </c>
    </row>
    <row r="1076">
      <c r="A1076" t="inlineStr">
        <is>
          <t>Space Wolves</t>
        </is>
      </c>
      <c r="B1076" t="inlineStr">
        <is>
          <t>Space Wolves</t>
        </is>
      </c>
      <c r="C1076" t="inlineStr">
        <is>
          <t>Infantry / Other</t>
        </is>
      </c>
      <c r="D1076" t="inlineStr">
        <is>
          <t>Infantry</t>
        </is>
      </c>
      <c r="E1076" t="inlineStr">
        <is>
          <t>Wolf Scouts</t>
        </is>
      </c>
      <c r="F1076" t="inlineStr">
        <is>
          <t>6 models</t>
        </is>
      </c>
      <c r="G1076" t="inlineStr">
        <is>
          <t>Infantry</t>
        </is>
      </c>
      <c r="L1076" t="n">
        <v>95</v>
      </c>
      <c r="M1076" t="inlineStr">
        <is>
          <t>Your 1st To 2nd Units Cost: 6 models = 95 pts; 12 models = 190 pts | Your 3rd + Unit Costs: 6 models = 105 pts; 12 models = 200 pts</t>
        </is>
      </c>
      <c r="N1076" t="inlineStr">
        <is>
          <t>Added from current Munitorum Field Manual v4.1 (non-Legends)</t>
        </is>
      </c>
      <c r="O1076" t="inlineStr">
        <is>
          <t>https://www.warhammer-community.com/en-gb/downloads/warhammer-40000/</t>
        </is>
      </c>
    </row>
    <row r="1077">
      <c r="A1077" t="inlineStr">
        <is>
          <t>Space Wolves</t>
        </is>
      </c>
      <c r="B1077" t="inlineStr">
        <is>
          <t>Space Wolves</t>
        </is>
      </c>
      <c r="C1077" t="inlineStr">
        <is>
          <t>Infantry / Other</t>
        </is>
      </c>
      <c r="D1077" t="inlineStr">
        <is>
          <t>Infantry</t>
        </is>
      </c>
      <c r="E1077" t="inlineStr">
        <is>
          <t>Wulfen With Storm Shields</t>
        </is>
      </c>
      <c r="F1077" t="inlineStr">
        <is>
          <t>5 models</t>
        </is>
      </c>
      <c r="G1077" t="inlineStr">
        <is>
          <t>Infantry</t>
        </is>
      </c>
      <c r="L1077" t="n">
        <v>100</v>
      </c>
      <c r="M1077" t="inlineStr">
        <is>
          <t>Your 1st To 2nd Units Cost: 5 models = 100 pts; 10 models = 200 pts | Your 3rd + Unit Costs: 5 models = 110 pts; 10 models = 210 pts</t>
        </is>
      </c>
      <c r="N1077" t="inlineStr">
        <is>
          <t>Added from current Munitorum Field Manual v4.1 (non-Legends)</t>
        </is>
      </c>
      <c r="O1077" t="inlineStr">
        <is>
          <t>https://www.warhammer-community.com/en-gb/downloads/warhammer-40000/</t>
        </is>
      </c>
    </row>
    <row r="1078">
      <c r="A1078" t="inlineStr">
        <is>
          <t>T'au Empire</t>
        </is>
      </c>
      <c r="C1078" t="inlineStr">
        <is>
          <t>Vehicle / Support</t>
        </is>
      </c>
      <c r="D1078" t="inlineStr">
        <is>
          <t>Vehicle</t>
        </is>
      </c>
      <c r="E1078" t="inlineStr">
        <is>
          <t>Ax-1-0 Tiger Shark</t>
        </is>
      </c>
      <c r="F1078" t="inlineStr">
        <is>
          <t>1 model</t>
        </is>
      </c>
      <c r="G1078" t="inlineStr">
        <is>
          <t>Vehicle</t>
        </is>
      </c>
      <c r="L1078" t="n">
        <v>315</v>
      </c>
      <c r="M1078" t="inlineStr">
        <is>
          <t>Your 1st Unit Costs: 1 models = 315 pts | Your 2nd + Unit Costs: 1 models = 375 pts</t>
        </is>
      </c>
      <c r="N1078" t="inlineStr">
        <is>
          <t>Added from current Munitorum Field Manual v4.1 (non-Legends)</t>
        </is>
      </c>
      <c r="O1078" t="inlineStr">
        <is>
          <t>https://www.warhammer-community.com/en-gb/downloads/warhammer-40000/</t>
        </is>
      </c>
    </row>
    <row r="1079">
      <c r="A1079" t="inlineStr">
        <is>
          <t>T'au Empire</t>
        </is>
      </c>
      <c r="C1079" t="inlineStr">
        <is>
          <t>Infantry / Other</t>
        </is>
      </c>
      <c r="D1079" t="inlineStr">
        <is>
          <t>Infantry</t>
        </is>
      </c>
      <c r="E1079" t="inlineStr">
        <is>
          <t>Breacher Team</t>
        </is>
      </c>
      <c r="F1079" t="inlineStr">
        <is>
          <t>10 models</t>
        </is>
      </c>
      <c r="G1079" t="inlineStr">
        <is>
          <t>Infantry</t>
        </is>
      </c>
      <c r="L1079" t="n">
        <v>90</v>
      </c>
      <c r="N1079" t="inlineStr">
        <is>
          <t>Added from current Munitorum Field Manual v4.1 (non-Legends)</t>
        </is>
      </c>
      <c r="O1079" t="inlineStr">
        <is>
          <t>https://www.warhammer-community.com/en-gb/downloads/warhammer-40000/</t>
        </is>
      </c>
    </row>
    <row r="1080">
      <c r="A1080" t="inlineStr">
        <is>
          <t>T'au Empire</t>
        </is>
      </c>
      <c r="C1080" t="inlineStr">
        <is>
          <t>Character</t>
        </is>
      </c>
      <c r="D1080" t="inlineStr">
        <is>
          <t>Character</t>
        </is>
      </c>
      <c r="E1080" t="inlineStr">
        <is>
          <t>Kroot Flesh Shaper</t>
        </is>
      </c>
      <c r="F1080" t="inlineStr">
        <is>
          <t>1 model</t>
        </is>
      </c>
      <c r="G1080" t="inlineStr">
        <is>
          <t>Character</t>
        </is>
      </c>
      <c r="L1080" t="n">
        <v>45</v>
      </c>
      <c r="N1080" t="inlineStr">
        <is>
          <t>Added from current Munitorum Field Manual v4.1 (non-Legends)</t>
        </is>
      </c>
      <c r="O1080" t="inlineStr">
        <is>
          <t>https://www.warhammer-community.com/en-gb/downloads/warhammer-40000/</t>
        </is>
      </c>
    </row>
    <row r="1081">
      <c r="A1081" t="inlineStr">
        <is>
          <t>T'au Empire</t>
        </is>
      </c>
      <c r="C1081" t="inlineStr">
        <is>
          <t>Character</t>
        </is>
      </c>
      <c r="D1081" t="inlineStr">
        <is>
          <t>Character</t>
        </is>
      </c>
      <c r="E1081" t="inlineStr">
        <is>
          <t>Kroot Trail Shaper</t>
        </is>
      </c>
      <c r="F1081" t="inlineStr">
        <is>
          <t>1 model</t>
        </is>
      </c>
      <c r="G1081" t="inlineStr">
        <is>
          <t>Character</t>
        </is>
      </c>
      <c r="L1081" t="n">
        <v>50</v>
      </c>
      <c r="N1081" t="inlineStr">
        <is>
          <t>Added from current Munitorum Field Manual v4.1 (non-Legends)</t>
        </is>
      </c>
      <c r="O1081" t="inlineStr">
        <is>
          <t>https://www.warhammer-community.com/en-gb/downloads/warhammer-40000/</t>
        </is>
      </c>
    </row>
    <row r="1082">
      <c r="A1082" t="inlineStr">
        <is>
          <t>T'au Empire</t>
        </is>
      </c>
      <c r="C1082" t="inlineStr">
        <is>
          <t>Character</t>
        </is>
      </c>
      <c r="D1082" t="inlineStr">
        <is>
          <t>Character</t>
        </is>
      </c>
      <c r="E1082" t="inlineStr">
        <is>
          <t>Kroot War Shaper</t>
        </is>
      </c>
      <c r="F1082" t="inlineStr">
        <is>
          <t>1 model</t>
        </is>
      </c>
      <c r="G1082" t="inlineStr">
        <is>
          <t>Character</t>
        </is>
      </c>
      <c r="L1082" t="n">
        <v>60</v>
      </c>
      <c r="N1082" t="inlineStr">
        <is>
          <t>Added from current Munitorum Field Manual v4.1 (non-Legends)</t>
        </is>
      </c>
      <c r="O1082" t="inlineStr">
        <is>
          <t>https://www.warhammer-community.com/en-gb/downloads/warhammer-40000/</t>
        </is>
      </c>
    </row>
    <row r="1083">
      <c r="A1083" t="inlineStr">
        <is>
          <t>T'au Empire</t>
        </is>
      </c>
      <c r="C1083" t="inlineStr">
        <is>
          <t>Vehicle / Support</t>
        </is>
      </c>
      <c r="D1083" t="inlineStr">
        <is>
          <t>Vehicle</t>
        </is>
      </c>
      <c r="E1083" t="inlineStr">
        <is>
          <t>Manta</t>
        </is>
      </c>
      <c r="F1083" t="inlineStr">
        <is>
          <t>1 model</t>
        </is>
      </c>
      <c r="G1083" t="inlineStr">
        <is>
          <t>Vehicle</t>
        </is>
      </c>
      <c r="L1083" t="n">
        <v>2100</v>
      </c>
      <c r="N1083" t="inlineStr">
        <is>
          <t>Added from current Munitorum Field Manual v4.1 (non-Legends)</t>
        </is>
      </c>
      <c r="O1083" t="inlineStr">
        <is>
          <t>https://www.warhammer-community.com/en-gb/downloads/warhammer-40000/</t>
        </is>
      </c>
    </row>
    <row r="1084">
      <c r="A1084" t="inlineStr">
        <is>
          <t>T'au Empire</t>
        </is>
      </c>
      <c r="C1084" t="inlineStr">
        <is>
          <t>Infantry / Other</t>
        </is>
      </c>
      <c r="D1084" t="inlineStr">
        <is>
          <t>Infantry</t>
        </is>
      </c>
      <c r="E1084" t="inlineStr">
        <is>
          <t>Ta’Unar Supremacy Armour</t>
        </is>
      </c>
      <c r="F1084" t="inlineStr">
        <is>
          <t>1 model</t>
        </is>
      </c>
      <c r="G1084" t="inlineStr">
        <is>
          <t>Infantry</t>
        </is>
      </c>
      <c r="L1084" t="n">
        <v>790</v>
      </c>
      <c r="M1084" t="inlineStr">
        <is>
          <t>Your 1st Unit Costs: 1 models = 790 pts | Your 2nd + Unit Costs: 1 models = 890 pts</t>
        </is>
      </c>
      <c r="N1084" t="inlineStr">
        <is>
          <t>Added from current Munitorum Field Manual v4.1 (non-Legends)</t>
        </is>
      </c>
      <c r="O1084" t="inlineStr">
        <is>
          <t>https://www.warhammer-community.com/en-gb/downloads/warhammer-40000/</t>
        </is>
      </c>
    </row>
    <row r="1085">
      <c r="A1085" t="inlineStr">
        <is>
          <t>T'au Empire</t>
        </is>
      </c>
      <c r="C1085" t="inlineStr">
        <is>
          <t>Infantry / Other</t>
        </is>
      </c>
      <c r="D1085" t="inlineStr">
        <is>
          <t>Infantry</t>
        </is>
      </c>
      <c r="E1085" t="inlineStr">
        <is>
          <t>The Twin Lance</t>
        </is>
      </c>
      <c r="F1085" t="inlineStr">
        <is>
          <t>2 models</t>
        </is>
      </c>
      <c r="G1085" t="inlineStr">
        <is>
          <t>Infantry</t>
        </is>
      </c>
      <c r="L1085" t="n">
        <v>205</v>
      </c>
      <c r="N1085" t="inlineStr">
        <is>
          <t>Added from current Munitorum Field Manual v4.1 (non-Legends)</t>
        </is>
      </c>
      <c r="O1085" t="inlineStr">
        <is>
          <t>https://www.warhammer-community.com/en-gb/downloads/warhammer-40000/</t>
        </is>
      </c>
    </row>
    <row r="1086">
      <c r="A1086" t="inlineStr">
        <is>
          <t>T'au Empire</t>
        </is>
      </c>
      <c r="C1086" t="inlineStr">
        <is>
          <t>Infantry / Other</t>
        </is>
      </c>
      <c r="D1086" t="inlineStr">
        <is>
          <t>Infantry</t>
        </is>
      </c>
      <c r="E1086" t="inlineStr">
        <is>
          <t>Tidewall Droneport</t>
        </is>
      </c>
      <c r="F1086" t="inlineStr">
        <is>
          <t>1 model</t>
        </is>
      </c>
      <c r="G1086" t="inlineStr">
        <is>
          <t>Infantry</t>
        </is>
      </c>
      <c r="L1086" t="n">
        <v>85</v>
      </c>
      <c r="N1086" t="inlineStr">
        <is>
          <t>Added from current Munitorum Field Manual v4.1 (non-Legends)</t>
        </is>
      </c>
      <c r="O1086" t="inlineStr">
        <is>
          <t>https://www.warhammer-community.com/en-gb/downloads/warhammer-40000/</t>
        </is>
      </c>
    </row>
    <row r="1087">
      <c r="A1087" t="inlineStr">
        <is>
          <t>T'au Empire</t>
        </is>
      </c>
      <c r="C1087" t="inlineStr">
        <is>
          <t>Infantry / Other</t>
        </is>
      </c>
      <c r="D1087" t="inlineStr">
        <is>
          <t>Infantry</t>
        </is>
      </c>
      <c r="E1087" t="inlineStr">
        <is>
          <t>Tidewall Gunrig</t>
        </is>
      </c>
      <c r="F1087" t="inlineStr">
        <is>
          <t>1 model</t>
        </is>
      </c>
      <c r="G1087" t="inlineStr">
        <is>
          <t>Infantry</t>
        </is>
      </c>
      <c r="L1087" t="n">
        <v>90</v>
      </c>
      <c r="N1087" t="inlineStr">
        <is>
          <t>Added from current Munitorum Field Manual v4.1 (non-Legends)</t>
        </is>
      </c>
      <c r="O1087" t="inlineStr">
        <is>
          <t>https://www.warhammer-community.com/en-gb/downloads/warhammer-40000/</t>
        </is>
      </c>
    </row>
    <row r="1088">
      <c r="A1088" t="inlineStr">
        <is>
          <t>T'au Empire</t>
        </is>
      </c>
      <c r="C1088" t="inlineStr">
        <is>
          <t>Infantry / Other</t>
        </is>
      </c>
      <c r="D1088" t="inlineStr">
        <is>
          <t>Infantry</t>
        </is>
      </c>
      <c r="E1088" t="inlineStr">
        <is>
          <t>Tidewall Shieldline</t>
        </is>
      </c>
      <c r="F1088" t="inlineStr">
        <is>
          <t>1 model</t>
        </is>
      </c>
      <c r="G1088" t="inlineStr">
        <is>
          <t>Infantry</t>
        </is>
      </c>
      <c r="L1088" t="n">
        <v>85</v>
      </c>
      <c r="N1088" t="inlineStr">
        <is>
          <t>Added from current Munitorum Field Manual v4.1 (non-Legends)</t>
        </is>
      </c>
      <c r="O1088" t="inlineStr">
        <is>
          <t>https://www.warhammer-community.com/en-gb/downloads/warhammer-40000/</t>
        </is>
      </c>
    </row>
    <row r="1089">
      <c r="A1089" t="inlineStr">
        <is>
          <t>T'au Empire</t>
        </is>
      </c>
      <c r="C1089" t="inlineStr">
        <is>
          <t>Vehicle / Support</t>
        </is>
      </c>
      <c r="D1089" t="inlineStr">
        <is>
          <t>Vehicle</t>
        </is>
      </c>
      <c r="E1089" t="inlineStr">
        <is>
          <t>Tiger Shark</t>
        </is>
      </c>
      <c r="F1089" t="inlineStr">
        <is>
          <t>1 model</t>
        </is>
      </c>
      <c r="G1089" t="inlineStr">
        <is>
          <t>Vehicle</t>
        </is>
      </c>
      <c r="L1089" t="n">
        <v>325</v>
      </c>
      <c r="M1089" t="inlineStr">
        <is>
          <t>Your 1st Unit Costs: 1 models = 325 pts | Your 2nd + Unit Costs: 1 models = 375 pts</t>
        </is>
      </c>
      <c r="N1089" t="inlineStr">
        <is>
          <t>Added from current Munitorum Field Manual v4.1 (non-Legends)</t>
        </is>
      </c>
      <c r="O1089" t="inlineStr">
        <is>
          <t>https://www.warhammer-community.com/en-gb/downloads/warhammer-40000/</t>
        </is>
      </c>
    </row>
    <row r="1090">
      <c r="A1090" t="inlineStr">
        <is>
          <t>Thousand Sons</t>
        </is>
      </c>
      <c r="C1090" t="inlineStr">
        <is>
          <t>Infantry / Other</t>
        </is>
      </c>
      <c r="D1090" t="inlineStr">
        <is>
          <t>Infantry</t>
        </is>
      </c>
      <c r="E1090" t="inlineStr">
        <is>
          <t>Blue Horrors</t>
        </is>
      </c>
      <c r="F1090" t="inlineStr">
        <is>
          <t>10 models</t>
        </is>
      </c>
      <c r="G1090" t="inlineStr">
        <is>
          <t>Infantry</t>
        </is>
      </c>
      <c r="L1090" t="n">
        <v>90</v>
      </c>
      <c r="N1090" t="inlineStr">
        <is>
          <t>Added from current Munitorum Field Manual v4.1 (non-Legends)</t>
        </is>
      </c>
      <c r="O1090" t="inlineStr">
        <is>
          <t>https://www.warhammer-community.com/en-gb/downloads/warhammer-40000/</t>
        </is>
      </c>
    </row>
    <row r="1091">
      <c r="A1091" t="inlineStr">
        <is>
          <t>Thousand Sons</t>
        </is>
      </c>
      <c r="C1091" t="inlineStr">
        <is>
          <t>Vehicle / Support</t>
        </is>
      </c>
      <c r="D1091" t="inlineStr">
        <is>
          <t>Vehicle</t>
        </is>
      </c>
      <c r="E1091" t="inlineStr">
        <is>
          <t>Chaos Land Raider</t>
        </is>
      </c>
      <c r="F1091" t="inlineStr">
        <is>
          <t>1 model</t>
        </is>
      </c>
      <c r="G1091" t="inlineStr">
        <is>
          <t>Vehicle</t>
        </is>
      </c>
      <c r="L1091" t="n">
        <v>220</v>
      </c>
      <c r="M1091" t="inlineStr">
        <is>
          <t>Your 1st To 2nd Units Cost: 1 models = 220 pts | Your 3rd + Unit Costs: 1 models = 240 pts</t>
        </is>
      </c>
      <c r="N1091" t="inlineStr">
        <is>
          <t>Added from current Munitorum Field Manual v4.1 (non-Legends)</t>
        </is>
      </c>
      <c r="O1091" t="inlineStr">
        <is>
          <t>https://www.warhammer-community.com/en-gb/downloads/warhammer-40000/</t>
        </is>
      </c>
    </row>
    <row r="1092">
      <c r="A1092" t="inlineStr">
        <is>
          <t>Thousand Sons</t>
        </is>
      </c>
      <c r="C1092" t="inlineStr">
        <is>
          <t>Vehicle / Support</t>
        </is>
      </c>
      <c r="D1092" t="inlineStr">
        <is>
          <t>Vehicle</t>
        </is>
      </c>
      <c r="E1092" t="inlineStr">
        <is>
          <t>Chaos Predator Annihilator</t>
        </is>
      </c>
      <c r="F1092" t="inlineStr">
        <is>
          <t>1 model</t>
        </is>
      </c>
      <c r="G1092" t="inlineStr">
        <is>
          <t>Vehicle</t>
        </is>
      </c>
      <c r="L1092" t="n">
        <v>130</v>
      </c>
      <c r="M1092" t="inlineStr">
        <is>
          <t>Your 1st To 2nd Units Cost: 1 models = 130 pts | Your 3rd + Unit Costs: 1 models = 140 pts</t>
        </is>
      </c>
      <c r="N1092" t="inlineStr">
        <is>
          <t>Added from current Munitorum Field Manual v4.1 (non-Legends)</t>
        </is>
      </c>
      <c r="O1092" t="inlineStr">
        <is>
          <t>https://www.warhammer-community.com/en-gb/downloads/warhammer-40000/</t>
        </is>
      </c>
    </row>
    <row r="1093">
      <c r="A1093" t="inlineStr">
        <is>
          <t>Thousand Sons</t>
        </is>
      </c>
      <c r="C1093" t="inlineStr">
        <is>
          <t>Vehicle / Support</t>
        </is>
      </c>
      <c r="D1093" t="inlineStr">
        <is>
          <t>Vehicle</t>
        </is>
      </c>
      <c r="E1093" t="inlineStr">
        <is>
          <t>Chaos Predator Destructor</t>
        </is>
      </c>
      <c r="F1093" t="inlineStr">
        <is>
          <t>1 model</t>
        </is>
      </c>
      <c r="G1093" t="inlineStr">
        <is>
          <t>Vehicle</t>
        </is>
      </c>
      <c r="L1093" t="n">
        <v>130</v>
      </c>
      <c r="M1093" t="inlineStr">
        <is>
          <t>Your 1st To 2nd Units Cost: 1 models = 130 pts | Your 3rd + Unit Costs: 1 models = 140 pts</t>
        </is>
      </c>
      <c r="N1093" t="inlineStr">
        <is>
          <t>Added from current Munitorum Field Manual v4.1 (non-Legends)</t>
        </is>
      </c>
      <c r="O1093" t="inlineStr">
        <is>
          <t>https://www.warhammer-community.com/en-gb/downloads/warhammer-40000/</t>
        </is>
      </c>
    </row>
    <row r="1094">
      <c r="A1094" t="inlineStr">
        <is>
          <t>Thousand Sons</t>
        </is>
      </c>
      <c r="C1094" t="inlineStr">
        <is>
          <t>Vehicle / Support</t>
        </is>
      </c>
      <c r="D1094" t="inlineStr">
        <is>
          <t>Vehicle</t>
        </is>
      </c>
      <c r="E1094" t="inlineStr">
        <is>
          <t>Chaos Rhino</t>
        </is>
      </c>
      <c r="F1094" t="inlineStr">
        <is>
          <t>1 model</t>
        </is>
      </c>
      <c r="G1094" t="inlineStr">
        <is>
          <t>Vehicle</t>
        </is>
      </c>
      <c r="L1094" t="n">
        <v>90</v>
      </c>
      <c r="N1094" t="inlineStr">
        <is>
          <t>Added from current Munitorum Field Manual v4.1 (non-Legends)</t>
        </is>
      </c>
      <c r="O1094" t="inlineStr">
        <is>
          <t>https://www.warhammer-community.com/en-gb/downloads/warhammer-40000/</t>
        </is>
      </c>
    </row>
    <row r="1095">
      <c r="A1095" t="inlineStr">
        <is>
          <t>Thousand Sons</t>
        </is>
      </c>
      <c r="C1095" t="inlineStr">
        <is>
          <t>Vehicle / Support</t>
        </is>
      </c>
      <c r="D1095" t="inlineStr">
        <is>
          <t>Vehicle</t>
        </is>
      </c>
      <c r="E1095" t="inlineStr">
        <is>
          <t>Chaos Vindicator</t>
        </is>
      </c>
      <c r="F1095" t="inlineStr">
        <is>
          <t>1 model</t>
        </is>
      </c>
      <c r="G1095" t="inlineStr">
        <is>
          <t>Vehicle</t>
        </is>
      </c>
      <c r="L1095" t="n">
        <v>185</v>
      </c>
      <c r="M1095" t="inlineStr">
        <is>
          <t>Your 1st To 2nd Units Cost: 1 models = 185 pts | Your 3rd + Unit Costs: 1 models = 195 pts</t>
        </is>
      </c>
      <c r="N1095" t="inlineStr">
        <is>
          <t>Added from current Munitorum Field Manual v4.1 (non-Legends)</t>
        </is>
      </c>
      <c r="O1095" t="inlineStr">
        <is>
          <t>https://www.warhammer-community.com/en-gb/downloads/warhammer-40000/</t>
        </is>
      </c>
    </row>
    <row r="1096">
      <c r="A1096" t="inlineStr">
        <is>
          <t>Thousand Sons</t>
        </is>
      </c>
      <c r="C1096" t="inlineStr">
        <is>
          <t>Monster / Support</t>
        </is>
      </c>
      <c r="D1096" t="inlineStr">
        <is>
          <t>Monster</t>
        </is>
      </c>
      <c r="E1096" t="inlineStr">
        <is>
          <t>Daemon Prince Of Tzeentch</t>
        </is>
      </c>
      <c r="F1096" t="inlineStr">
        <is>
          <t>1 model</t>
        </is>
      </c>
      <c r="G1096" t="inlineStr">
        <is>
          <t>Monster</t>
        </is>
      </c>
      <c r="L1096" t="n">
        <v>170</v>
      </c>
      <c r="N1096" t="inlineStr">
        <is>
          <t>Added from current Munitorum Field Manual v4.1 (non-Legends)</t>
        </is>
      </c>
      <c r="O1096" t="inlineStr">
        <is>
          <t>https://www.warhammer-community.com/en-gb/downloads/warhammer-40000/</t>
        </is>
      </c>
    </row>
    <row r="1097">
      <c r="A1097" t="inlineStr">
        <is>
          <t>Thousand Sons</t>
        </is>
      </c>
      <c r="C1097" t="inlineStr">
        <is>
          <t>Monster / Support</t>
        </is>
      </c>
      <c r="D1097" t="inlineStr">
        <is>
          <t>Monster</t>
        </is>
      </c>
      <c r="E1097" t="inlineStr">
        <is>
          <t>Daemon Prince Of Tzeentch With Wings</t>
        </is>
      </c>
      <c r="F1097" t="inlineStr">
        <is>
          <t>1 model</t>
        </is>
      </c>
      <c r="G1097" t="inlineStr">
        <is>
          <t>Monster</t>
        </is>
      </c>
      <c r="L1097" t="n">
        <v>170</v>
      </c>
      <c r="M1097" t="inlineStr">
        <is>
          <t>Your 1st Unit Costs: 1 models = 170 pts | Your 2nd + Unit Costs: 1 models = 180 pts</t>
        </is>
      </c>
      <c r="N1097" t="inlineStr">
        <is>
          <t>Added from current Munitorum Field Manual v4.1 (non-Legends)</t>
        </is>
      </c>
      <c r="O1097" t="inlineStr">
        <is>
          <t>https://www.warhammer-community.com/en-gb/downloads/warhammer-40000/</t>
        </is>
      </c>
    </row>
    <row r="1098">
      <c r="A1098" t="inlineStr">
        <is>
          <t>Thousand Sons</t>
        </is>
      </c>
      <c r="C1098" t="inlineStr">
        <is>
          <t>Infantry / Other</t>
        </is>
      </c>
      <c r="D1098" t="inlineStr">
        <is>
          <t>Infantry</t>
        </is>
      </c>
      <c r="E1098" t="inlineStr">
        <is>
          <t>Flamers</t>
        </is>
      </c>
      <c r="F1098" t="inlineStr">
        <is>
          <t>3 models</t>
        </is>
      </c>
      <c r="G1098" t="inlineStr">
        <is>
          <t>Infantry</t>
        </is>
      </c>
      <c r="L1098" t="n">
        <v>65</v>
      </c>
      <c r="N1098" t="inlineStr">
        <is>
          <t>Added from current Munitorum Field Manual v4.1 (non-Legends)</t>
        </is>
      </c>
      <c r="O1098" t="inlineStr">
        <is>
          <t>https://www.warhammer-community.com/en-gb/downloads/warhammer-40000/</t>
        </is>
      </c>
    </row>
    <row r="1099">
      <c r="A1099" t="inlineStr">
        <is>
          <t>Thousand Sons</t>
        </is>
      </c>
      <c r="C1099" t="inlineStr">
        <is>
          <t>Vehicle / Support</t>
        </is>
      </c>
      <c r="D1099" t="inlineStr">
        <is>
          <t>Vehicle</t>
        </is>
      </c>
      <c r="E1099" t="inlineStr">
        <is>
          <t>Heldrake</t>
        </is>
      </c>
      <c r="F1099" t="inlineStr">
        <is>
          <t>1 model</t>
        </is>
      </c>
      <c r="G1099" t="inlineStr">
        <is>
          <t>Vehicle</t>
        </is>
      </c>
      <c r="L1099" t="n">
        <v>175</v>
      </c>
      <c r="N1099" t="inlineStr">
        <is>
          <t>Added from current Munitorum Field Manual v4.1 (non-Legends)</t>
        </is>
      </c>
      <c r="O1099" t="inlineStr">
        <is>
          <t>https://www.warhammer-community.com/en-gb/downloads/warhammer-40000/</t>
        </is>
      </c>
    </row>
    <row r="1100">
      <c r="A1100" t="inlineStr">
        <is>
          <t>Thousand Sons</t>
        </is>
      </c>
      <c r="C1100" t="inlineStr">
        <is>
          <t>Infantry / Other</t>
        </is>
      </c>
      <c r="D1100" t="inlineStr">
        <is>
          <t>Infantry</t>
        </is>
      </c>
      <c r="E1100" t="inlineStr">
        <is>
          <t>Kairos Fateweaver</t>
        </is>
      </c>
      <c r="F1100" t="inlineStr">
        <is>
          <t>1 model</t>
        </is>
      </c>
      <c r="G1100" t="inlineStr">
        <is>
          <t>Infantry</t>
        </is>
      </c>
      <c r="L1100" t="n">
        <v>295</v>
      </c>
      <c r="N1100" t="inlineStr">
        <is>
          <t>Added from current Munitorum Field Manual v4.1 (non-Legends)</t>
        </is>
      </c>
      <c r="O1100" t="inlineStr">
        <is>
          <t>https://www.warhammer-community.com/en-gb/downloads/warhammer-40000/</t>
        </is>
      </c>
    </row>
    <row r="1101">
      <c r="A1101" t="inlineStr">
        <is>
          <t>Thousand Sons</t>
        </is>
      </c>
      <c r="C1101" t="inlineStr">
        <is>
          <t>Character</t>
        </is>
      </c>
      <c r="D1101" t="inlineStr">
        <is>
          <t>Character</t>
        </is>
      </c>
      <c r="E1101" t="inlineStr">
        <is>
          <t>Lord Of Change</t>
        </is>
      </c>
      <c r="F1101" t="inlineStr">
        <is>
          <t>1 model</t>
        </is>
      </c>
      <c r="G1101" t="inlineStr">
        <is>
          <t>Character</t>
        </is>
      </c>
      <c r="L1101" t="n">
        <v>300</v>
      </c>
      <c r="M1101" t="inlineStr">
        <is>
          <t>Your 1st To 2nd Units Cost: 1 models = 300 pts | Your 3rd + Unit Costs: 1 models = 315 pts</t>
        </is>
      </c>
      <c r="N1101" t="inlineStr">
        <is>
          <t>Added from current Munitorum Field Manual v4.1 (non-Legends)</t>
        </is>
      </c>
      <c r="O1101" t="inlineStr">
        <is>
          <t>https://www.warhammer-community.com/en-gb/downloads/warhammer-40000/</t>
        </is>
      </c>
    </row>
    <row r="1102">
      <c r="A1102" t="inlineStr">
        <is>
          <t>Thousand Sons</t>
        </is>
      </c>
      <c r="C1102" t="inlineStr">
        <is>
          <t>Infantry / Other</t>
        </is>
      </c>
      <c r="D1102" t="inlineStr">
        <is>
          <t>Infantry</t>
        </is>
      </c>
      <c r="E1102" t="inlineStr">
        <is>
          <t>Pink Horrors</t>
        </is>
      </c>
      <c r="F1102" t="inlineStr">
        <is>
          <t>10 models</t>
        </is>
      </c>
      <c r="G1102" t="inlineStr">
        <is>
          <t>Infantry</t>
        </is>
      </c>
      <c r="L1102" t="n">
        <v>115</v>
      </c>
      <c r="N1102" t="inlineStr">
        <is>
          <t>Added from current Munitorum Field Manual v4.1 (non-Legends)</t>
        </is>
      </c>
      <c r="O1102" t="inlineStr">
        <is>
          <t>https://www.warhammer-community.com/en-gb/downloads/warhammer-40000/</t>
        </is>
      </c>
    </row>
    <row r="1103">
      <c r="A1103" t="inlineStr">
        <is>
          <t>Thousand Sons</t>
        </is>
      </c>
      <c r="C1103" t="inlineStr">
        <is>
          <t>Infantry / Other</t>
        </is>
      </c>
      <c r="D1103" t="inlineStr">
        <is>
          <t>Infantry</t>
        </is>
      </c>
      <c r="E1103" t="inlineStr">
        <is>
          <t>Screamers</t>
        </is>
      </c>
      <c r="F1103" t="inlineStr">
        <is>
          <t>3 models</t>
        </is>
      </c>
      <c r="G1103" t="inlineStr">
        <is>
          <t>Infantry</t>
        </is>
      </c>
      <c r="L1103" t="n">
        <v>80</v>
      </c>
      <c r="N1103" t="inlineStr">
        <is>
          <t>Added from current Munitorum Field Manual v4.1 (non-Legends)</t>
        </is>
      </c>
      <c r="O1103" t="inlineStr">
        <is>
          <t>https://www.warhammer-community.com/en-gb/downloads/warhammer-40000/</t>
        </is>
      </c>
    </row>
    <row r="1104">
      <c r="A1104" t="inlineStr">
        <is>
          <t>Thousand Sons</t>
        </is>
      </c>
      <c r="C1104" t="inlineStr">
        <is>
          <t>Infantry / Other</t>
        </is>
      </c>
      <c r="D1104" t="inlineStr">
        <is>
          <t>Infantry</t>
        </is>
      </c>
      <c r="E1104" t="inlineStr">
        <is>
          <t>Sekhetar Robots</t>
        </is>
      </c>
      <c r="F1104" t="inlineStr">
        <is>
          <t>2 models</t>
        </is>
      </c>
      <c r="G1104" t="inlineStr">
        <is>
          <t>Infantry</t>
        </is>
      </c>
      <c r="L1104" t="n">
        <v>80</v>
      </c>
      <c r="N1104" t="inlineStr">
        <is>
          <t>Added from current Munitorum Field Manual v4.1 (non-Legends)</t>
        </is>
      </c>
      <c r="O1104" t="inlineStr">
        <is>
          <t>https://www.warhammer-community.com/en-gb/downloads/warhammer-40000/</t>
        </is>
      </c>
    </row>
    <row r="1105">
      <c r="A1105" t="inlineStr">
        <is>
          <t>Thousand Sons</t>
        </is>
      </c>
      <c r="C1105" t="inlineStr">
        <is>
          <t>Character</t>
        </is>
      </c>
      <c r="D1105" t="inlineStr">
        <is>
          <t>Character</t>
        </is>
      </c>
      <c r="E1105" t="inlineStr">
        <is>
          <t>Sorcerer</t>
        </is>
      </c>
      <c r="F1105" t="inlineStr">
        <is>
          <t>1 model</t>
        </is>
      </c>
      <c r="G1105" t="inlineStr">
        <is>
          <t>Character</t>
        </is>
      </c>
      <c r="L1105" t="n">
        <v>85</v>
      </c>
      <c r="N1105" t="inlineStr">
        <is>
          <t>Added from current Munitorum Field Manual v4.1 (non-Legends)</t>
        </is>
      </c>
      <c r="O1105" t="inlineStr">
        <is>
          <t>https://www.warhammer-community.com/en-gb/downloads/warhammer-40000/</t>
        </is>
      </c>
    </row>
    <row r="1106">
      <c r="A1106" t="inlineStr">
        <is>
          <t>Thousand Sons</t>
        </is>
      </c>
      <c r="C1106" t="inlineStr">
        <is>
          <t>Infantry / Other</t>
        </is>
      </c>
      <c r="D1106" t="inlineStr">
        <is>
          <t>Infantry</t>
        </is>
      </c>
      <c r="E1106" t="inlineStr">
        <is>
          <t>Tzaangor Enlightened With Fatecaster Greatbows</t>
        </is>
      </c>
      <c r="F1106" t="inlineStr">
        <is>
          <t>3 models</t>
        </is>
      </c>
      <c r="G1106" t="inlineStr">
        <is>
          <t>Infantry</t>
        </is>
      </c>
      <c r="L1106" t="n">
        <v>55</v>
      </c>
      <c r="N1106" t="inlineStr">
        <is>
          <t>Added from current Munitorum Field Manual v4.1 (non-Legends)</t>
        </is>
      </c>
      <c r="O1106" t="inlineStr">
        <is>
          <t>https://www.warhammer-community.com/en-gb/downloads/warhammer-40000/</t>
        </is>
      </c>
    </row>
    <row r="1107">
      <c r="A1107" t="inlineStr">
        <is>
          <t>Tyranids</t>
        </is>
      </c>
      <c r="C1107" t="inlineStr">
        <is>
          <t>Monster / Support</t>
        </is>
      </c>
      <c r="D1107" t="inlineStr">
        <is>
          <t>Monster</t>
        </is>
      </c>
      <c r="E1107" t="inlineStr">
        <is>
          <t>Harridan</t>
        </is>
      </c>
      <c r="F1107" t="inlineStr">
        <is>
          <t>1 model</t>
        </is>
      </c>
      <c r="G1107" t="inlineStr">
        <is>
          <t>Monster</t>
        </is>
      </c>
      <c r="L1107" t="n">
        <v>610</v>
      </c>
      <c r="M1107" t="inlineStr">
        <is>
          <t>Your 1st Unit Costs: 1 models = 610 pts | Your 2nd + Unit Costs: 1 models = 660 pts</t>
        </is>
      </c>
      <c r="N1107" t="inlineStr">
        <is>
          <t>Added from current Munitorum Field Manual v4.1 (non-Legends)</t>
        </is>
      </c>
      <c r="O1107" t="inlineStr">
        <is>
          <t>https://www.warhammer-community.com/en-gb/downloads/warhammer-40000/</t>
        </is>
      </c>
    </row>
    <row r="1108">
      <c r="A1108" t="inlineStr">
        <is>
          <t>Tyranids</t>
        </is>
      </c>
      <c r="C1108" t="inlineStr">
        <is>
          <t>Monster / Support</t>
        </is>
      </c>
      <c r="D1108" t="inlineStr">
        <is>
          <t>Monster</t>
        </is>
      </c>
      <c r="E1108" t="inlineStr">
        <is>
          <t>Hierophant</t>
        </is>
      </c>
      <c r="F1108" t="inlineStr">
        <is>
          <t>1 model</t>
        </is>
      </c>
      <c r="G1108" t="inlineStr">
        <is>
          <t>Monster</t>
        </is>
      </c>
      <c r="L1108" t="n">
        <v>810</v>
      </c>
      <c r="M1108" t="inlineStr">
        <is>
          <t>Your 1st Unit Costs: 1 models = 810 pts | Your 2nd + Unit Costs: 1 models = 910 pts</t>
        </is>
      </c>
      <c r="N1108" t="inlineStr">
        <is>
          <t>Added from current Munitorum Field Manual v4.1 (non-Legends)</t>
        </is>
      </c>
      <c r="O1108" t="inlineStr">
        <is>
          <t>https://www.warhammer-community.com/en-gb/downloads/warhammer-40000/</t>
        </is>
      </c>
    </row>
    <row r="1109">
      <c r="A1109" t="inlineStr">
        <is>
          <t>Tyranids</t>
        </is>
      </c>
      <c r="C1109" t="inlineStr">
        <is>
          <t>Character</t>
        </is>
      </c>
      <c r="D1109" t="inlineStr">
        <is>
          <t>Character</t>
        </is>
      </c>
      <c r="E1109" t="inlineStr">
        <is>
          <t>Hyperadapted Raveners</t>
        </is>
      </c>
      <c r="F1109" t="inlineStr">
        <is>
          <t>5 models</t>
        </is>
      </c>
      <c r="G1109" t="inlineStr">
        <is>
          <t>Character</t>
        </is>
      </c>
      <c r="L1109" t="n">
        <v>165</v>
      </c>
      <c r="M1109" t="inlineStr">
        <is>
          <t>Your 1st To 2nd Units Cost: 5 models = 165 pts | Your 3rd + Unit Costs: 5 models = 175 pts</t>
        </is>
      </c>
      <c r="N1109" t="inlineStr">
        <is>
          <t>Added from current Munitorum Field Manual v4.1 (non-Legends)</t>
        </is>
      </c>
      <c r="O1109" t="inlineStr">
        <is>
          <t>https://www.warhammer-community.com/en-gb/downloads/warhammer-40000/</t>
        </is>
      </c>
    </row>
    <row r="1110">
      <c r="A1110" t="inlineStr">
        <is>
          <t>Tyranids</t>
        </is>
      </c>
      <c r="C1110" t="inlineStr">
        <is>
          <t>Infantry / Other</t>
        </is>
      </c>
      <c r="D1110" t="inlineStr">
        <is>
          <t>Infantry</t>
        </is>
      </c>
      <c r="E1110" t="inlineStr">
        <is>
          <t>The Red Terror</t>
        </is>
      </c>
      <c r="F1110" t="inlineStr">
        <is>
          <t>1 model</t>
        </is>
      </c>
      <c r="G1110" t="inlineStr">
        <is>
          <t>Infantry</t>
        </is>
      </c>
      <c r="L1110" t="n">
        <v>130</v>
      </c>
      <c r="N1110" t="inlineStr">
        <is>
          <t>Added from current Munitorum Field Manual v4.1 (non-Legends)</t>
        </is>
      </c>
      <c r="O1110" t="inlineStr">
        <is>
          <t>https://www.warhammer-community.com/en-gb/downloads/warhammer-40000/</t>
        </is>
      </c>
    </row>
    <row r="1111">
      <c r="A1111" t="inlineStr">
        <is>
          <t>Tyranids</t>
        </is>
      </c>
      <c r="C1111" t="inlineStr">
        <is>
          <t>Character</t>
        </is>
      </c>
      <c r="D1111" t="inlineStr">
        <is>
          <t>Character</t>
        </is>
      </c>
      <c r="E1111" t="inlineStr">
        <is>
          <t>Tyranid Prime With Lash Whip</t>
        </is>
      </c>
      <c r="F1111" t="inlineStr">
        <is>
          <t>1 model</t>
        </is>
      </c>
      <c r="G1111" t="inlineStr">
        <is>
          <t>Character</t>
        </is>
      </c>
      <c r="L1111" t="n">
        <v>75</v>
      </c>
      <c r="N1111" t="inlineStr">
        <is>
          <t>Added from current Munitorum Field Manual v4.1 (non-Legends)</t>
        </is>
      </c>
      <c r="O1111" t="inlineStr">
        <is>
          <t>https://www.warhammer-community.com/en-gb/downloads/warhammer-40000/</t>
        </is>
      </c>
    </row>
    <row r="1112">
      <c r="A1112" t="inlineStr">
        <is>
          <t>Tyranids</t>
        </is>
      </c>
      <c r="C1112" t="inlineStr">
        <is>
          <t>Infantry / Other</t>
        </is>
      </c>
      <c r="D1112" t="inlineStr">
        <is>
          <t>Infantry</t>
        </is>
      </c>
      <c r="E1112" t="inlineStr">
        <is>
          <t>Venomthropes</t>
        </is>
      </c>
      <c r="F1112" t="inlineStr">
        <is>
          <t>3 models</t>
        </is>
      </c>
      <c r="G1112" t="inlineStr">
        <is>
          <t>Infantry</t>
        </is>
      </c>
      <c r="L1112" t="n">
        <v>55</v>
      </c>
      <c r="N1112" t="inlineStr">
        <is>
          <t>Added from current Munitorum Field Manual v4.1 (non-Legends)</t>
        </is>
      </c>
      <c r="O1112" t="inlineStr">
        <is>
          <t>https://www.warhammer-community.com/en-gb/downloads/warhammer-40000/</t>
        </is>
      </c>
    </row>
    <row r="1113">
      <c r="A1113" t="inlineStr">
        <is>
          <t>World Eaters</t>
        </is>
      </c>
      <c r="C1113" t="inlineStr">
        <is>
          <t>Infantry / Other</t>
        </is>
      </c>
      <c r="D1113" t="inlineStr">
        <is>
          <t>Infantry</t>
        </is>
      </c>
      <c r="E1113" t="inlineStr">
        <is>
          <t>Bloodcrushers</t>
        </is>
      </c>
      <c r="F1113" t="inlineStr">
        <is>
          <t>3 models</t>
        </is>
      </c>
      <c r="G1113" t="inlineStr">
        <is>
          <t>Infantry</t>
        </is>
      </c>
      <c r="L1113" t="n">
        <v>95</v>
      </c>
      <c r="M1113" t="inlineStr">
        <is>
          <t>Your 1st To 2nd Units Cost: 3 models = 95 pts; 6 models = 180 pts | Your 3rd + Unit Costs: 3 models = 105 pts; 6 models = 190 pts</t>
        </is>
      </c>
      <c r="N1113" t="inlineStr">
        <is>
          <t>Added from current Munitorum Field Manual v4.1 (non-Legends)</t>
        </is>
      </c>
      <c r="O1113" t="inlineStr">
        <is>
          <t>https://www.warhammer-community.com/en-gb/downloads/warhammer-40000/</t>
        </is>
      </c>
    </row>
    <row r="1114">
      <c r="A1114" t="inlineStr">
        <is>
          <t>World Eaters</t>
        </is>
      </c>
      <c r="C1114" t="inlineStr">
        <is>
          <t>Infantry / Other</t>
        </is>
      </c>
      <c r="D1114" t="inlineStr">
        <is>
          <t>Infantry</t>
        </is>
      </c>
      <c r="E1114" t="inlineStr">
        <is>
          <t>Bloodletters</t>
        </is>
      </c>
      <c r="F1114" t="inlineStr">
        <is>
          <t>10 models</t>
        </is>
      </c>
      <c r="G1114" t="inlineStr">
        <is>
          <t>Infantry</t>
        </is>
      </c>
      <c r="L1114" t="n">
        <v>90</v>
      </c>
      <c r="N1114" t="inlineStr">
        <is>
          <t>Added from current Munitorum Field Manual v4.1 (non-Legends)</t>
        </is>
      </c>
      <c r="O1114" t="inlineStr">
        <is>
          <t>https://www.warhammer-community.com/en-gb/downloads/warhammer-40000/</t>
        </is>
      </c>
    </row>
    <row r="1115">
      <c r="A1115" t="inlineStr">
        <is>
          <t>World Eaters</t>
        </is>
      </c>
      <c r="C1115" t="inlineStr">
        <is>
          <t>Monster / Support</t>
        </is>
      </c>
      <c r="D1115" t="inlineStr">
        <is>
          <t>Monster</t>
        </is>
      </c>
      <c r="E1115" t="inlineStr">
        <is>
          <t>Bloodthirster</t>
        </is>
      </c>
      <c r="F1115" t="inlineStr">
        <is>
          <t>1 model</t>
        </is>
      </c>
      <c r="G1115" t="inlineStr">
        <is>
          <t>Monster</t>
        </is>
      </c>
      <c r="L1115" t="n">
        <v>320</v>
      </c>
      <c r="M1115" t="inlineStr">
        <is>
          <t>Your 1st To 2nd Units Cost: 1 models = 320 pts | Your 3rd + Unit Costs: 1 models = 335 pts</t>
        </is>
      </c>
      <c r="N1115" t="inlineStr">
        <is>
          <t>Added from current Munitorum Field Manual v4.1 (non-Legends)</t>
        </is>
      </c>
      <c r="O1115" t="inlineStr">
        <is>
          <t>https://www.warhammer-community.com/en-gb/downloads/warhammer-40000/</t>
        </is>
      </c>
    </row>
    <row r="1116">
      <c r="A1116" t="inlineStr">
        <is>
          <t>World Eaters</t>
        </is>
      </c>
      <c r="C1116" t="inlineStr">
        <is>
          <t>Vehicle / Support</t>
        </is>
      </c>
      <c r="D1116" t="inlineStr">
        <is>
          <t>Vehicle</t>
        </is>
      </c>
      <c r="E1116" t="inlineStr">
        <is>
          <t>Chaos Land Raider</t>
        </is>
      </c>
      <c r="F1116" t="inlineStr">
        <is>
          <t>1 model</t>
        </is>
      </c>
      <c r="G1116" t="inlineStr">
        <is>
          <t>Vehicle</t>
        </is>
      </c>
      <c r="L1116" t="n">
        <v>220</v>
      </c>
      <c r="M1116" t="inlineStr">
        <is>
          <t>Your 1st To 2nd Units Cost: 1 models = 220 pts | Your 3rd + Unit Costs: 1 models = 240 pts</t>
        </is>
      </c>
      <c r="N1116" t="inlineStr">
        <is>
          <t>Added from current Munitorum Field Manual v4.1 (non-Legends)</t>
        </is>
      </c>
      <c r="O1116" t="inlineStr">
        <is>
          <t>https://www.warhammer-community.com/en-gb/downloads/warhammer-40000/</t>
        </is>
      </c>
    </row>
    <row r="1117">
      <c r="A1117" t="inlineStr">
        <is>
          <t>World Eaters</t>
        </is>
      </c>
      <c r="C1117" t="inlineStr">
        <is>
          <t>Vehicle / Support</t>
        </is>
      </c>
      <c r="D1117" t="inlineStr">
        <is>
          <t>Vehicle</t>
        </is>
      </c>
      <c r="E1117" t="inlineStr">
        <is>
          <t>Chaos Predator Annihilator</t>
        </is>
      </c>
      <c r="F1117" t="inlineStr">
        <is>
          <t>1 model</t>
        </is>
      </c>
      <c r="G1117" t="inlineStr">
        <is>
          <t>Vehicle</t>
        </is>
      </c>
      <c r="L1117" t="n">
        <v>135</v>
      </c>
      <c r="M1117" t="inlineStr">
        <is>
          <t>Your 1st To 2nd Units Cost: 1 models = 135 pts | Your 3rd + Unit Costs: 1 models = 145 pts</t>
        </is>
      </c>
      <c r="N1117" t="inlineStr">
        <is>
          <t>Added from current Munitorum Field Manual v4.1 (non-Legends)</t>
        </is>
      </c>
      <c r="O1117" t="inlineStr">
        <is>
          <t>https://www.warhammer-community.com/en-gb/downloads/warhammer-40000/</t>
        </is>
      </c>
    </row>
    <row r="1118">
      <c r="A1118" t="inlineStr">
        <is>
          <t>World Eaters</t>
        </is>
      </c>
      <c r="C1118" t="inlineStr">
        <is>
          <t>Vehicle / Support</t>
        </is>
      </c>
      <c r="D1118" t="inlineStr">
        <is>
          <t>Vehicle</t>
        </is>
      </c>
      <c r="E1118" t="inlineStr">
        <is>
          <t>Chaos Predator Destructor</t>
        </is>
      </c>
      <c r="F1118" t="inlineStr">
        <is>
          <t>1 model</t>
        </is>
      </c>
      <c r="G1118" t="inlineStr">
        <is>
          <t>Vehicle</t>
        </is>
      </c>
      <c r="L1118" t="n">
        <v>135</v>
      </c>
      <c r="M1118" t="inlineStr">
        <is>
          <t>Your 1st To 2nd Units Cost: 1 models = 135 pts | Your 3rd + Unit Costs: 1 models = 145 pts</t>
        </is>
      </c>
      <c r="N1118" t="inlineStr">
        <is>
          <t>Added from current Munitorum Field Manual v4.1 (non-Legends)</t>
        </is>
      </c>
      <c r="O1118" t="inlineStr">
        <is>
          <t>https://www.warhammer-community.com/en-gb/downloads/warhammer-40000/</t>
        </is>
      </c>
    </row>
    <row r="1119">
      <c r="A1119" t="inlineStr">
        <is>
          <t>World Eaters</t>
        </is>
      </c>
      <c r="C1119" t="inlineStr">
        <is>
          <t>Vehicle / Support</t>
        </is>
      </c>
      <c r="D1119" t="inlineStr">
        <is>
          <t>Vehicle</t>
        </is>
      </c>
      <c r="E1119" t="inlineStr">
        <is>
          <t>Chaos Rhino</t>
        </is>
      </c>
      <c r="F1119" t="inlineStr">
        <is>
          <t>1 model</t>
        </is>
      </c>
      <c r="G1119" t="inlineStr">
        <is>
          <t>Vehicle</t>
        </is>
      </c>
      <c r="L1119" t="n">
        <v>85</v>
      </c>
      <c r="N1119" t="inlineStr">
        <is>
          <t>Added from current Munitorum Field Manual v4.1 (non-Legends)</t>
        </is>
      </c>
      <c r="O1119" t="inlineStr">
        <is>
          <t>https://www.warhammer-community.com/en-gb/downloads/warhammer-40000/</t>
        </is>
      </c>
    </row>
    <row r="1120">
      <c r="A1120" t="inlineStr">
        <is>
          <t>World Eaters</t>
        </is>
      </c>
      <c r="C1120" t="inlineStr">
        <is>
          <t>Infantry / Other</t>
        </is>
      </c>
      <c r="D1120" t="inlineStr">
        <is>
          <t>Infantry</t>
        </is>
      </c>
      <c r="E1120" t="inlineStr">
        <is>
          <t>Chaos Terminators</t>
        </is>
      </c>
      <c r="F1120" t="inlineStr">
        <is>
          <t>5 models</t>
        </is>
      </c>
      <c r="G1120" t="inlineStr">
        <is>
          <t>Infantry</t>
        </is>
      </c>
      <c r="L1120" t="n">
        <v>175</v>
      </c>
      <c r="M1120" t="inlineStr">
        <is>
          <t>Your 1st To 2nd Units Cost: 5 models = 175 pts; 10 models = 350 pts | Your 3rd + Unit Costs: 5 models = 185 pts; 10 models = 360 pts</t>
        </is>
      </c>
      <c r="N1120" t="inlineStr">
        <is>
          <t>Added from current Munitorum Field Manual v4.1 (non-Legends)</t>
        </is>
      </c>
      <c r="O1120" t="inlineStr">
        <is>
          <t>https://www.warhammer-community.com/en-gb/downloads/warhammer-40000/</t>
        </is>
      </c>
    </row>
    <row r="1121">
      <c r="A1121" t="inlineStr">
        <is>
          <t>World Eaters</t>
        </is>
      </c>
      <c r="C1121" t="inlineStr">
        <is>
          <t>Monster / Support</t>
        </is>
      </c>
      <c r="D1121" t="inlineStr">
        <is>
          <t>Monster</t>
        </is>
      </c>
      <c r="E1121" t="inlineStr">
        <is>
          <t>Daemon Prince Of Khorne</t>
        </is>
      </c>
      <c r="F1121" t="inlineStr">
        <is>
          <t>1 model</t>
        </is>
      </c>
      <c r="G1121" t="inlineStr">
        <is>
          <t>Monster</t>
        </is>
      </c>
      <c r="L1121" t="n">
        <v>200</v>
      </c>
      <c r="N1121" t="inlineStr">
        <is>
          <t>Added from current Munitorum Field Manual v4.1 (non-Legends)</t>
        </is>
      </c>
      <c r="O1121" t="inlineStr">
        <is>
          <t>https://www.warhammer-community.com/en-gb/downloads/warhammer-40000/</t>
        </is>
      </c>
    </row>
    <row r="1122">
      <c r="A1122" t="inlineStr">
        <is>
          <t>World Eaters</t>
        </is>
      </c>
      <c r="C1122" t="inlineStr">
        <is>
          <t>Monster / Support</t>
        </is>
      </c>
      <c r="D1122" t="inlineStr">
        <is>
          <t>Monster</t>
        </is>
      </c>
      <c r="E1122" t="inlineStr">
        <is>
          <t>Daemon Prince Of Khorne With Wings</t>
        </is>
      </c>
      <c r="F1122" t="inlineStr">
        <is>
          <t>1 model</t>
        </is>
      </c>
      <c r="G1122" t="inlineStr">
        <is>
          <t>Monster</t>
        </is>
      </c>
      <c r="L1122" t="n">
        <v>170</v>
      </c>
      <c r="N1122" t="inlineStr">
        <is>
          <t>Added from current Munitorum Field Manual v4.1 (non-Legends)</t>
        </is>
      </c>
      <c r="O1122" t="inlineStr">
        <is>
          <t>https://www.warhammer-community.com/en-gb/downloads/warhammer-40000/</t>
        </is>
      </c>
    </row>
    <row r="1123">
      <c r="A1123" t="inlineStr">
        <is>
          <t>World Eaters</t>
        </is>
      </c>
      <c r="C1123" t="inlineStr">
        <is>
          <t>Infantry / Other</t>
        </is>
      </c>
      <c r="D1123" t="inlineStr">
        <is>
          <t>Beast / Swarm</t>
        </is>
      </c>
      <c r="E1123" t="inlineStr">
        <is>
          <t>Flesh Hounds</t>
        </is>
      </c>
      <c r="F1123" t="inlineStr">
        <is>
          <t>5 models</t>
        </is>
      </c>
      <c r="G1123" t="inlineStr">
        <is>
          <t>Beast / Swarm</t>
        </is>
      </c>
      <c r="L1123" t="n">
        <v>75</v>
      </c>
      <c r="N1123" t="inlineStr">
        <is>
          <t>Added from current Munitorum Field Manual v4.1 (non-Legends)</t>
        </is>
      </c>
      <c r="O1123" t="inlineStr">
        <is>
          <t>https://www.warhammer-community.com/en-gb/downloads/warhammer-40000/</t>
        </is>
      </c>
    </row>
    <row r="1124">
      <c r="A1124" t="inlineStr">
        <is>
          <t>World Eaters</t>
        </is>
      </c>
      <c r="C1124" t="inlineStr">
        <is>
          <t>Infantry / Other</t>
        </is>
      </c>
      <c r="D1124" t="inlineStr">
        <is>
          <t>Infantry</t>
        </is>
      </c>
      <c r="E1124" t="inlineStr">
        <is>
          <t>Goremongers</t>
        </is>
      </c>
      <c r="F1124" t="inlineStr">
        <is>
          <t>8 models</t>
        </is>
      </c>
      <c r="G1124" t="inlineStr">
        <is>
          <t>Infantry</t>
        </is>
      </c>
      <c r="L1124" t="n">
        <v>75</v>
      </c>
      <c r="N1124" t="inlineStr">
        <is>
          <t>Added from current Munitorum Field Manual v4.1 (non-Legends)</t>
        </is>
      </c>
      <c r="O1124" t="inlineStr">
        <is>
          <t>https://www.warhammer-community.com/en-gb/downloads/warhammer-40000/</t>
        </is>
      </c>
    </row>
    <row r="1125">
      <c r="A1125" t="inlineStr">
        <is>
          <t>World Eaters</t>
        </is>
      </c>
      <c r="C1125" t="inlineStr">
        <is>
          <t>Vehicle / Support</t>
        </is>
      </c>
      <c r="D1125" t="inlineStr">
        <is>
          <t>Vehicle</t>
        </is>
      </c>
      <c r="E1125" t="inlineStr">
        <is>
          <t>Heldrake</t>
        </is>
      </c>
      <c r="F1125" t="inlineStr">
        <is>
          <t>1 model</t>
        </is>
      </c>
      <c r="G1125" t="inlineStr">
        <is>
          <t>Vehicle</t>
        </is>
      </c>
      <c r="L1125" t="n">
        <v>175</v>
      </c>
      <c r="N1125" t="inlineStr">
        <is>
          <t>Added from current Munitorum Field Manual v4.1 (non-Legends)</t>
        </is>
      </c>
      <c r="O1125" t="inlineStr">
        <is>
          <t>https://www.warhammer-community.com/en-gb/downloads/warhammer-40000/</t>
        </is>
      </c>
    </row>
    <row r="1126">
      <c r="A1126" t="inlineStr">
        <is>
          <t>World Eaters</t>
        </is>
      </c>
      <c r="C1126" t="inlineStr">
        <is>
          <t>Monster / Support</t>
        </is>
      </c>
      <c r="D1126" t="inlineStr">
        <is>
          <t>Monster</t>
        </is>
      </c>
      <c r="E1126" t="inlineStr">
        <is>
          <t>Skarbrand</t>
        </is>
      </c>
      <c r="F1126" t="inlineStr">
        <is>
          <t>1 model</t>
        </is>
      </c>
      <c r="G1126" t="inlineStr">
        <is>
          <t>Monster</t>
        </is>
      </c>
      <c r="L1126" t="n">
        <v>315</v>
      </c>
      <c r="N1126" t="inlineStr">
        <is>
          <t>Added from current Munitorum Field Manual v4.1 (non-Legends)</t>
        </is>
      </c>
      <c r="O1126" t="inlineStr">
        <is>
          <t>https://www.warhammer-community.com/en-gb/downloads/warhammer-40000/</t>
        </is>
      </c>
    </row>
    <row r="1127">
      <c r="A1127" t="inlineStr">
        <is>
          <t>World Eaters</t>
        </is>
      </c>
      <c r="C1127" t="inlineStr">
        <is>
          <t>Character</t>
        </is>
      </c>
      <c r="D1127" t="inlineStr">
        <is>
          <t>Character</t>
        </is>
      </c>
      <c r="E1127" t="inlineStr">
        <is>
          <t>Slaughterbound</t>
        </is>
      </c>
      <c r="F1127" t="inlineStr">
        <is>
          <t>1 model</t>
        </is>
      </c>
      <c r="G1127" t="inlineStr">
        <is>
          <t>Character</t>
        </is>
      </c>
      <c r="L1127" t="n">
        <v>100</v>
      </c>
      <c r="N1127" t="inlineStr">
        <is>
          <t>Added from current Munitorum Field Manual v4.1 (non-Legends)</t>
        </is>
      </c>
      <c r="O1127" t="inlineStr">
        <is>
          <t>https://www.warhammer-community.com/en-gb/downloads/warhammer-40000/</t>
        </is>
      </c>
    </row>
  </sheetData>
  <dataValidations count="4">
    <dataValidation sqref="H2:H820" showDropDown="0" showInputMessage="0" showErrorMessage="0" allowBlank="0" type="list">
      <formula1>"Yes,No,Partial"</formula1>
    </dataValidation>
    <dataValidation sqref="I2:I820" showDropDown="0" showInputMessage="0" showErrorMessage="0" allowBlank="0" type="list">
      <formula1>"Yes,No,Partial"</formula1>
    </dataValidation>
    <dataValidation sqref="J2:J820" showDropDown="0" showInputMessage="0" showErrorMessage="0" allowBlank="0" type="list">
      <formula1>"Unpainted,Primed,Battle Ready,Parade Ready,Needs Rework"</formula1>
    </dataValidation>
    <dataValidation sqref="K2:K820" showDropDown="0" showInputMessage="0" showErrorMessage="0" allowBlank="0" type="list">
      <formula1>"High,Medium,Low,None"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style="48" min="1" max="1"/>
    <col width="28" customWidth="1" style="48" min="2" max="2"/>
    <col width="28" customWidth="1" style="48" min="3" max="3"/>
  </cols>
  <sheetData>
    <row r="1">
      <c r="A1" s="50" t="inlineStr">
        <is>
          <t>Factions</t>
        </is>
      </c>
      <c r="B1" s="50" t="inlineStr">
        <is>
          <t>Unit Types</t>
        </is>
      </c>
      <c r="C1" s="50" t="inlineStr">
        <is>
          <t>Paint Status</t>
        </is>
      </c>
    </row>
    <row r="2">
      <c r="A2" t="inlineStr">
        <is>
          <t>Adepta Sororitas</t>
        </is>
      </c>
      <c r="B2" t="inlineStr">
        <is>
          <t>Aircraft</t>
        </is>
      </c>
      <c r="C2" t="inlineStr">
        <is>
          <t>Unpainted</t>
        </is>
      </c>
    </row>
    <row r="3">
      <c r="A3" t="inlineStr">
        <is>
          <t>Adeptus Custodes</t>
        </is>
      </c>
      <c r="B3" t="inlineStr">
        <is>
          <t>Beast / Swarm</t>
        </is>
      </c>
      <c r="C3" t="inlineStr">
        <is>
          <t>Primed</t>
        </is>
      </c>
    </row>
    <row r="4">
      <c r="A4" t="inlineStr">
        <is>
          <t>Adeptus Mechanicus</t>
        </is>
      </c>
      <c r="B4" t="inlineStr">
        <is>
          <t>Character</t>
        </is>
      </c>
      <c r="C4" t="inlineStr">
        <is>
          <t>Battle Ready</t>
        </is>
      </c>
    </row>
    <row r="5">
      <c r="A5" t="inlineStr">
        <is>
          <t>Aeldari</t>
        </is>
      </c>
      <c r="B5" t="inlineStr">
        <is>
          <t>Infantry</t>
        </is>
      </c>
      <c r="C5" t="inlineStr">
        <is>
          <t>Parade Ready</t>
        </is>
      </c>
    </row>
    <row r="6">
      <c r="A6" t="inlineStr">
        <is>
          <t>Astra Militarum</t>
        </is>
      </c>
      <c r="B6" t="inlineStr">
        <is>
          <t>Monster</t>
        </is>
      </c>
      <c r="C6" t="inlineStr">
        <is>
          <t>Needs Rework</t>
        </is>
      </c>
    </row>
    <row r="7">
      <c r="A7" t="inlineStr">
        <is>
          <t>Black Templars</t>
        </is>
      </c>
      <c r="B7" t="inlineStr">
        <is>
          <t>Mounted / Bike</t>
        </is>
      </c>
    </row>
    <row r="8">
      <c r="A8" t="inlineStr">
        <is>
          <t>Blood Angels</t>
        </is>
      </c>
      <c r="B8" t="inlineStr">
        <is>
          <t>Super-heavy Vehicle/Monster</t>
        </is>
      </c>
    </row>
    <row r="9">
      <c r="A9" t="inlineStr">
        <is>
          <t>Chaos Daemons</t>
        </is>
      </c>
      <c r="B9" t="inlineStr">
        <is>
          <t>Vehicle</t>
        </is>
      </c>
    </row>
    <row r="10">
      <c r="A10" t="inlineStr">
        <is>
          <t>Chaos Knights</t>
        </is>
      </c>
      <c r="B10" t="inlineStr">
        <is>
          <t>Walker / Battlesuit</t>
        </is>
      </c>
    </row>
    <row r="11">
      <c r="A11" t="inlineStr">
        <is>
          <t>Chaos Space Marines</t>
        </is>
      </c>
    </row>
    <row r="12">
      <c r="A12" t="inlineStr">
        <is>
          <t>Dark Angels</t>
        </is>
      </c>
    </row>
    <row r="13">
      <c r="A13" t="inlineStr">
        <is>
          <t>Death Guard</t>
        </is>
      </c>
    </row>
    <row r="14">
      <c r="A14" t="inlineStr">
        <is>
          <t>Deathwatch</t>
        </is>
      </c>
    </row>
    <row r="15">
      <c r="A15" t="inlineStr">
        <is>
          <t>Drukhari</t>
        </is>
      </c>
    </row>
    <row r="16">
      <c r="A16" t="inlineStr">
        <is>
          <t>Emperor's Children</t>
        </is>
      </c>
    </row>
    <row r="17">
      <c r="A17" t="inlineStr">
        <is>
          <t>Genestealer Cults</t>
        </is>
      </c>
    </row>
    <row r="18">
      <c r="A18" t="inlineStr">
        <is>
          <t>Grey Knights</t>
        </is>
      </c>
    </row>
    <row r="19">
      <c r="A19" t="inlineStr">
        <is>
          <t>Harlequins</t>
        </is>
      </c>
    </row>
    <row r="20">
      <c r="A20" t="inlineStr">
        <is>
          <t>Imperial Agents</t>
        </is>
      </c>
    </row>
    <row r="21">
      <c r="A21" t="inlineStr">
        <is>
          <t>Imperial Knights</t>
        </is>
      </c>
    </row>
    <row r="22">
      <c r="A22" t="inlineStr">
        <is>
          <t>Leagues of Votann</t>
        </is>
      </c>
    </row>
    <row r="23">
      <c r="A23" t="inlineStr">
        <is>
          <t>Necrons</t>
        </is>
      </c>
    </row>
    <row r="24">
      <c r="A24" t="inlineStr">
        <is>
          <t>Orks</t>
        </is>
      </c>
    </row>
    <row r="25">
      <c r="A25" t="inlineStr">
        <is>
          <t>Space Marines</t>
        </is>
      </c>
    </row>
    <row r="26">
      <c r="A26" t="inlineStr">
        <is>
          <t>Space Wolves</t>
        </is>
      </c>
    </row>
    <row r="27">
      <c r="A27" t="inlineStr">
        <is>
          <t>T'au Empire</t>
        </is>
      </c>
    </row>
    <row r="28">
      <c r="A28" t="inlineStr">
        <is>
          <t>Thousand Sons</t>
        </is>
      </c>
    </row>
    <row r="29">
      <c r="A29" t="inlineStr">
        <is>
          <t>Tyranids</t>
        </is>
      </c>
    </row>
    <row r="30">
      <c r="A30" t="inlineStr">
        <is>
          <t>World Eaters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8" customWidth="1" style="48" min="1" max="1"/>
    <col width="16" customWidth="1" style="48" min="2" max="2"/>
    <col width="28" customWidth="1" style="48" min="4" max="4"/>
    <col width="12" customWidth="1" style="48" min="5" max="5"/>
    <col width="12" customWidth="1" style="48" min="6" max="6"/>
  </cols>
  <sheetData>
    <row r="1">
      <c r="A1" s="19" t="inlineStr">
        <is>
          <t>Warhammer 40,000 10th Edition Catalogue Workbook</t>
        </is>
      </c>
      <c r="B1" s="1" t="n"/>
      <c r="C1" s="1" t="n"/>
      <c r="D1" s="1" t="n"/>
      <c r="E1" s="1" t="n"/>
      <c r="F1" s="1" t="n"/>
      <c r="G1" s="1" t="n"/>
      <c r="H1" s="1" t="n"/>
    </row>
    <row r="3">
      <c r="A3" s="59" t="inlineStr">
        <is>
          <t>Total catalogue rows</t>
        </is>
      </c>
      <c r="B3" s="60">
        <f>COUNTA('Master Catalogue'!E2:E820)</f>
        <v/>
      </c>
      <c r="D3" s="50" t="inlineStr">
        <is>
          <t>Faction</t>
        </is>
      </c>
      <c r="E3" s="50" t="inlineStr">
        <is>
          <t>Rows</t>
        </is>
      </c>
      <c r="F3" s="50" t="inlineStr">
        <is>
          <t>Owned</t>
        </is>
      </c>
    </row>
    <row r="4">
      <c r="A4" s="59" t="inlineStr">
        <is>
          <t>Factions included</t>
        </is>
      </c>
      <c r="B4" s="60">
        <f>COUNTA(Lists!A2:A30)</f>
        <v/>
      </c>
      <c r="D4" t="inlineStr">
        <is>
          <t>Adepta Sororitas</t>
        </is>
      </c>
      <c r="E4">
        <f>COUNTIF('Master Catalogue'!A:A,D4)</f>
        <v/>
      </c>
      <c r="F4">
        <f>COUNTIFS('Master Catalogue'!A:A,D4,'Master Catalogue'!H:H,"Yes")</f>
        <v/>
      </c>
    </row>
    <row r="5">
      <c r="A5" s="59" t="inlineStr">
        <is>
          <t>Owned rows</t>
        </is>
      </c>
      <c r="B5" s="60">
        <f>COUNTIF('Master Catalogue'!H2:H820,"Yes")</f>
        <v/>
      </c>
      <c r="D5" t="inlineStr">
        <is>
          <t>Adeptus Custodes</t>
        </is>
      </c>
      <c r="E5">
        <f>COUNTIF('Master Catalogue'!A:A,D5)</f>
        <v/>
      </c>
      <c r="F5">
        <f>COUNTIFS('Master Catalogue'!A:A,D5,'Master Catalogue'!H:H,"Yes")</f>
        <v/>
      </c>
    </row>
    <row r="6">
      <c r="A6" s="59" t="inlineStr">
        <is>
          <t>Battle Ready / Parade Ready</t>
        </is>
      </c>
      <c r="B6" s="60">
        <f>COUNTIF('Master Catalogue'!J2:J820,"Battle Ready")+COUNTIF('Master Catalogue'!J2:J820,"Parade Ready")</f>
        <v/>
      </c>
      <c r="D6" t="inlineStr">
        <is>
          <t>Adeptus Mechanicus</t>
        </is>
      </c>
      <c r="E6">
        <f>COUNTIF('Master Catalogue'!A:A,D6)</f>
        <v/>
      </c>
      <c r="F6">
        <f>COUNTIFS('Master Catalogue'!A:A,D6,'Master Catalogue'!H:H,"Yes")</f>
        <v/>
      </c>
    </row>
    <row r="7">
      <c r="A7" s="59" t="inlineStr">
        <is>
          <t>Wishlist High</t>
        </is>
      </c>
      <c r="B7" s="60">
        <f>COUNTIF('Master Catalogue'!K2:K820,"High")</f>
        <v/>
      </c>
      <c r="D7" t="inlineStr">
        <is>
          <t>Aeldari</t>
        </is>
      </c>
      <c r="E7">
        <f>COUNTIF('Master Catalogue'!A:A,D7)</f>
        <v/>
      </c>
      <c r="F7">
        <f>COUNTIFS('Master Catalogue'!A:A,D7,'Master Catalogue'!H:H,"Yes")</f>
        <v/>
      </c>
    </row>
    <row r="8">
      <c r="A8" s="59" t="inlineStr">
        <is>
          <t>Points entered</t>
        </is>
      </c>
      <c r="B8" s="60">
        <f>COUNT('Master Catalogue'!L2:L820)</f>
        <v/>
      </c>
      <c r="D8" t="inlineStr">
        <is>
          <t>Astra Militarum</t>
        </is>
      </c>
      <c r="E8">
        <f>COUNTIF('Master Catalogue'!A:A,D8)</f>
        <v/>
      </c>
      <c r="F8">
        <f>COUNTIFS('Master Catalogue'!A:A,D8,'Master Catalogue'!H:H,"Yes")</f>
        <v/>
      </c>
    </row>
    <row r="9">
      <c r="D9" t="inlineStr">
        <is>
          <t>Black Templars</t>
        </is>
      </c>
      <c r="E9">
        <f>COUNTIF('Master Catalogue'!A:A,D9)</f>
        <v/>
      </c>
      <c r="F9">
        <f>COUNTIFS('Master Catalogue'!A:A,D9,'Master Catalogue'!H:H,"Yes")</f>
        <v/>
      </c>
    </row>
    <row r="10">
      <c r="D10" t="inlineStr">
        <is>
          <t>Blood Angels</t>
        </is>
      </c>
      <c r="E10">
        <f>COUNTIF('Master Catalogue'!A:A,D10)</f>
        <v/>
      </c>
      <c r="F10">
        <f>COUNTIFS('Master Catalogue'!A:A,D10,'Master Catalogue'!H:H,"Yes")</f>
        <v/>
      </c>
    </row>
    <row r="11">
      <c r="D11" t="inlineStr">
        <is>
          <t>Chaos Daemons</t>
        </is>
      </c>
      <c r="E11">
        <f>COUNTIF('Master Catalogue'!A:A,D11)</f>
        <v/>
      </c>
      <c r="F11">
        <f>COUNTIFS('Master Catalogue'!A:A,D11,'Master Catalogue'!H:H,"Yes")</f>
        <v/>
      </c>
    </row>
    <row r="12">
      <c r="D12" t="inlineStr">
        <is>
          <t>Chaos Knights</t>
        </is>
      </c>
      <c r="E12">
        <f>COUNTIF('Master Catalogue'!A:A,D12)</f>
        <v/>
      </c>
      <c r="F12">
        <f>COUNTIFS('Master Catalogue'!A:A,D12,'Master Catalogue'!H:H,"Yes")</f>
        <v/>
      </c>
    </row>
    <row r="13">
      <c r="D13" t="inlineStr">
        <is>
          <t>Chaos Space Marines</t>
        </is>
      </c>
      <c r="E13">
        <f>COUNTIF('Master Catalogue'!A:A,D13)</f>
        <v/>
      </c>
      <c r="F13">
        <f>COUNTIFS('Master Catalogue'!A:A,D13,'Master Catalogue'!H:H,"Yes")</f>
        <v/>
      </c>
    </row>
    <row r="14">
      <c r="D14" t="inlineStr">
        <is>
          <t>Dark Angels</t>
        </is>
      </c>
      <c r="E14">
        <f>COUNTIF('Master Catalogue'!A:A,D14)</f>
        <v/>
      </c>
      <c r="F14">
        <f>COUNTIFS('Master Catalogue'!A:A,D14,'Master Catalogue'!H:H,"Yes")</f>
        <v/>
      </c>
    </row>
    <row r="15">
      <c r="D15" t="inlineStr">
        <is>
          <t>Death Guard</t>
        </is>
      </c>
      <c r="E15">
        <f>COUNTIF('Master Catalogue'!A:A,D15)</f>
        <v/>
      </c>
      <c r="F15">
        <f>COUNTIFS('Master Catalogue'!A:A,D15,'Master Catalogue'!H:H,"Yes")</f>
        <v/>
      </c>
    </row>
    <row r="16">
      <c r="D16" t="inlineStr">
        <is>
          <t>Deathwatch</t>
        </is>
      </c>
      <c r="E16">
        <f>COUNTIF('Master Catalogue'!A:A,D16)</f>
        <v/>
      </c>
      <c r="F16">
        <f>COUNTIFS('Master Catalogue'!A:A,D16,'Master Catalogue'!H:H,"Yes")</f>
        <v/>
      </c>
    </row>
    <row r="17">
      <c r="D17" t="inlineStr">
        <is>
          <t>Drukhari</t>
        </is>
      </c>
      <c r="E17">
        <f>COUNTIF('Master Catalogue'!A:A,D17)</f>
        <v/>
      </c>
      <c r="F17">
        <f>COUNTIFS('Master Catalogue'!A:A,D17,'Master Catalogue'!H:H,"Yes")</f>
        <v/>
      </c>
    </row>
    <row r="18">
      <c r="D18" t="inlineStr">
        <is>
          <t>Emperor's Children</t>
        </is>
      </c>
      <c r="E18">
        <f>COUNTIF('Master Catalogue'!A:A,D18)</f>
        <v/>
      </c>
      <c r="F18">
        <f>COUNTIFS('Master Catalogue'!A:A,D18,'Master Catalogue'!H:H,"Yes")</f>
        <v/>
      </c>
    </row>
    <row r="19">
      <c r="D19" t="inlineStr">
        <is>
          <t>Genestealer Cults</t>
        </is>
      </c>
      <c r="E19">
        <f>COUNTIF('Master Catalogue'!A:A,D19)</f>
        <v/>
      </c>
      <c r="F19">
        <f>COUNTIFS('Master Catalogue'!A:A,D19,'Master Catalogue'!H:H,"Yes")</f>
        <v/>
      </c>
    </row>
    <row r="20">
      <c r="D20" t="inlineStr">
        <is>
          <t>Grey Knights</t>
        </is>
      </c>
      <c r="E20">
        <f>COUNTIF('Master Catalogue'!A:A,D20)</f>
        <v/>
      </c>
      <c r="F20">
        <f>COUNTIFS('Master Catalogue'!A:A,D20,'Master Catalogue'!H:H,"Yes")</f>
        <v/>
      </c>
    </row>
    <row r="21">
      <c r="D21" t="inlineStr">
        <is>
          <t>Harlequins</t>
        </is>
      </c>
      <c r="E21">
        <f>COUNTIF('Master Catalogue'!A:A,D21)</f>
        <v/>
      </c>
      <c r="F21">
        <f>COUNTIFS('Master Catalogue'!A:A,D21,'Master Catalogue'!H:H,"Yes")</f>
        <v/>
      </c>
    </row>
    <row r="22">
      <c r="D22" t="inlineStr">
        <is>
          <t>Imperial Agents</t>
        </is>
      </c>
      <c r="E22">
        <f>COUNTIF('Master Catalogue'!A:A,D22)</f>
        <v/>
      </c>
      <c r="F22">
        <f>COUNTIFS('Master Catalogue'!A:A,D22,'Master Catalogue'!H:H,"Yes")</f>
        <v/>
      </c>
    </row>
    <row r="23">
      <c r="D23" t="inlineStr">
        <is>
          <t>Imperial Knights</t>
        </is>
      </c>
      <c r="E23">
        <f>COUNTIF('Master Catalogue'!A:A,D23)</f>
        <v/>
      </c>
      <c r="F23">
        <f>COUNTIFS('Master Catalogue'!A:A,D23,'Master Catalogue'!H:H,"Yes")</f>
        <v/>
      </c>
    </row>
    <row r="24">
      <c r="D24" t="inlineStr">
        <is>
          <t>Leagues of Votann</t>
        </is>
      </c>
      <c r="E24">
        <f>COUNTIF('Master Catalogue'!A:A,D24)</f>
        <v/>
      </c>
      <c r="F24">
        <f>COUNTIFS('Master Catalogue'!A:A,D24,'Master Catalogue'!H:H,"Yes")</f>
        <v/>
      </c>
    </row>
    <row r="25">
      <c r="D25" t="inlineStr">
        <is>
          <t>Necrons</t>
        </is>
      </c>
      <c r="E25">
        <f>COUNTIF('Master Catalogue'!A:A,D25)</f>
        <v/>
      </c>
      <c r="F25">
        <f>COUNTIFS('Master Catalogue'!A:A,D25,'Master Catalogue'!H:H,"Yes")</f>
        <v/>
      </c>
    </row>
    <row r="26">
      <c r="D26" t="inlineStr">
        <is>
          <t>Orks</t>
        </is>
      </c>
      <c r="E26">
        <f>COUNTIF('Master Catalogue'!A:A,D26)</f>
        <v/>
      </c>
      <c r="F26">
        <f>COUNTIFS('Master Catalogue'!A:A,D26,'Master Catalogue'!H:H,"Yes")</f>
        <v/>
      </c>
    </row>
    <row r="27">
      <c r="D27" t="inlineStr">
        <is>
          <t>Space Marines</t>
        </is>
      </c>
      <c r="E27">
        <f>COUNTIF('Master Catalogue'!A:A,D27)</f>
        <v/>
      </c>
      <c r="F27">
        <f>COUNTIFS('Master Catalogue'!A:A,D27,'Master Catalogue'!H:H,"Yes")</f>
        <v/>
      </c>
    </row>
    <row r="28">
      <c r="D28" t="inlineStr">
        <is>
          <t>Space Wolves</t>
        </is>
      </c>
      <c r="E28">
        <f>COUNTIF('Master Catalogue'!A:A,D28)</f>
        <v/>
      </c>
      <c r="F28">
        <f>COUNTIFS('Master Catalogue'!A:A,D28,'Master Catalogue'!H:H,"Yes")</f>
        <v/>
      </c>
    </row>
    <row r="29">
      <c r="D29" t="inlineStr">
        <is>
          <t>T'au Empire</t>
        </is>
      </c>
      <c r="E29">
        <f>COUNTIF('Master Catalogue'!A:A,D29)</f>
        <v/>
      </c>
      <c r="F29">
        <f>COUNTIFS('Master Catalogue'!A:A,D29,'Master Catalogue'!H:H,"Yes")</f>
        <v/>
      </c>
    </row>
    <row r="30">
      <c r="D30" t="inlineStr">
        <is>
          <t>Thousand Sons</t>
        </is>
      </c>
      <c r="E30">
        <f>COUNTIF('Master Catalogue'!A:A,D30)</f>
        <v/>
      </c>
      <c r="F30">
        <f>COUNTIFS('Master Catalogue'!A:A,D30,'Master Catalogue'!H:H,"Yes")</f>
        <v/>
      </c>
    </row>
    <row r="31">
      <c r="D31" t="inlineStr">
        <is>
          <t>Tyranids</t>
        </is>
      </c>
      <c r="E31">
        <f>COUNTIF('Master Catalogue'!A:A,D31)</f>
        <v/>
      </c>
      <c r="F31">
        <f>COUNTIFS('Master Catalogue'!A:A,D31,'Master Catalogue'!H:H,"Yes")</f>
        <v/>
      </c>
    </row>
    <row r="32">
      <c r="D32" t="inlineStr">
        <is>
          <t>World Eaters</t>
        </is>
      </c>
      <c r="E32">
        <f>COUNTIF('Master Catalogue'!A:A,D32)</f>
        <v/>
      </c>
      <c r="F32">
        <f>COUNTIFS('Master Catalogue'!A:A,D32,'Master Catalogue'!H:H,"Yes")</f>
        <v/>
      </c>
    </row>
  </sheetData>
  <mergeCells count="1">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cols>
    <col width="18" customWidth="1" style="48" min="1" max="1"/>
    <col width="20" customWidth="1" style="48" min="2" max="2"/>
    <col width="34" customWidth="1" style="48" min="3" max="3"/>
    <col width="10" customWidth="1" style="48" min="4" max="4"/>
    <col width="12" customWidth="1" style="48" min="5" max="5"/>
    <col width="12" customWidth="1" style="48" min="6" max="6"/>
    <col width="20" customWidth="1" style="48" min="7" max="7"/>
    <col width="32" customWidth="1" style="48" min="8" max="8"/>
  </cols>
  <sheetData>
    <row r="1">
      <c r="A1" s="61" t="inlineStr">
        <is>
          <t>Roster Name</t>
        </is>
      </c>
      <c r="B1" s="61" t="inlineStr">
        <is>
          <t>Faction</t>
        </is>
      </c>
      <c r="C1" s="61" t="inlineStr">
        <is>
          <t>Unit Name</t>
        </is>
      </c>
      <c r="D1" s="61" t="inlineStr">
        <is>
          <t>Quantity</t>
        </is>
      </c>
      <c r="E1" s="75" t="inlineStr">
        <is>
          <t>Points Each</t>
        </is>
      </c>
      <c r="F1" s="75" t="inlineStr">
        <is>
          <t>Line Total</t>
        </is>
      </c>
      <c r="G1" s="61" t="inlineStr">
        <is>
          <t>Role</t>
        </is>
      </c>
      <c r="H1" s="61" t="inlineStr">
        <is>
          <t>Notes</t>
        </is>
      </c>
      <c r="J1" s="59" t="inlineStr">
        <is>
          <t>Army Total</t>
        </is>
      </c>
      <c r="K1" s="60">
        <f>SUM(F2:F201)</f>
        <v/>
      </c>
    </row>
    <row r="2">
      <c r="D2" t="n">
        <v>1</v>
      </c>
      <c r="E2">
        <f>IFERROR(XLOOKUP(C2,'Master Catalogue'!$E:$E,'Master Catalogue'!$L:$L),"")</f>
        <v/>
      </c>
      <c r="F2">
        <f>IF(E2="","",D2*E2)</f>
        <v/>
      </c>
      <c r="J2" s="59" t="inlineStr">
        <is>
          <t>Target</t>
        </is>
      </c>
      <c r="K2" s="60" t="inlineStr">
        <is>
          <t>2000</t>
        </is>
      </c>
    </row>
    <row r="3">
      <c r="D3" t="n">
        <v>1</v>
      </c>
      <c r="E3">
        <f>IFERROR(XLOOKUP(C3,'Master Catalogue'!$E:$E,'Master Catalogue'!$L:$L),"")</f>
        <v/>
      </c>
      <c r="F3">
        <f>IF(E3="","",D3*E3)</f>
        <v/>
      </c>
      <c r="J3" s="59" t="inlineStr">
        <is>
          <t>Remaining</t>
        </is>
      </c>
      <c r="K3" s="60">
        <f>K2-K1</f>
        <v/>
      </c>
    </row>
    <row r="4">
      <c r="D4" t="n">
        <v>1</v>
      </c>
      <c r="E4">
        <f>IFERROR(XLOOKUP(C4,'Master Catalogue'!$E:$E,'Master Catalogue'!$L:$L),"")</f>
        <v/>
      </c>
      <c r="F4">
        <f>IF(E4="","",D4*E4)</f>
        <v/>
      </c>
      <c r="J4" s="59" t="inlineStr">
        <is>
          <t>Rows used</t>
        </is>
      </c>
      <c r="K4">
        <f>COUNTA(C2:C201)</f>
        <v/>
      </c>
    </row>
    <row r="5">
      <c r="D5" t="n">
        <v>1</v>
      </c>
      <c r="E5">
        <f>IFERROR(XLOOKUP(C5,'Master Catalogue'!$E:$E,'Master Catalogue'!$L:$L),"")</f>
        <v/>
      </c>
      <c r="F5">
        <f>IF(E5="","",D5*E5)</f>
        <v/>
      </c>
    </row>
    <row r="6">
      <c r="D6" t="n">
        <v>1</v>
      </c>
      <c r="E6">
        <f>IFERROR(XLOOKUP(C6,'Master Catalogue'!$E:$E,'Master Catalogue'!$L:$L),"")</f>
        <v/>
      </c>
      <c r="F6">
        <f>IF(E6="","",D6*E6)</f>
        <v/>
      </c>
    </row>
    <row r="7">
      <c r="D7" t="n">
        <v>1</v>
      </c>
      <c r="E7">
        <f>IFERROR(XLOOKUP(C7,'Master Catalogue'!$E:$E,'Master Catalogue'!$L:$L),"")</f>
        <v/>
      </c>
      <c r="F7">
        <f>IF(E7="","",D7*E7)</f>
        <v/>
      </c>
    </row>
    <row r="8">
      <c r="D8" t="n">
        <v>1</v>
      </c>
      <c r="E8">
        <f>IFERROR(XLOOKUP(C8,'Master Catalogue'!$E:$E,'Master Catalogue'!$L:$L),"")</f>
        <v/>
      </c>
      <c r="F8">
        <f>IF(E8="","",D8*E8)</f>
        <v/>
      </c>
    </row>
    <row r="9">
      <c r="D9" t="n">
        <v>1</v>
      </c>
      <c r="E9">
        <f>IFERROR(XLOOKUP(C9,'Master Catalogue'!$E:$E,'Master Catalogue'!$L:$L),"")</f>
        <v/>
      </c>
      <c r="F9">
        <f>IF(E9="","",D9*E9)</f>
        <v/>
      </c>
    </row>
    <row r="10">
      <c r="D10" t="n">
        <v>1</v>
      </c>
      <c r="E10">
        <f>IFERROR(XLOOKUP(C10,'Master Catalogue'!$E:$E,'Master Catalogue'!$L:$L),"")</f>
        <v/>
      </c>
      <c r="F10">
        <f>IF(E10="","",D10*E10)</f>
        <v/>
      </c>
    </row>
    <row r="11">
      <c r="D11" t="n">
        <v>1</v>
      </c>
      <c r="E11">
        <f>IFERROR(XLOOKUP(C11,'Master Catalogue'!$E:$E,'Master Catalogue'!$L:$L),"")</f>
        <v/>
      </c>
      <c r="F11">
        <f>IF(E11="","",D11*E11)</f>
        <v/>
      </c>
    </row>
    <row r="12">
      <c r="D12" t="n">
        <v>1</v>
      </c>
      <c r="E12">
        <f>IFERROR(XLOOKUP(C12,'Master Catalogue'!$E:$E,'Master Catalogue'!$L:$L),"")</f>
        <v/>
      </c>
      <c r="F12">
        <f>IF(E12="","",D12*E12)</f>
        <v/>
      </c>
    </row>
    <row r="13">
      <c r="D13" t="n">
        <v>1</v>
      </c>
      <c r="E13">
        <f>IFERROR(XLOOKUP(C13,'Master Catalogue'!$E:$E,'Master Catalogue'!$L:$L),"")</f>
        <v/>
      </c>
      <c r="F13">
        <f>IF(E13="","",D13*E13)</f>
        <v/>
      </c>
    </row>
    <row r="14">
      <c r="D14" t="n">
        <v>1</v>
      </c>
      <c r="E14">
        <f>IFERROR(XLOOKUP(C14,'Master Catalogue'!$E:$E,'Master Catalogue'!$L:$L),"")</f>
        <v/>
      </c>
      <c r="F14">
        <f>IF(E14="","",D14*E14)</f>
        <v/>
      </c>
    </row>
    <row r="15">
      <c r="D15" t="n">
        <v>1</v>
      </c>
      <c r="E15">
        <f>IFERROR(XLOOKUP(C15,'Master Catalogue'!$E:$E,'Master Catalogue'!$L:$L),"")</f>
        <v/>
      </c>
      <c r="F15">
        <f>IF(E15="","",D15*E15)</f>
        <v/>
      </c>
    </row>
    <row r="16">
      <c r="D16" t="n">
        <v>1</v>
      </c>
      <c r="E16">
        <f>IFERROR(XLOOKUP(C16,'Master Catalogue'!$E:$E,'Master Catalogue'!$L:$L),"")</f>
        <v/>
      </c>
      <c r="F16">
        <f>IF(E16="","",D16*E16)</f>
        <v/>
      </c>
    </row>
    <row r="17">
      <c r="D17" t="n">
        <v>1</v>
      </c>
      <c r="E17">
        <f>IFERROR(XLOOKUP(C17,'Master Catalogue'!$E:$E,'Master Catalogue'!$L:$L),"")</f>
        <v/>
      </c>
      <c r="F17">
        <f>IF(E17="","",D17*E17)</f>
        <v/>
      </c>
    </row>
    <row r="18">
      <c r="D18" t="n">
        <v>1</v>
      </c>
      <c r="E18">
        <f>IFERROR(XLOOKUP(C18,'Master Catalogue'!$E:$E,'Master Catalogue'!$L:$L),"")</f>
        <v/>
      </c>
      <c r="F18">
        <f>IF(E18="","",D18*E18)</f>
        <v/>
      </c>
    </row>
    <row r="19">
      <c r="D19" t="n">
        <v>1</v>
      </c>
      <c r="E19">
        <f>IFERROR(XLOOKUP(C19,'Master Catalogue'!$E:$E,'Master Catalogue'!$L:$L),"")</f>
        <v/>
      </c>
      <c r="F19">
        <f>IF(E19="","",D19*E19)</f>
        <v/>
      </c>
    </row>
    <row r="20">
      <c r="D20" t="n">
        <v>1</v>
      </c>
      <c r="E20">
        <f>IFERROR(XLOOKUP(C20,'Master Catalogue'!$E:$E,'Master Catalogue'!$L:$L),"")</f>
        <v/>
      </c>
      <c r="F20">
        <f>IF(E20="","",D20*E20)</f>
        <v/>
      </c>
    </row>
    <row r="21">
      <c r="D21" t="n">
        <v>1</v>
      </c>
      <c r="E21">
        <f>IFERROR(XLOOKUP(C21,'Master Catalogue'!$E:$E,'Master Catalogue'!$L:$L),"")</f>
        <v/>
      </c>
      <c r="F21">
        <f>IF(E21="","",D21*E21)</f>
        <v/>
      </c>
    </row>
    <row r="22">
      <c r="D22" t="n">
        <v>1</v>
      </c>
      <c r="E22">
        <f>IFERROR(XLOOKUP(C22,'Master Catalogue'!$E:$E,'Master Catalogue'!$L:$L),"")</f>
        <v/>
      </c>
      <c r="F22">
        <f>IF(E22="","",D22*E22)</f>
        <v/>
      </c>
    </row>
    <row r="23">
      <c r="D23" t="n">
        <v>1</v>
      </c>
      <c r="E23">
        <f>IFERROR(XLOOKUP(C23,'Master Catalogue'!$E:$E,'Master Catalogue'!$L:$L),"")</f>
        <v/>
      </c>
      <c r="F23">
        <f>IF(E23="","",D23*E23)</f>
        <v/>
      </c>
    </row>
    <row r="24">
      <c r="D24" t="n">
        <v>1</v>
      </c>
      <c r="E24">
        <f>IFERROR(XLOOKUP(C24,'Master Catalogue'!$E:$E,'Master Catalogue'!$L:$L),"")</f>
        <v/>
      </c>
      <c r="F24">
        <f>IF(E24="","",D24*E24)</f>
        <v/>
      </c>
    </row>
    <row r="25">
      <c r="D25" t="n">
        <v>1</v>
      </c>
      <c r="E25">
        <f>IFERROR(XLOOKUP(C25,'Master Catalogue'!$E:$E,'Master Catalogue'!$L:$L),"")</f>
        <v/>
      </c>
      <c r="F25">
        <f>IF(E25="","",D25*E25)</f>
        <v/>
      </c>
    </row>
    <row r="26">
      <c r="D26" t="n">
        <v>1</v>
      </c>
      <c r="E26">
        <f>IFERROR(XLOOKUP(C26,'Master Catalogue'!$E:$E,'Master Catalogue'!$L:$L),"")</f>
        <v/>
      </c>
      <c r="F26">
        <f>IF(E26="","",D26*E26)</f>
        <v/>
      </c>
    </row>
    <row r="27">
      <c r="D27" t="n">
        <v>1</v>
      </c>
      <c r="E27">
        <f>IFERROR(XLOOKUP(C27,'Master Catalogue'!$E:$E,'Master Catalogue'!$L:$L),"")</f>
        <v/>
      </c>
      <c r="F27">
        <f>IF(E27="","",D27*E27)</f>
        <v/>
      </c>
    </row>
    <row r="28">
      <c r="D28" t="n">
        <v>1</v>
      </c>
      <c r="E28">
        <f>IFERROR(XLOOKUP(C28,'Master Catalogue'!$E:$E,'Master Catalogue'!$L:$L),"")</f>
        <v/>
      </c>
      <c r="F28">
        <f>IF(E28="","",D28*E28)</f>
        <v/>
      </c>
    </row>
    <row r="29">
      <c r="D29" t="n">
        <v>1</v>
      </c>
      <c r="E29">
        <f>IFERROR(XLOOKUP(C29,'Master Catalogue'!$E:$E,'Master Catalogue'!$L:$L),"")</f>
        <v/>
      </c>
      <c r="F29">
        <f>IF(E29="","",D29*E29)</f>
        <v/>
      </c>
    </row>
    <row r="30">
      <c r="D30" t="n">
        <v>1</v>
      </c>
      <c r="E30">
        <f>IFERROR(XLOOKUP(C30,'Master Catalogue'!$E:$E,'Master Catalogue'!$L:$L),"")</f>
        <v/>
      </c>
      <c r="F30">
        <f>IF(E30="","",D30*E30)</f>
        <v/>
      </c>
    </row>
    <row r="31">
      <c r="D31" t="n">
        <v>1</v>
      </c>
      <c r="E31">
        <f>IFERROR(XLOOKUP(C31,'Master Catalogue'!$E:$E,'Master Catalogue'!$L:$L),"")</f>
        <v/>
      </c>
      <c r="F31">
        <f>IF(E31="","",D31*E31)</f>
        <v/>
      </c>
    </row>
    <row r="32">
      <c r="D32" t="n">
        <v>1</v>
      </c>
      <c r="E32">
        <f>IFERROR(XLOOKUP(C32,'Master Catalogue'!$E:$E,'Master Catalogue'!$L:$L),"")</f>
        <v/>
      </c>
      <c r="F32">
        <f>IF(E32="","",D32*E32)</f>
        <v/>
      </c>
    </row>
    <row r="33">
      <c r="D33" t="n">
        <v>1</v>
      </c>
      <c r="E33">
        <f>IFERROR(XLOOKUP(C33,'Master Catalogue'!$E:$E,'Master Catalogue'!$L:$L),"")</f>
        <v/>
      </c>
      <c r="F33">
        <f>IF(E33="","",D33*E33)</f>
        <v/>
      </c>
    </row>
    <row r="34">
      <c r="D34" t="n">
        <v>1</v>
      </c>
      <c r="E34">
        <f>IFERROR(XLOOKUP(C34,'Master Catalogue'!$E:$E,'Master Catalogue'!$L:$L),"")</f>
        <v/>
      </c>
      <c r="F34">
        <f>IF(E34="","",D34*E34)</f>
        <v/>
      </c>
    </row>
    <row r="35">
      <c r="D35" t="n">
        <v>1</v>
      </c>
      <c r="E35">
        <f>IFERROR(XLOOKUP(C35,'Master Catalogue'!$E:$E,'Master Catalogue'!$L:$L),"")</f>
        <v/>
      </c>
      <c r="F35">
        <f>IF(E35="","",D35*E35)</f>
        <v/>
      </c>
    </row>
    <row r="36">
      <c r="D36" t="n">
        <v>1</v>
      </c>
      <c r="E36">
        <f>IFERROR(XLOOKUP(C36,'Master Catalogue'!$E:$E,'Master Catalogue'!$L:$L),"")</f>
        <v/>
      </c>
      <c r="F36">
        <f>IF(E36="","",D36*E36)</f>
        <v/>
      </c>
    </row>
    <row r="37">
      <c r="D37" t="n">
        <v>1</v>
      </c>
      <c r="E37">
        <f>IFERROR(XLOOKUP(C37,'Master Catalogue'!$E:$E,'Master Catalogue'!$L:$L),"")</f>
        <v/>
      </c>
      <c r="F37">
        <f>IF(E37="","",D37*E37)</f>
        <v/>
      </c>
    </row>
    <row r="38">
      <c r="D38" t="n">
        <v>1</v>
      </c>
      <c r="E38">
        <f>IFERROR(XLOOKUP(C38,'Master Catalogue'!$E:$E,'Master Catalogue'!$L:$L),"")</f>
        <v/>
      </c>
      <c r="F38">
        <f>IF(E38="","",D38*E38)</f>
        <v/>
      </c>
    </row>
    <row r="39">
      <c r="D39" t="n">
        <v>1</v>
      </c>
      <c r="E39">
        <f>IFERROR(XLOOKUP(C39,'Master Catalogue'!$E:$E,'Master Catalogue'!$L:$L),"")</f>
        <v/>
      </c>
      <c r="F39">
        <f>IF(E39="","",D39*E39)</f>
        <v/>
      </c>
    </row>
    <row r="40">
      <c r="D40" t="n">
        <v>1</v>
      </c>
      <c r="E40">
        <f>IFERROR(XLOOKUP(C40,'Master Catalogue'!$E:$E,'Master Catalogue'!$L:$L),"")</f>
        <v/>
      </c>
      <c r="F40">
        <f>IF(E40="","",D40*E40)</f>
        <v/>
      </c>
    </row>
    <row r="41">
      <c r="D41" t="n">
        <v>1</v>
      </c>
      <c r="E41">
        <f>IFERROR(XLOOKUP(C41,'Master Catalogue'!$E:$E,'Master Catalogue'!$L:$L),"")</f>
        <v/>
      </c>
      <c r="F41">
        <f>IF(E41="","",D41*E41)</f>
        <v/>
      </c>
    </row>
    <row r="42">
      <c r="D42" t="n">
        <v>1</v>
      </c>
      <c r="E42">
        <f>IFERROR(XLOOKUP(C42,'Master Catalogue'!$E:$E,'Master Catalogue'!$L:$L),"")</f>
        <v/>
      </c>
      <c r="F42">
        <f>IF(E42="","",D42*E42)</f>
        <v/>
      </c>
    </row>
    <row r="43">
      <c r="D43" t="n">
        <v>1</v>
      </c>
      <c r="E43">
        <f>IFERROR(XLOOKUP(C43,'Master Catalogue'!$E:$E,'Master Catalogue'!$L:$L),"")</f>
        <v/>
      </c>
      <c r="F43">
        <f>IF(E43="","",D43*E43)</f>
        <v/>
      </c>
    </row>
    <row r="44">
      <c r="D44" t="n">
        <v>1</v>
      </c>
      <c r="E44">
        <f>IFERROR(XLOOKUP(C44,'Master Catalogue'!$E:$E,'Master Catalogue'!$L:$L),"")</f>
        <v/>
      </c>
      <c r="F44">
        <f>IF(E44="","",D44*E44)</f>
        <v/>
      </c>
    </row>
    <row r="45">
      <c r="D45" t="n">
        <v>1</v>
      </c>
      <c r="E45">
        <f>IFERROR(XLOOKUP(C45,'Master Catalogue'!$E:$E,'Master Catalogue'!$L:$L),"")</f>
        <v/>
      </c>
      <c r="F45">
        <f>IF(E45="","",D45*E45)</f>
        <v/>
      </c>
    </row>
    <row r="46">
      <c r="D46" t="n">
        <v>1</v>
      </c>
      <c r="E46">
        <f>IFERROR(XLOOKUP(C46,'Master Catalogue'!$E:$E,'Master Catalogue'!$L:$L),"")</f>
        <v/>
      </c>
      <c r="F46">
        <f>IF(E46="","",D46*E46)</f>
        <v/>
      </c>
    </row>
    <row r="47">
      <c r="D47" t="n">
        <v>1</v>
      </c>
      <c r="E47">
        <f>IFERROR(XLOOKUP(C47,'Master Catalogue'!$E:$E,'Master Catalogue'!$L:$L),"")</f>
        <v/>
      </c>
      <c r="F47">
        <f>IF(E47="","",D47*E47)</f>
        <v/>
      </c>
    </row>
    <row r="48">
      <c r="D48" t="n">
        <v>1</v>
      </c>
      <c r="E48">
        <f>IFERROR(XLOOKUP(C48,'Master Catalogue'!$E:$E,'Master Catalogue'!$L:$L),"")</f>
        <v/>
      </c>
      <c r="F48">
        <f>IF(E48="","",D48*E48)</f>
        <v/>
      </c>
    </row>
    <row r="49">
      <c r="D49" t="n">
        <v>1</v>
      </c>
      <c r="E49">
        <f>IFERROR(XLOOKUP(C49,'Master Catalogue'!$E:$E,'Master Catalogue'!$L:$L),"")</f>
        <v/>
      </c>
      <c r="F49">
        <f>IF(E49="","",D49*E49)</f>
        <v/>
      </c>
    </row>
    <row r="50">
      <c r="D50" t="n">
        <v>1</v>
      </c>
      <c r="E50">
        <f>IFERROR(XLOOKUP(C50,'Master Catalogue'!$E:$E,'Master Catalogue'!$L:$L),"")</f>
        <v/>
      </c>
      <c r="F50">
        <f>IF(E50="","",D50*E50)</f>
        <v/>
      </c>
    </row>
    <row r="51">
      <c r="D51" t="n">
        <v>1</v>
      </c>
      <c r="E51">
        <f>IFERROR(XLOOKUP(C51,'Master Catalogue'!$E:$E,'Master Catalogue'!$L:$L),"")</f>
        <v/>
      </c>
      <c r="F51">
        <f>IF(E51="","",D51*E51)</f>
        <v/>
      </c>
    </row>
    <row r="52">
      <c r="D52" t="n">
        <v>1</v>
      </c>
      <c r="E52">
        <f>IFERROR(XLOOKUP(C52,'Master Catalogue'!$E:$E,'Master Catalogue'!$L:$L),"")</f>
        <v/>
      </c>
      <c r="F52">
        <f>IF(E52="","",D52*E52)</f>
        <v/>
      </c>
    </row>
    <row r="53">
      <c r="D53" t="n">
        <v>1</v>
      </c>
      <c r="E53">
        <f>IFERROR(XLOOKUP(C53,'Master Catalogue'!$E:$E,'Master Catalogue'!$L:$L),"")</f>
        <v/>
      </c>
      <c r="F53">
        <f>IF(E53="","",D53*E53)</f>
        <v/>
      </c>
    </row>
    <row r="54">
      <c r="D54" t="n">
        <v>1</v>
      </c>
      <c r="E54">
        <f>IFERROR(XLOOKUP(C54,'Master Catalogue'!$E:$E,'Master Catalogue'!$L:$L),"")</f>
        <v/>
      </c>
      <c r="F54">
        <f>IF(E54="","",D54*E54)</f>
        <v/>
      </c>
    </row>
    <row r="55">
      <c r="D55" t="n">
        <v>1</v>
      </c>
      <c r="E55">
        <f>IFERROR(XLOOKUP(C55,'Master Catalogue'!$E:$E,'Master Catalogue'!$L:$L),"")</f>
        <v/>
      </c>
      <c r="F55">
        <f>IF(E55="","",D55*E55)</f>
        <v/>
      </c>
    </row>
    <row r="56">
      <c r="D56" t="n">
        <v>1</v>
      </c>
      <c r="E56">
        <f>IFERROR(XLOOKUP(C56,'Master Catalogue'!$E:$E,'Master Catalogue'!$L:$L),"")</f>
        <v/>
      </c>
      <c r="F56">
        <f>IF(E56="","",D56*E56)</f>
        <v/>
      </c>
    </row>
    <row r="57">
      <c r="D57" t="n">
        <v>1</v>
      </c>
      <c r="E57">
        <f>IFERROR(XLOOKUP(C57,'Master Catalogue'!$E:$E,'Master Catalogue'!$L:$L),"")</f>
        <v/>
      </c>
      <c r="F57">
        <f>IF(E57="","",D57*E57)</f>
        <v/>
      </c>
    </row>
    <row r="58">
      <c r="D58" t="n">
        <v>1</v>
      </c>
      <c r="E58">
        <f>IFERROR(XLOOKUP(C58,'Master Catalogue'!$E:$E,'Master Catalogue'!$L:$L),"")</f>
        <v/>
      </c>
      <c r="F58">
        <f>IF(E58="","",D58*E58)</f>
        <v/>
      </c>
    </row>
    <row r="59">
      <c r="D59" t="n">
        <v>1</v>
      </c>
      <c r="E59">
        <f>IFERROR(XLOOKUP(C59,'Master Catalogue'!$E:$E,'Master Catalogue'!$L:$L),"")</f>
        <v/>
      </c>
      <c r="F59">
        <f>IF(E59="","",D59*E59)</f>
        <v/>
      </c>
    </row>
    <row r="60">
      <c r="D60" t="n">
        <v>1</v>
      </c>
      <c r="E60">
        <f>IFERROR(XLOOKUP(C60,'Master Catalogue'!$E:$E,'Master Catalogue'!$L:$L),"")</f>
        <v/>
      </c>
      <c r="F60">
        <f>IF(E60="","",D60*E60)</f>
        <v/>
      </c>
    </row>
    <row r="61">
      <c r="D61" t="n">
        <v>1</v>
      </c>
      <c r="E61">
        <f>IFERROR(XLOOKUP(C61,'Master Catalogue'!$E:$E,'Master Catalogue'!$L:$L),"")</f>
        <v/>
      </c>
      <c r="F61">
        <f>IF(E61="","",D61*E61)</f>
        <v/>
      </c>
    </row>
    <row r="62">
      <c r="D62" t="n">
        <v>1</v>
      </c>
      <c r="E62">
        <f>IFERROR(XLOOKUP(C62,'Master Catalogue'!$E:$E,'Master Catalogue'!$L:$L),"")</f>
        <v/>
      </c>
      <c r="F62">
        <f>IF(E62="","",D62*E62)</f>
        <v/>
      </c>
    </row>
    <row r="63">
      <c r="D63" t="n">
        <v>1</v>
      </c>
      <c r="E63">
        <f>IFERROR(XLOOKUP(C63,'Master Catalogue'!$E:$E,'Master Catalogue'!$L:$L),"")</f>
        <v/>
      </c>
      <c r="F63">
        <f>IF(E63="","",D63*E63)</f>
        <v/>
      </c>
    </row>
    <row r="64">
      <c r="D64" t="n">
        <v>1</v>
      </c>
      <c r="E64">
        <f>IFERROR(XLOOKUP(C64,'Master Catalogue'!$E:$E,'Master Catalogue'!$L:$L),"")</f>
        <v/>
      </c>
      <c r="F64">
        <f>IF(E64="","",D64*E64)</f>
        <v/>
      </c>
    </row>
    <row r="65">
      <c r="D65" t="n">
        <v>1</v>
      </c>
      <c r="E65">
        <f>IFERROR(XLOOKUP(C65,'Master Catalogue'!$E:$E,'Master Catalogue'!$L:$L),"")</f>
        <v/>
      </c>
      <c r="F65">
        <f>IF(E65="","",D65*E65)</f>
        <v/>
      </c>
    </row>
    <row r="66">
      <c r="D66" t="n">
        <v>1</v>
      </c>
      <c r="E66">
        <f>IFERROR(XLOOKUP(C66,'Master Catalogue'!$E:$E,'Master Catalogue'!$L:$L),"")</f>
        <v/>
      </c>
      <c r="F66">
        <f>IF(E66="","",D66*E66)</f>
        <v/>
      </c>
    </row>
    <row r="67">
      <c r="D67" t="n">
        <v>1</v>
      </c>
      <c r="E67">
        <f>IFERROR(XLOOKUP(C67,'Master Catalogue'!$E:$E,'Master Catalogue'!$L:$L),"")</f>
        <v/>
      </c>
      <c r="F67">
        <f>IF(E67="","",D67*E67)</f>
        <v/>
      </c>
    </row>
    <row r="68">
      <c r="D68" t="n">
        <v>1</v>
      </c>
      <c r="E68">
        <f>IFERROR(XLOOKUP(C68,'Master Catalogue'!$E:$E,'Master Catalogue'!$L:$L),"")</f>
        <v/>
      </c>
      <c r="F68">
        <f>IF(E68="","",D68*E68)</f>
        <v/>
      </c>
    </row>
    <row r="69">
      <c r="D69" t="n">
        <v>1</v>
      </c>
      <c r="E69">
        <f>IFERROR(XLOOKUP(C69,'Master Catalogue'!$E:$E,'Master Catalogue'!$L:$L),"")</f>
        <v/>
      </c>
      <c r="F69">
        <f>IF(E69="","",D69*E69)</f>
        <v/>
      </c>
    </row>
    <row r="70">
      <c r="D70" t="n">
        <v>1</v>
      </c>
      <c r="E70">
        <f>IFERROR(XLOOKUP(C70,'Master Catalogue'!$E:$E,'Master Catalogue'!$L:$L),"")</f>
        <v/>
      </c>
      <c r="F70">
        <f>IF(E70="","",D70*E70)</f>
        <v/>
      </c>
    </row>
    <row r="71">
      <c r="D71" t="n">
        <v>1</v>
      </c>
      <c r="E71">
        <f>IFERROR(XLOOKUP(C71,'Master Catalogue'!$E:$E,'Master Catalogue'!$L:$L),"")</f>
        <v/>
      </c>
      <c r="F71">
        <f>IF(E71="","",D71*E71)</f>
        <v/>
      </c>
    </row>
    <row r="72">
      <c r="D72" t="n">
        <v>1</v>
      </c>
      <c r="E72">
        <f>IFERROR(XLOOKUP(C72,'Master Catalogue'!$E:$E,'Master Catalogue'!$L:$L),"")</f>
        <v/>
      </c>
      <c r="F72">
        <f>IF(E72="","",D72*E72)</f>
        <v/>
      </c>
    </row>
    <row r="73">
      <c r="D73" t="n">
        <v>1</v>
      </c>
      <c r="E73">
        <f>IFERROR(XLOOKUP(C73,'Master Catalogue'!$E:$E,'Master Catalogue'!$L:$L),"")</f>
        <v/>
      </c>
      <c r="F73">
        <f>IF(E73="","",D73*E73)</f>
        <v/>
      </c>
    </row>
    <row r="74">
      <c r="D74" t="n">
        <v>1</v>
      </c>
      <c r="E74">
        <f>IFERROR(XLOOKUP(C74,'Master Catalogue'!$E:$E,'Master Catalogue'!$L:$L),"")</f>
        <v/>
      </c>
      <c r="F74">
        <f>IF(E74="","",D74*E74)</f>
        <v/>
      </c>
    </row>
    <row r="75">
      <c r="D75" t="n">
        <v>1</v>
      </c>
      <c r="E75">
        <f>IFERROR(XLOOKUP(C75,'Master Catalogue'!$E:$E,'Master Catalogue'!$L:$L),"")</f>
        <v/>
      </c>
      <c r="F75">
        <f>IF(E75="","",D75*E75)</f>
        <v/>
      </c>
    </row>
    <row r="76">
      <c r="D76" t="n">
        <v>1</v>
      </c>
      <c r="E76">
        <f>IFERROR(XLOOKUP(C76,'Master Catalogue'!$E:$E,'Master Catalogue'!$L:$L),"")</f>
        <v/>
      </c>
      <c r="F76">
        <f>IF(E76="","",D76*E76)</f>
        <v/>
      </c>
    </row>
    <row r="77">
      <c r="D77" t="n">
        <v>1</v>
      </c>
      <c r="E77">
        <f>IFERROR(XLOOKUP(C77,'Master Catalogue'!$E:$E,'Master Catalogue'!$L:$L),"")</f>
        <v/>
      </c>
      <c r="F77">
        <f>IF(E77="","",D77*E77)</f>
        <v/>
      </c>
    </row>
    <row r="78">
      <c r="D78" t="n">
        <v>1</v>
      </c>
      <c r="E78">
        <f>IFERROR(XLOOKUP(C78,'Master Catalogue'!$E:$E,'Master Catalogue'!$L:$L),"")</f>
        <v/>
      </c>
      <c r="F78">
        <f>IF(E78="","",D78*E78)</f>
        <v/>
      </c>
    </row>
    <row r="79">
      <c r="D79" t="n">
        <v>1</v>
      </c>
      <c r="E79">
        <f>IFERROR(XLOOKUP(C79,'Master Catalogue'!$E:$E,'Master Catalogue'!$L:$L),"")</f>
        <v/>
      </c>
      <c r="F79">
        <f>IF(E79="","",D79*E79)</f>
        <v/>
      </c>
    </row>
    <row r="80">
      <c r="D80" t="n">
        <v>1</v>
      </c>
      <c r="E80">
        <f>IFERROR(XLOOKUP(C80,'Master Catalogue'!$E:$E,'Master Catalogue'!$L:$L),"")</f>
        <v/>
      </c>
      <c r="F80">
        <f>IF(E80="","",D80*E80)</f>
        <v/>
      </c>
    </row>
    <row r="81">
      <c r="D81" t="n">
        <v>1</v>
      </c>
      <c r="E81">
        <f>IFERROR(XLOOKUP(C81,'Master Catalogue'!$E:$E,'Master Catalogue'!$L:$L),"")</f>
        <v/>
      </c>
      <c r="F81">
        <f>IF(E81="","",D81*E81)</f>
        <v/>
      </c>
    </row>
    <row r="82">
      <c r="D82" t="n">
        <v>1</v>
      </c>
      <c r="E82">
        <f>IFERROR(XLOOKUP(C82,'Master Catalogue'!$E:$E,'Master Catalogue'!$L:$L),"")</f>
        <v/>
      </c>
      <c r="F82">
        <f>IF(E82="","",D82*E82)</f>
        <v/>
      </c>
    </row>
    <row r="83">
      <c r="D83" t="n">
        <v>1</v>
      </c>
      <c r="E83">
        <f>IFERROR(XLOOKUP(C83,'Master Catalogue'!$E:$E,'Master Catalogue'!$L:$L),"")</f>
        <v/>
      </c>
      <c r="F83">
        <f>IF(E83="","",D83*E83)</f>
        <v/>
      </c>
    </row>
    <row r="84">
      <c r="D84" t="n">
        <v>1</v>
      </c>
      <c r="E84">
        <f>IFERROR(XLOOKUP(C84,'Master Catalogue'!$E:$E,'Master Catalogue'!$L:$L),"")</f>
        <v/>
      </c>
      <c r="F84">
        <f>IF(E84="","",D84*E84)</f>
        <v/>
      </c>
    </row>
    <row r="85">
      <c r="D85" t="n">
        <v>1</v>
      </c>
      <c r="E85">
        <f>IFERROR(XLOOKUP(C85,'Master Catalogue'!$E:$E,'Master Catalogue'!$L:$L),"")</f>
        <v/>
      </c>
      <c r="F85">
        <f>IF(E85="","",D85*E85)</f>
        <v/>
      </c>
    </row>
    <row r="86">
      <c r="D86" t="n">
        <v>1</v>
      </c>
      <c r="E86">
        <f>IFERROR(XLOOKUP(C86,'Master Catalogue'!$E:$E,'Master Catalogue'!$L:$L),"")</f>
        <v/>
      </c>
      <c r="F86">
        <f>IF(E86="","",D86*E86)</f>
        <v/>
      </c>
    </row>
    <row r="87">
      <c r="D87" t="n">
        <v>1</v>
      </c>
      <c r="E87">
        <f>IFERROR(XLOOKUP(C87,'Master Catalogue'!$E:$E,'Master Catalogue'!$L:$L),"")</f>
        <v/>
      </c>
      <c r="F87">
        <f>IF(E87="","",D87*E87)</f>
        <v/>
      </c>
    </row>
    <row r="88">
      <c r="D88" t="n">
        <v>1</v>
      </c>
      <c r="E88">
        <f>IFERROR(XLOOKUP(C88,'Master Catalogue'!$E:$E,'Master Catalogue'!$L:$L),"")</f>
        <v/>
      </c>
      <c r="F88">
        <f>IF(E88="","",D88*E88)</f>
        <v/>
      </c>
    </row>
    <row r="89">
      <c r="D89" t="n">
        <v>1</v>
      </c>
      <c r="E89">
        <f>IFERROR(XLOOKUP(C89,'Master Catalogue'!$E:$E,'Master Catalogue'!$L:$L),"")</f>
        <v/>
      </c>
      <c r="F89">
        <f>IF(E89="","",D89*E89)</f>
        <v/>
      </c>
    </row>
    <row r="90">
      <c r="D90" t="n">
        <v>1</v>
      </c>
      <c r="E90">
        <f>IFERROR(XLOOKUP(C90,'Master Catalogue'!$E:$E,'Master Catalogue'!$L:$L),"")</f>
        <v/>
      </c>
      <c r="F90">
        <f>IF(E90="","",D90*E90)</f>
        <v/>
      </c>
    </row>
    <row r="91">
      <c r="D91" t="n">
        <v>1</v>
      </c>
      <c r="E91">
        <f>IFERROR(XLOOKUP(C91,'Master Catalogue'!$E:$E,'Master Catalogue'!$L:$L),"")</f>
        <v/>
      </c>
      <c r="F91">
        <f>IF(E91="","",D91*E91)</f>
        <v/>
      </c>
    </row>
    <row r="92">
      <c r="D92" t="n">
        <v>1</v>
      </c>
      <c r="E92">
        <f>IFERROR(XLOOKUP(C92,'Master Catalogue'!$E:$E,'Master Catalogue'!$L:$L),"")</f>
        <v/>
      </c>
      <c r="F92">
        <f>IF(E92="","",D92*E92)</f>
        <v/>
      </c>
    </row>
    <row r="93">
      <c r="D93" t="n">
        <v>1</v>
      </c>
      <c r="E93">
        <f>IFERROR(XLOOKUP(C93,'Master Catalogue'!$E:$E,'Master Catalogue'!$L:$L),"")</f>
        <v/>
      </c>
      <c r="F93">
        <f>IF(E93="","",D93*E93)</f>
        <v/>
      </c>
    </row>
    <row r="94">
      <c r="D94" t="n">
        <v>1</v>
      </c>
      <c r="E94">
        <f>IFERROR(XLOOKUP(C94,'Master Catalogue'!$E:$E,'Master Catalogue'!$L:$L),"")</f>
        <v/>
      </c>
      <c r="F94">
        <f>IF(E94="","",D94*E94)</f>
        <v/>
      </c>
    </row>
    <row r="95">
      <c r="D95" t="n">
        <v>1</v>
      </c>
      <c r="E95">
        <f>IFERROR(XLOOKUP(C95,'Master Catalogue'!$E:$E,'Master Catalogue'!$L:$L),"")</f>
        <v/>
      </c>
      <c r="F95">
        <f>IF(E95="","",D95*E95)</f>
        <v/>
      </c>
    </row>
    <row r="96">
      <c r="D96" t="n">
        <v>1</v>
      </c>
      <c r="E96">
        <f>IFERROR(XLOOKUP(C96,'Master Catalogue'!$E:$E,'Master Catalogue'!$L:$L),"")</f>
        <v/>
      </c>
      <c r="F96">
        <f>IF(E96="","",D96*E96)</f>
        <v/>
      </c>
    </row>
    <row r="97">
      <c r="D97" t="n">
        <v>1</v>
      </c>
      <c r="E97">
        <f>IFERROR(XLOOKUP(C97,'Master Catalogue'!$E:$E,'Master Catalogue'!$L:$L),"")</f>
        <v/>
      </c>
      <c r="F97">
        <f>IF(E97="","",D97*E97)</f>
        <v/>
      </c>
    </row>
    <row r="98">
      <c r="D98" t="n">
        <v>1</v>
      </c>
      <c r="E98">
        <f>IFERROR(XLOOKUP(C98,'Master Catalogue'!$E:$E,'Master Catalogue'!$L:$L),"")</f>
        <v/>
      </c>
      <c r="F98">
        <f>IF(E98="","",D98*E98)</f>
        <v/>
      </c>
    </row>
    <row r="99">
      <c r="D99" t="n">
        <v>1</v>
      </c>
      <c r="E99">
        <f>IFERROR(XLOOKUP(C99,'Master Catalogue'!$E:$E,'Master Catalogue'!$L:$L),"")</f>
        <v/>
      </c>
      <c r="F99">
        <f>IF(E99="","",D99*E99)</f>
        <v/>
      </c>
    </row>
    <row r="100">
      <c r="D100" t="n">
        <v>1</v>
      </c>
      <c r="E100">
        <f>IFERROR(XLOOKUP(C100,'Master Catalogue'!$E:$E,'Master Catalogue'!$L:$L),"")</f>
        <v/>
      </c>
      <c r="F100">
        <f>IF(E100="","",D100*E100)</f>
        <v/>
      </c>
    </row>
    <row r="101">
      <c r="D101" t="n">
        <v>1</v>
      </c>
      <c r="E101">
        <f>IFERROR(XLOOKUP(C101,'Master Catalogue'!$E:$E,'Master Catalogue'!$L:$L),"")</f>
        <v/>
      </c>
      <c r="F101">
        <f>IF(E101="","",D101*E101)</f>
        <v/>
      </c>
    </row>
    <row r="102">
      <c r="D102" t="n">
        <v>1</v>
      </c>
      <c r="E102">
        <f>IFERROR(XLOOKUP(C102,'Master Catalogue'!$E:$E,'Master Catalogue'!$L:$L),"")</f>
        <v/>
      </c>
      <c r="F102">
        <f>IF(E102="","",D102*E102)</f>
        <v/>
      </c>
    </row>
    <row r="103">
      <c r="D103" t="n">
        <v>1</v>
      </c>
      <c r="E103">
        <f>IFERROR(XLOOKUP(C103,'Master Catalogue'!$E:$E,'Master Catalogue'!$L:$L),"")</f>
        <v/>
      </c>
      <c r="F103">
        <f>IF(E103="","",D103*E103)</f>
        <v/>
      </c>
    </row>
    <row r="104">
      <c r="D104" t="n">
        <v>1</v>
      </c>
      <c r="E104">
        <f>IFERROR(XLOOKUP(C104,'Master Catalogue'!$E:$E,'Master Catalogue'!$L:$L),"")</f>
        <v/>
      </c>
      <c r="F104">
        <f>IF(E104="","",D104*E104)</f>
        <v/>
      </c>
    </row>
    <row r="105">
      <c r="D105" t="n">
        <v>1</v>
      </c>
      <c r="E105">
        <f>IFERROR(XLOOKUP(C105,'Master Catalogue'!$E:$E,'Master Catalogue'!$L:$L),"")</f>
        <v/>
      </c>
      <c r="F105">
        <f>IF(E105="","",D105*E105)</f>
        <v/>
      </c>
    </row>
    <row r="106">
      <c r="D106" t="n">
        <v>1</v>
      </c>
      <c r="E106">
        <f>IFERROR(XLOOKUP(C106,'Master Catalogue'!$E:$E,'Master Catalogue'!$L:$L),"")</f>
        <v/>
      </c>
      <c r="F106">
        <f>IF(E106="","",D106*E106)</f>
        <v/>
      </c>
    </row>
    <row r="107">
      <c r="D107" t="n">
        <v>1</v>
      </c>
      <c r="E107">
        <f>IFERROR(XLOOKUP(C107,'Master Catalogue'!$E:$E,'Master Catalogue'!$L:$L),"")</f>
        <v/>
      </c>
      <c r="F107">
        <f>IF(E107="","",D107*E107)</f>
        <v/>
      </c>
    </row>
    <row r="108">
      <c r="D108" t="n">
        <v>1</v>
      </c>
      <c r="E108">
        <f>IFERROR(XLOOKUP(C108,'Master Catalogue'!$E:$E,'Master Catalogue'!$L:$L),"")</f>
        <v/>
      </c>
      <c r="F108">
        <f>IF(E108="","",D108*E108)</f>
        <v/>
      </c>
    </row>
    <row r="109">
      <c r="D109" t="n">
        <v>1</v>
      </c>
      <c r="E109">
        <f>IFERROR(XLOOKUP(C109,'Master Catalogue'!$E:$E,'Master Catalogue'!$L:$L),"")</f>
        <v/>
      </c>
      <c r="F109">
        <f>IF(E109="","",D109*E109)</f>
        <v/>
      </c>
    </row>
    <row r="110">
      <c r="D110" t="n">
        <v>1</v>
      </c>
      <c r="E110">
        <f>IFERROR(XLOOKUP(C110,'Master Catalogue'!$E:$E,'Master Catalogue'!$L:$L),"")</f>
        <v/>
      </c>
      <c r="F110">
        <f>IF(E110="","",D110*E110)</f>
        <v/>
      </c>
    </row>
    <row r="111">
      <c r="D111" t="n">
        <v>1</v>
      </c>
      <c r="E111">
        <f>IFERROR(XLOOKUP(C111,'Master Catalogue'!$E:$E,'Master Catalogue'!$L:$L),"")</f>
        <v/>
      </c>
      <c r="F111">
        <f>IF(E111="","",D111*E111)</f>
        <v/>
      </c>
    </row>
    <row r="112">
      <c r="D112" t="n">
        <v>1</v>
      </c>
      <c r="E112">
        <f>IFERROR(XLOOKUP(C112,'Master Catalogue'!$E:$E,'Master Catalogue'!$L:$L),"")</f>
        <v/>
      </c>
      <c r="F112">
        <f>IF(E112="","",D112*E112)</f>
        <v/>
      </c>
    </row>
    <row r="113">
      <c r="D113" t="n">
        <v>1</v>
      </c>
      <c r="E113">
        <f>IFERROR(XLOOKUP(C113,'Master Catalogue'!$E:$E,'Master Catalogue'!$L:$L),"")</f>
        <v/>
      </c>
      <c r="F113">
        <f>IF(E113="","",D113*E113)</f>
        <v/>
      </c>
    </row>
    <row r="114">
      <c r="D114" t="n">
        <v>1</v>
      </c>
      <c r="E114">
        <f>IFERROR(XLOOKUP(C114,'Master Catalogue'!$E:$E,'Master Catalogue'!$L:$L),"")</f>
        <v/>
      </c>
      <c r="F114">
        <f>IF(E114="","",D114*E114)</f>
        <v/>
      </c>
    </row>
    <row r="115">
      <c r="D115" t="n">
        <v>1</v>
      </c>
      <c r="E115">
        <f>IFERROR(XLOOKUP(C115,'Master Catalogue'!$E:$E,'Master Catalogue'!$L:$L),"")</f>
        <v/>
      </c>
      <c r="F115">
        <f>IF(E115="","",D115*E115)</f>
        <v/>
      </c>
    </row>
    <row r="116">
      <c r="D116" t="n">
        <v>1</v>
      </c>
      <c r="E116">
        <f>IFERROR(XLOOKUP(C116,'Master Catalogue'!$E:$E,'Master Catalogue'!$L:$L),"")</f>
        <v/>
      </c>
      <c r="F116">
        <f>IF(E116="","",D116*E116)</f>
        <v/>
      </c>
    </row>
    <row r="117">
      <c r="D117" t="n">
        <v>1</v>
      </c>
      <c r="E117">
        <f>IFERROR(XLOOKUP(C117,'Master Catalogue'!$E:$E,'Master Catalogue'!$L:$L),"")</f>
        <v/>
      </c>
      <c r="F117">
        <f>IF(E117="","",D117*E117)</f>
        <v/>
      </c>
    </row>
    <row r="118">
      <c r="D118" t="n">
        <v>1</v>
      </c>
      <c r="E118">
        <f>IFERROR(XLOOKUP(C118,'Master Catalogue'!$E:$E,'Master Catalogue'!$L:$L),"")</f>
        <v/>
      </c>
      <c r="F118">
        <f>IF(E118="","",D118*E118)</f>
        <v/>
      </c>
    </row>
    <row r="119">
      <c r="D119" t="n">
        <v>1</v>
      </c>
      <c r="E119">
        <f>IFERROR(XLOOKUP(C119,'Master Catalogue'!$E:$E,'Master Catalogue'!$L:$L),"")</f>
        <v/>
      </c>
      <c r="F119">
        <f>IF(E119="","",D119*E119)</f>
        <v/>
      </c>
    </row>
    <row r="120">
      <c r="D120" t="n">
        <v>1</v>
      </c>
      <c r="E120">
        <f>IFERROR(XLOOKUP(C120,'Master Catalogue'!$E:$E,'Master Catalogue'!$L:$L),"")</f>
        <v/>
      </c>
      <c r="F120">
        <f>IF(E120="","",D120*E120)</f>
        <v/>
      </c>
    </row>
    <row r="121">
      <c r="D121" t="n">
        <v>1</v>
      </c>
      <c r="E121">
        <f>IFERROR(XLOOKUP(C121,'Master Catalogue'!$E:$E,'Master Catalogue'!$L:$L),"")</f>
        <v/>
      </c>
      <c r="F121">
        <f>IF(E121="","",D121*E121)</f>
        <v/>
      </c>
    </row>
    <row r="122">
      <c r="D122" t="n">
        <v>1</v>
      </c>
      <c r="E122">
        <f>IFERROR(XLOOKUP(C122,'Master Catalogue'!$E:$E,'Master Catalogue'!$L:$L),"")</f>
        <v/>
      </c>
      <c r="F122">
        <f>IF(E122="","",D122*E122)</f>
        <v/>
      </c>
    </row>
    <row r="123">
      <c r="D123" t="n">
        <v>1</v>
      </c>
      <c r="E123">
        <f>IFERROR(XLOOKUP(C123,'Master Catalogue'!$E:$E,'Master Catalogue'!$L:$L),"")</f>
        <v/>
      </c>
      <c r="F123">
        <f>IF(E123="","",D123*E123)</f>
        <v/>
      </c>
    </row>
    <row r="124">
      <c r="D124" t="n">
        <v>1</v>
      </c>
      <c r="E124">
        <f>IFERROR(XLOOKUP(C124,'Master Catalogue'!$E:$E,'Master Catalogue'!$L:$L),"")</f>
        <v/>
      </c>
      <c r="F124">
        <f>IF(E124="","",D124*E124)</f>
        <v/>
      </c>
    </row>
    <row r="125">
      <c r="D125" t="n">
        <v>1</v>
      </c>
      <c r="E125">
        <f>IFERROR(XLOOKUP(C125,'Master Catalogue'!$E:$E,'Master Catalogue'!$L:$L),"")</f>
        <v/>
      </c>
      <c r="F125">
        <f>IF(E125="","",D125*E125)</f>
        <v/>
      </c>
    </row>
    <row r="126">
      <c r="D126" t="n">
        <v>1</v>
      </c>
      <c r="E126">
        <f>IFERROR(XLOOKUP(C126,'Master Catalogue'!$E:$E,'Master Catalogue'!$L:$L),"")</f>
        <v/>
      </c>
      <c r="F126">
        <f>IF(E126="","",D126*E126)</f>
        <v/>
      </c>
    </row>
    <row r="127">
      <c r="D127" t="n">
        <v>1</v>
      </c>
      <c r="E127">
        <f>IFERROR(XLOOKUP(C127,'Master Catalogue'!$E:$E,'Master Catalogue'!$L:$L),"")</f>
        <v/>
      </c>
      <c r="F127">
        <f>IF(E127="","",D127*E127)</f>
        <v/>
      </c>
    </row>
    <row r="128">
      <c r="D128" t="n">
        <v>1</v>
      </c>
      <c r="E128">
        <f>IFERROR(XLOOKUP(C128,'Master Catalogue'!$E:$E,'Master Catalogue'!$L:$L),"")</f>
        <v/>
      </c>
      <c r="F128">
        <f>IF(E128="","",D128*E128)</f>
        <v/>
      </c>
    </row>
    <row r="129">
      <c r="D129" t="n">
        <v>1</v>
      </c>
      <c r="E129">
        <f>IFERROR(XLOOKUP(C129,'Master Catalogue'!$E:$E,'Master Catalogue'!$L:$L),"")</f>
        <v/>
      </c>
      <c r="F129">
        <f>IF(E129="","",D129*E129)</f>
        <v/>
      </c>
    </row>
    <row r="130">
      <c r="D130" t="n">
        <v>1</v>
      </c>
      <c r="E130">
        <f>IFERROR(XLOOKUP(C130,'Master Catalogue'!$E:$E,'Master Catalogue'!$L:$L),"")</f>
        <v/>
      </c>
      <c r="F130">
        <f>IF(E130="","",D130*E130)</f>
        <v/>
      </c>
    </row>
    <row r="131">
      <c r="D131" t="n">
        <v>1</v>
      </c>
      <c r="E131">
        <f>IFERROR(XLOOKUP(C131,'Master Catalogue'!$E:$E,'Master Catalogue'!$L:$L),"")</f>
        <v/>
      </c>
      <c r="F131">
        <f>IF(E131="","",D131*E131)</f>
        <v/>
      </c>
    </row>
    <row r="132">
      <c r="D132" t="n">
        <v>1</v>
      </c>
      <c r="E132">
        <f>IFERROR(XLOOKUP(C132,'Master Catalogue'!$E:$E,'Master Catalogue'!$L:$L),"")</f>
        <v/>
      </c>
      <c r="F132">
        <f>IF(E132="","",D132*E132)</f>
        <v/>
      </c>
    </row>
    <row r="133">
      <c r="D133" t="n">
        <v>1</v>
      </c>
      <c r="E133">
        <f>IFERROR(XLOOKUP(C133,'Master Catalogue'!$E:$E,'Master Catalogue'!$L:$L),"")</f>
        <v/>
      </c>
      <c r="F133">
        <f>IF(E133="","",D133*E133)</f>
        <v/>
      </c>
    </row>
    <row r="134">
      <c r="D134" t="n">
        <v>1</v>
      </c>
      <c r="E134">
        <f>IFERROR(XLOOKUP(C134,'Master Catalogue'!$E:$E,'Master Catalogue'!$L:$L),"")</f>
        <v/>
      </c>
      <c r="F134">
        <f>IF(E134="","",D134*E134)</f>
        <v/>
      </c>
    </row>
    <row r="135">
      <c r="D135" t="n">
        <v>1</v>
      </c>
      <c r="E135">
        <f>IFERROR(XLOOKUP(C135,'Master Catalogue'!$E:$E,'Master Catalogue'!$L:$L),"")</f>
        <v/>
      </c>
      <c r="F135">
        <f>IF(E135="","",D135*E135)</f>
        <v/>
      </c>
    </row>
    <row r="136">
      <c r="D136" t="n">
        <v>1</v>
      </c>
      <c r="E136">
        <f>IFERROR(XLOOKUP(C136,'Master Catalogue'!$E:$E,'Master Catalogue'!$L:$L),"")</f>
        <v/>
      </c>
      <c r="F136">
        <f>IF(E136="","",D136*E136)</f>
        <v/>
      </c>
    </row>
    <row r="137">
      <c r="D137" t="n">
        <v>1</v>
      </c>
      <c r="E137">
        <f>IFERROR(XLOOKUP(C137,'Master Catalogue'!$E:$E,'Master Catalogue'!$L:$L),"")</f>
        <v/>
      </c>
      <c r="F137">
        <f>IF(E137="","",D137*E137)</f>
        <v/>
      </c>
    </row>
    <row r="138">
      <c r="D138" t="n">
        <v>1</v>
      </c>
      <c r="E138">
        <f>IFERROR(XLOOKUP(C138,'Master Catalogue'!$E:$E,'Master Catalogue'!$L:$L),"")</f>
        <v/>
      </c>
      <c r="F138">
        <f>IF(E138="","",D138*E138)</f>
        <v/>
      </c>
    </row>
    <row r="139">
      <c r="D139" t="n">
        <v>1</v>
      </c>
      <c r="E139">
        <f>IFERROR(XLOOKUP(C139,'Master Catalogue'!$E:$E,'Master Catalogue'!$L:$L),"")</f>
        <v/>
      </c>
      <c r="F139">
        <f>IF(E139="","",D139*E139)</f>
        <v/>
      </c>
    </row>
    <row r="140">
      <c r="D140" t="n">
        <v>1</v>
      </c>
      <c r="E140">
        <f>IFERROR(XLOOKUP(C140,'Master Catalogue'!$E:$E,'Master Catalogue'!$L:$L),"")</f>
        <v/>
      </c>
      <c r="F140">
        <f>IF(E140="","",D140*E140)</f>
        <v/>
      </c>
    </row>
    <row r="141">
      <c r="D141" t="n">
        <v>1</v>
      </c>
      <c r="E141">
        <f>IFERROR(XLOOKUP(C141,'Master Catalogue'!$E:$E,'Master Catalogue'!$L:$L),"")</f>
        <v/>
      </c>
      <c r="F141">
        <f>IF(E141="","",D141*E141)</f>
        <v/>
      </c>
    </row>
    <row r="142">
      <c r="D142" t="n">
        <v>1</v>
      </c>
      <c r="E142">
        <f>IFERROR(XLOOKUP(C142,'Master Catalogue'!$E:$E,'Master Catalogue'!$L:$L),"")</f>
        <v/>
      </c>
      <c r="F142">
        <f>IF(E142="","",D142*E142)</f>
        <v/>
      </c>
    </row>
    <row r="143">
      <c r="D143" t="n">
        <v>1</v>
      </c>
      <c r="E143">
        <f>IFERROR(XLOOKUP(C143,'Master Catalogue'!$E:$E,'Master Catalogue'!$L:$L),"")</f>
        <v/>
      </c>
      <c r="F143">
        <f>IF(E143="","",D143*E143)</f>
        <v/>
      </c>
    </row>
    <row r="144">
      <c r="D144" t="n">
        <v>1</v>
      </c>
      <c r="E144">
        <f>IFERROR(XLOOKUP(C144,'Master Catalogue'!$E:$E,'Master Catalogue'!$L:$L),"")</f>
        <v/>
      </c>
      <c r="F144">
        <f>IF(E144="","",D144*E144)</f>
        <v/>
      </c>
    </row>
    <row r="145">
      <c r="D145" t="n">
        <v>1</v>
      </c>
      <c r="E145">
        <f>IFERROR(XLOOKUP(C145,'Master Catalogue'!$E:$E,'Master Catalogue'!$L:$L),"")</f>
        <v/>
      </c>
      <c r="F145">
        <f>IF(E145="","",D145*E145)</f>
        <v/>
      </c>
    </row>
    <row r="146">
      <c r="D146" t="n">
        <v>1</v>
      </c>
      <c r="E146">
        <f>IFERROR(XLOOKUP(C146,'Master Catalogue'!$E:$E,'Master Catalogue'!$L:$L),"")</f>
        <v/>
      </c>
      <c r="F146">
        <f>IF(E146="","",D146*E146)</f>
        <v/>
      </c>
    </row>
    <row r="147">
      <c r="D147" t="n">
        <v>1</v>
      </c>
      <c r="E147">
        <f>IFERROR(XLOOKUP(C147,'Master Catalogue'!$E:$E,'Master Catalogue'!$L:$L),"")</f>
        <v/>
      </c>
      <c r="F147">
        <f>IF(E147="","",D147*E147)</f>
        <v/>
      </c>
    </row>
    <row r="148">
      <c r="D148" t="n">
        <v>1</v>
      </c>
      <c r="E148">
        <f>IFERROR(XLOOKUP(C148,'Master Catalogue'!$E:$E,'Master Catalogue'!$L:$L),"")</f>
        <v/>
      </c>
      <c r="F148">
        <f>IF(E148="","",D148*E148)</f>
        <v/>
      </c>
    </row>
    <row r="149">
      <c r="D149" t="n">
        <v>1</v>
      </c>
      <c r="E149">
        <f>IFERROR(XLOOKUP(C149,'Master Catalogue'!$E:$E,'Master Catalogue'!$L:$L),"")</f>
        <v/>
      </c>
      <c r="F149">
        <f>IF(E149="","",D149*E149)</f>
        <v/>
      </c>
    </row>
    <row r="150">
      <c r="D150" t="n">
        <v>1</v>
      </c>
      <c r="E150">
        <f>IFERROR(XLOOKUP(C150,'Master Catalogue'!$E:$E,'Master Catalogue'!$L:$L),"")</f>
        <v/>
      </c>
      <c r="F150">
        <f>IF(E150="","",D150*E150)</f>
        <v/>
      </c>
    </row>
    <row r="151">
      <c r="D151" t="n">
        <v>1</v>
      </c>
      <c r="E151">
        <f>IFERROR(XLOOKUP(C151,'Master Catalogue'!$E:$E,'Master Catalogue'!$L:$L),"")</f>
        <v/>
      </c>
      <c r="F151">
        <f>IF(E151="","",D151*E151)</f>
        <v/>
      </c>
    </row>
    <row r="152">
      <c r="D152" t="n">
        <v>1</v>
      </c>
      <c r="E152">
        <f>IFERROR(XLOOKUP(C152,'Master Catalogue'!$E:$E,'Master Catalogue'!$L:$L),"")</f>
        <v/>
      </c>
      <c r="F152">
        <f>IF(E152="","",D152*E152)</f>
        <v/>
      </c>
    </row>
    <row r="153">
      <c r="D153" t="n">
        <v>1</v>
      </c>
      <c r="E153">
        <f>IFERROR(XLOOKUP(C153,'Master Catalogue'!$E:$E,'Master Catalogue'!$L:$L),"")</f>
        <v/>
      </c>
      <c r="F153">
        <f>IF(E153="","",D153*E153)</f>
        <v/>
      </c>
    </row>
    <row r="154">
      <c r="D154" t="n">
        <v>1</v>
      </c>
      <c r="E154">
        <f>IFERROR(XLOOKUP(C154,'Master Catalogue'!$E:$E,'Master Catalogue'!$L:$L),"")</f>
        <v/>
      </c>
      <c r="F154">
        <f>IF(E154="","",D154*E154)</f>
        <v/>
      </c>
    </row>
    <row r="155">
      <c r="D155" t="n">
        <v>1</v>
      </c>
      <c r="E155">
        <f>IFERROR(XLOOKUP(C155,'Master Catalogue'!$E:$E,'Master Catalogue'!$L:$L),"")</f>
        <v/>
      </c>
      <c r="F155">
        <f>IF(E155="","",D155*E155)</f>
        <v/>
      </c>
    </row>
    <row r="156">
      <c r="D156" t="n">
        <v>1</v>
      </c>
      <c r="E156">
        <f>IFERROR(XLOOKUP(C156,'Master Catalogue'!$E:$E,'Master Catalogue'!$L:$L),"")</f>
        <v/>
      </c>
      <c r="F156">
        <f>IF(E156="","",D156*E156)</f>
        <v/>
      </c>
    </row>
    <row r="157">
      <c r="D157" t="n">
        <v>1</v>
      </c>
      <c r="E157">
        <f>IFERROR(XLOOKUP(C157,'Master Catalogue'!$E:$E,'Master Catalogue'!$L:$L),"")</f>
        <v/>
      </c>
      <c r="F157">
        <f>IF(E157="","",D157*E157)</f>
        <v/>
      </c>
    </row>
    <row r="158">
      <c r="D158" t="n">
        <v>1</v>
      </c>
      <c r="E158">
        <f>IFERROR(XLOOKUP(C158,'Master Catalogue'!$E:$E,'Master Catalogue'!$L:$L),"")</f>
        <v/>
      </c>
      <c r="F158">
        <f>IF(E158="","",D158*E158)</f>
        <v/>
      </c>
    </row>
    <row r="159">
      <c r="D159" t="n">
        <v>1</v>
      </c>
      <c r="E159">
        <f>IFERROR(XLOOKUP(C159,'Master Catalogue'!$E:$E,'Master Catalogue'!$L:$L),"")</f>
        <v/>
      </c>
      <c r="F159">
        <f>IF(E159="","",D159*E159)</f>
        <v/>
      </c>
    </row>
    <row r="160">
      <c r="D160" t="n">
        <v>1</v>
      </c>
      <c r="E160">
        <f>IFERROR(XLOOKUP(C160,'Master Catalogue'!$E:$E,'Master Catalogue'!$L:$L),"")</f>
        <v/>
      </c>
      <c r="F160">
        <f>IF(E160="","",D160*E160)</f>
        <v/>
      </c>
    </row>
    <row r="161">
      <c r="D161" t="n">
        <v>1</v>
      </c>
      <c r="E161">
        <f>IFERROR(XLOOKUP(C161,'Master Catalogue'!$E:$E,'Master Catalogue'!$L:$L),"")</f>
        <v/>
      </c>
      <c r="F161">
        <f>IF(E161="","",D161*E161)</f>
        <v/>
      </c>
    </row>
    <row r="162">
      <c r="D162" t="n">
        <v>1</v>
      </c>
      <c r="E162">
        <f>IFERROR(XLOOKUP(C162,'Master Catalogue'!$E:$E,'Master Catalogue'!$L:$L),"")</f>
        <v/>
      </c>
      <c r="F162">
        <f>IF(E162="","",D162*E162)</f>
        <v/>
      </c>
    </row>
    <row r="163">
      <c r="D163" t="n">
        <v>1</v>
      </c>
      <c r="E163">
        <f>IFERROR(XLOOKUP(C163,'Master Catalogue'!$E:$E,'Master Catalogue'!$L:$L),"")</f>
        <v/>
      </c>
      <c r="F163">
        <f>IF(E163="","",D163*E163)</f>
        <v/>
      </c>
    </row>
    <row r="164">
      <c r="D164" t="n">
        <v>1</v>
      </c>
      <c r="E164">
        <f>IFERROR(XLOOKUP(C164,'Master Catalogue'!$E:$E,'Master Catalogue'!$L:$L),"")</f>
        <v/>
      </c>
      <c r="F164">
        <f>IF(E164="","",D164*E164)</f>
        <v/>
      </c>
    </row>
    <row r="165">
      <c r="D165" t="n">
        <v>1</v>
      </c>
      <c r="E165">
        <f>IFERROR(XLOOKUP(C165,'Master Catalogue'!$E:$E,'Master Catalogue'!$L:$L),"")</f>
        <v/>
      </c>
      <c r="F165">
        <f>IF(E165="","",D165*E165)</f>
        <v/>
      </c>
    </row>
    <row r="166">
      <c r="D166" t="n">
        <v>1</v>
      </c>
      <c r="E166">
        <f>IFERROR(XLOOKUP(C166,'Master Catalogue'!$E:$E,'Master Catalogue'!$L:$L),"")</f>
        <v/>
      </c>
      <c r="F166">
        <f>IF(E166="","",D166*E166)</f>
        <v/>
      </c>
    </row>
    <row r="167">
      <c r="D167" t="n">
        <v>1</v>
      </c>
      <c r="E167">
        <f>IFERROR(XLOOKUP(C167,'Master Catalogue'!$E:$E,'Master Catalogue'!$L:$L),"")</f>
        <v/>
      </c>
      <c r="F167">
        <f>IF(E167="","",D167*E167)</f>
        <v/>
      </c>
    </row>
    <row r="168">
      <c r="D168" t="n">
        <v>1</v>
      </c>
      <c r="E168">
        <f>IFERROR(XLOOKUP(C168,'Master Catalogue'!$E:$E,'Master Catalogue'!$L:$L),"")</f>
        <v/>
      </c>
      <c r="F168">
        <f>IF(E168="","",D168*E168)</f>
        <v/>
      </c>
    </row>
    <row r="169">
      <c r="D169" t="n">
        <v>1</v>
      </c>
      <c r="E169">
        <f>IFERROR(XLOOKUP(C169,'Master Catalogue'!$E:$E,'Master Catalogue'!$L:$L),"")</f>
        <v/>
      </c>
      <c r="F169">
        <f>IF(E169="","",D169*E169)</f>
        <v/>
      </c>
    </row>
    <row r="170">
      <c r="D170" t="n">
        <v>1</v>
      </c>
      <c r="E170">
        <f>IFERROR(XLOOKUP(C170,'Master Catalogue'!$E:$E,'Master Catalogue'!$L:$L),"")</f>
        <v/>
      </c>
      <c r="F170">
        <f>IF(E170="","",D170*E170)</f>
        <v/>
      </c>
    </row>
    <row r="171">
      <c r="D171" t="n">
        <v>1</v>
      </c>
      <c r="E171">
        <f>IFERROR(XLOOKUP(C171,'Master Catalogue'!$E:$E,'Master Catalogue'!$L:$L),"")</f>
        <v/>
      </c>
      <c r="F171">
        <f>IF(E171="","",D171*E171)</f>
        <v/>
      </c>
    </row>
    <row r="172">
      <c r="D172" t="n">
        <v>1</v>
      </c>
      <c r="E172">
        <f>IFERROR(XLOOKUP(C172,'Master Catalogue'!$E:$E,'Master Catalogue'!$L:$L),"")</f>
        <v/>
      </c>
      <c r="F172">
        <f>IF(E172="","",D172*E172)</f>
        <v/>
      </c>
    </row>
    <row r="173">
      <c r="D173" t="n">
        <v>1</v>
      </c>
      <c r="E173">
        <f>IFERROR(XLOOKUP(C173,'Master Catalogue'!$E:$E,'Master Catalogue'!$L:$L),"")</f>
        <v/>
      </c>
      <c r="F173">
        <f>IF(E173="","",D173*E173)</f>
        <v/>
      </c>
    </row>
    <row r="174">
      <c r="D174" t="n">
        <v>1</v>
      </c>
      <c r="E174">
        <f>IFERROR(XLOOKUP(C174,'Master Catalogue'!$E:$E,'Master Catalogue'!$L:$L),"")</f>
        <v/>
      </c>
      <c r="F174">
        <f>IF(E174="","",D174*E174)</f>
        <v/>
      </c>
    </row>
    <row r="175">
      <c r="D175" t="n">
        <v>1</v>
      </c>
      <c r="E175">
        <f>IFERROR(XLOOKUP(C175,'Master Catalogue'!$E:$E,'Master Catalogue'!$L:$L),"")</f>
        <v/>
      </c>
      <c r="F175">
        <f>IF(E175="","",D175*E175)</f>
        <v/>
      </c>
    </row>
    <row r="176">
      <c r="D176" t="n">
        <v>1</v>
      </c>
      <c r="E176">
        <f>IFERROR(XLOOKUP(C176,'Master Catalogue'!$E:$E,'Master Catalogue'!$L:$L),"")</f>
        <v/>
      </c>
      <c r="F176">
        <f>IF(E176="","",D176*E176)</f>
        <v/>
      </c>
    </row>
    <row r="177">
      <c r="D177" t="n">
        <v>1</v>
      </c>
      <c r="E177">
        <f>IFERROR(XLOOKUP(C177,'Master Catalogue'!$E:$E,'Master Catalogue'!$L:$L),"")</f>
        <v/>
      </c>
      <c r="F177">
        <f>IF(E177="","",D177*E177)</f>
        <v/>
      </c>
    </row>
    <row r="178">
      <c r="D178" t="n">
        <v>1</v>
      </c>
      <c r="E178">
        <f>IFERROR(XLOOKUP(C178,'Master Catalogue'!$E:$E,'Master Catalogue'!$L:$L),"")</f>
        <v/>
      </c>
      <c r="F178">
        <f>IF(E178="","",D178*E178)</f>
        <v/>
      </c>
    </row>
    <row r="179">
      <c r="D179" t="n">
        <v>1</v>
      </c>
      <c r="E179">
        <f>IFERROR(XLOOKUP(C179,'Master Catalogue'!$E:$E,'Master Catalogue'!$L:$L),"")</f>
        <v/>
      </c>
      <c r="F179">
        <f>IF(E179="","",D179*E179)</f>
        <v/>
      </c>
    </row>
    <row r="180">
      <c r="D180" t="n">
        <v>1</v>
      </c>
      <c r="E180">
        <f>IFERROR(XLOOKUP(C180,'Master Catalogue'!$E:$E,'Master Catalogue'!$L:$L),"")</f>
        <v/>
      </c>
      <c r="F180">
        <f>IF(E180="","",D180*E180)</f>
        <v/>
      </c>
    </row>
    <row r="181">
      <c r="D181" t="n">
        <v>1</v>
      </c>
      <c r="E181">
        <f>IFERROR(XLOOKUP(C181,'Master Catalogue'!$E:$E,'Master Catalogue'!$L:$L),"")</f>
        <v/>
      </c>
      <c r="F181">
        <f>IF(E181="","",D181*E181)</f>
        <v/>
      </c>
    </row>
    <row r="182">
      <c r="D182" t="n">
        <v>1</v>
      </c>
      <c r="E182">
        <f>IFERROR(XLOOKUP(C182,'Master Catalogue'!$E:$E,'Master Catalogue'!$L:$L),"")</f>
        <v/>
      </c>
      <c r="F182">
        <f>IF(E182="","",D182*E182)</f>
        <v/>
      </c>
    </row>
    <row r="183">
      <c r="D183" t="n">
        <v>1</v>
      </c>
      <c r="E183">
        <f>IFERROR(XLOOKUP(C183,'Master Catalogue'!$E:$E,'Master Catalogue'!$L:$L),"")</f>
        <v/>
      </c>
      <c r="F183">
        <f>IF(E183="","",D183*E183)</f>
        <v/>
      </c>
    </row>
    <row r="184">
      <c r="D184" t="n">
        <v>1</v>
      </c>
      <c r="E184">
        <f>IFERROR(XLOOKUP(C184,'Master Catalogue'!$E:$E,'Master Catalogue'!$L:$L),"")</f>
        <v/>
      </c>
      <c r="F184">
        <f>IF(E184="","",D184*E184)</f>
        <v/>
      </c>
    </row>
    <row r="185">
      <c r="D185" t="n">
        <v>1</v>
      </c>
      <c r="E185">
        <f>IFERROR(XLOOKUP(C185,'Master Catalogue'!$E:$E,'Master Catalogue'!$L:$L),"")</f>
        <v/>
      </c>
      <c r="F185">
        <f>IF(E185="","",D185*E185)</f>
        <v/>
      </c>
    </row>
    <row r="186">
      <c r="D186" t="n">
        <v>1</v>
      </c>
      <c r="E186">
        <f>IFERROR(XLOOKUP(C186,'Master Catalogue'!$E:$E,'Master Catalogue'!$L:$L),"")</f>
        <v/>
      </c>
      <c r="F186">
        <f>IF(E186="","",D186*E186)</f>
        <v/>
      </c>
    </row>
    <row r="187">
      <c r="D187" t="n">
        <v>1</v>
      </c>
      <c r="E187">
        <f>IFERROR(XLOOKUP(C187,'Master Catalogue'!$E:$E,'Master Catalogue'!$L:$L),"")</f>
        <v/>
      </c>
      <c r="F187">
        <f>IF(E187="","",D187*E187)</f>
        <v/>
      </c>
    </row>
    <row r="188">
      <c r="D188" t="n">
        <v>1</v>
      </c>
      <c r="E188">
        <f>IFERROR(XLOOKUP(C188,'Master Catalogue'!$E:$E,'Master Catalogue'!$L:$L),"")</f>
        <v/>
      </c>
      <c r="F188">
        <f>IF(E188="","",D188*E188)</f>
        <v/>
      </c>
    </row>
    <row r="189">
      <c r="D189" t="n">
        <v>1</v>
      </c>
      <c r="E189">
        <f>IFERROR(XLOOKUP(C189,'Master Catalogue'!$E:$E,'Master Catalogue'!$L:$L),"")</f>
        <v/>
      </c>
      <c r="F189">
        <f>IF(E189="","",D189*E189)</f>
        <v/>
      </c>
    </row>
    <row r="190">
      <c r="D190" t="n">
        <v>1</v>
      </c>
      <c r="E190">
        <f>IFERROR(XLOOKUP(C190,'Master Catalogue'!$E:$E,'Master Catalogue'!$L:$L),"")</f>
        <v/>
      </c>
      <c r="F190">
        <f>IF(E190="","",D190*E190)</f>
        <v/>
      </c>
    </row>
    <row r="191">
      <c r="D191" t="n">
        <v>1</v>
      </c>
      <c r="E191">
        <f>IFERROR(XLOOKUP(C191,'Master Catalogue'!$E:$E,'Master Catalogue'!$L:$L),"")</f>
        <v/>
      </c>
      <c r="F191">
        <f>IF(E191="","",D191*E191)</f>
        <v/>
      </c>
    </row>
    <row r="192">
      <c r="D192" t="n">
        <v>1</v>
      </c>
      <c r="E192">
        <f>IFERROR(XLOOKUP(C192,'Master Catalogue'!$E:$E,'Master Catalogue'!$L:$L),"")</f>
        <v/>
      </c>
      <c r="F192">
        <f>IF(E192="","",D192*E192)</f>
        <v/>
      </c>
    </row>
    <row r="193">
      <c r="D193" t="n">
        <v>1</v>
      </c>
      <c r="E193">
        <f>IFERROR(XLOOKUP(C193,'Master Catalogue'!$E:$E,'Master Catalogue'!$L:$L),"")</f>
        <v/>
      </c>
      <c r="F193">
        <f>IF(E193="","",D193*E193)</f>
        <v/>
      </c>
    </row>
    <row r="194">
      <c r="D194" t="n">
        <v>1</v>
      </c>
      <c r="E194">
        <f>IFERROR(XLOOKUP(C194,'Master Catalogue'!$E:$E,'Master Catalogue'!$L:$L),"")</f>
        <v/>
      </c>
      <c r="F194">
        <f>IF(E194="","",D194*E194)</f>
        <v/>
      </c>
    </row>
    <row r="195">
      <c r="D195" t="n">
        <v>1</v>
      </c>
      <c r="E195">
        <f>IFERROR(XLOOKUP(C195,'Master Catalogue'!$E:$E,'Master Catalogue'!$L:$L),"")</f>
        <v/>
      </c>
      <c r="F195">
        <f>IF(E195="","",D195*E195)</f>
        <v/>
      </c>
    </row>
    <row r="196">
      <c r="D196" t="n">
        <v>1</v>
      </c>
      <c r="E196">
        <f>IFERROR(XLOOKUP(C196,'Master Catalogue'!$E:$E,'Master Catalogue'!$L:$L),"")</f>
        <v/>
      </c>
      <c r="F196">
        <f>IF(E196="","",D196*E196)</f>
        <v/>
      </c>
    </row>
    <row r="197">
      <c r="D197" t="n">
        <v>1</v>
      </c>
      <c r="E197">
        <f>IFERROR(XLOOKUP(C197,'Master Catalogue'!$E:$E,'Master Catalogue'!$L:$L),"")</f>
        <v/>
      </c>
      <c r="F197">
        <f>IF(E197="","",D197*E197)</f>
        <v/>
      </c>
    </row>
    <row r="198">
      <c r="D198" t="n">
        <v>1</v>
      </c>
      <c r="E198">
        <f>IFERROR(XLOOKUP(C198,'Master Catalogue'!$E:$E,'Master Catalogue'!$L:$L),"")</f>
        <v/>
      </c>
      <c r="F198">
        <f>IF(E198="","",D198*E198)</f>
        <v/>
      </c>
    </row>
    <row r="199">
      <c r="D199" t="n">
        <v>1</v>
      </c>
      <c r="E199">
        <f>IFERROR(XLOOKUP(C199,'Master Catalogue'!$E:$E,'Master Catalogue'!$L:$L),"")</f>
        <v/>
      </c>
      <c r="F199">
        <f>IF(E199="","",D199*E199)</f>
        <v/>
      </c>
    </row>
    <row r="200">
      <c r="D200" t="n">
        <v>1</v>
      </c>
      <c r="E200">
        <f>IFERROR(XLOOKUP(C200,'Master Catalogue'!$E:$E,'Master Catalogue'!$L:$L),"")</f>
        <v/>
      </c>
      <c r="F200">
        <f>IF(E200="","",D200*E200)</f>
        <v/>
      </c>
    </row>
    <row r="201">
      <c r="D201" t="n">
        <v>1</v>
      </c>
      <c r="E201">
        <f>IFERROR(XLOOKUP(C201,'Master Catalogue'!$E:$E,'Master Catalogue'!$L:$L),"")</f>
        <v/>
      </c>
      <c r="F201">
        <f>IF(E201="","",D201*E201)</f>
        <v/>
      </c>
    </row>
  </sheetData>
  <dataValidations count="1">
    <dataValidation sqref="C2:C201" showDropDown="0" showInputMessage="0" showErrorMessage="0" allowBlank="0" type="list">
      <formula1>'Master Catalogue'!$E$2:$E$820</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820"/>
  <sheetViews>
    <sheetView workbookViewId="0">
      <selection activeCell="A1" sqref="A1"/>
    </sheetView>
  </sheetViews>
  <sheetFormatPr baseColWidth="8" defaultRowHeight="15"/>
  <cols>
    <col width="22" customWidth="1" style="48" min="1" max="1"/>
    <col width="36" customWidth="1" style="48" min="2" max="2"/>
    <col width="12" customWidth="1" style="48" min="3" max="3"/>
    <col width="12" customWidth="1" style="48" min="4" max="4"/>
    <col width="12" customWidth="1" style="48" min="5" max="5"/>
    <col width="12" customWidth="1" style="48" min="6" max="6"/>
    <col width="12" customWidth="1" style="48" min="7" max="7"/>
  </cols>
  <sheetData>
    <row r="1">
      <c r="A1" s="50" t="inlineStr">
        <is>
          <t>Faction</t>
        </is>
      </c>
      <c r="B1" s="50" t="inlineStr">
        <is>
          <t>Unit Name</t>
        </is>
      </c>
      <c r="C1" s="50" t="inlineStr">
        <is>
          <t>Owned Qty</t>
        </is>
      </c>
      <c r="D1" s="50" t="inlineStr">
        <is>
          <t>Built Qty</t>
        </is>
      </c>
      <c r="E1" s="50" t="inlineStr">
        <is>
          <t>Painted Qty</t>
        </is>
      </c>
      <c r="F1" s="50" t="inlineStr">
        <is>
          <t>Target Qty</t>
        </is>
      </c>
      <c r="G1" s="50" t="inlineStr">
        <is>
          <t>Gap</t>
        </is>
      </c>
    </row>
    <row r="2">
      <c r="A2" t="inlineStr">
        <is>
          <t>Space Marines</t>
        </is>
      </c>
      <c r="B2" t="inlineStr">
        <is>
          <t>Adrax Agatone</t>
        </is>
      </c>
      <c r="G2">
        <f>IF(F2="","",F2-C2)</f>
        <v/>
      </c>
    </row>
    <row r="3">
      <c r="A3" t="inlineStr">
        <is>
          <t>Space Marines</t>
        </is>
      </c>
      <c r="B3" t="inlineStr">
        <is>
          <t>Aggressor Squad</t>
        </is>
      </c>
      <c r="G3">
        <f>IF(F3="","",F3-C3)</f>
        <v/>
      </c>
    </row>
    <row r="4">
      <c r="A4" t="inlineStr">
        <is>
          <t>Space Marines</t>
        </is>
      </c>
      <c r="B4" t="inlineStr">
        <is>
          <t>Ancient</t>
        </is>
      </c>
      <c r="G4">
        <f>IF(F4="","",F4-C4)</f>
        <v/>
      </c>
    </row>
    <row r="5">
      <c r="A5" t="inlineStr">
        <is>
          <t>Space Marines</t>
        </is>
      </c>
      <c r="B5" t="inlineStr">
        <is>
          <t>Apothecary</t>
        </is>
      </c>
      <c r="G5">
        <f>IF(F5="","",F5-C5)</f>
        <v/>
      </c>
    </row>
    <row r="6">
      <c r="A6" t="inlineStr">
        <is>
          <t>Space Marines</t>
        </is>
      </c>
      <c r="B6" t="inlineStr">
        <is>
          <t>Apothecary Biologis</t>
        </is>
      </c>
      <c r="G6">
        <f>IF(F6="","",F6-C6)</f>
        <v/>
      </c>
    </row>
    <row r="7">
      <c r="A7" t="inlineStr">
        <is>
          <t>Space Marines</t>
        </is>
      </c>
      <c r="B7" t="inlineStr">
        <is>
          <t>Assault Intercessor Squad</t>
        </is>
      </c>
      <c r="G7">
        <f>IF(F7="","",F7-C7)</f>
        <v/>
      </c>
    </row>
    <row r="8">
      <c r="A8" t="inlineStr">
        <is>
          <t>Space Marines</t>
        </is>
      </c>
      <c r="B8" t="inlineStr">
        <is>
          <t>Assault Intercessors with Jump Packs</t>
        </is>
      </c>
      <c r="G8">
        <f>IF(F8="","",F8-C8)</f>
        <v/>
      </c>
    </row>
    <row r="9">
      <c r="A9" t="inlineStr">
        <is>
          <t>Space Marines</t>
        </is>
      </c>
      <c r="B9" t="inlineStr">
        <is>
          <t>Ballistus Dreadnought</t>
        </is>
      </c>
      <c r="G9">
        <f>IF(F9="","",F9-C9)</f>
        <v/>
      </c>
    </row>
    <row r="10">
      <c r="A10" t="inlineStr">
        <is>
          <t>Space Marines</t>
        </is>
      </c>
      <c r="B10" t="inlineStr">
        <is>
          <t>Bladeguard Ancient</t>
        </is>
      </c>
      <c r="G10">
        <f>IF(F10="","",F10-C10)</f>
        <v/>
      </c>
    </row>
    <row r="11">
      <c r="A11" t="inlineStr">
        <is>
          <t>Space Marines</t>
        </is>
      </c>
      <c r="B11" t="inlineStr">
        <is>
          <t>Bladeguard Veteran Squad</t>
        </is>
      </c>
      <c r="G11">
        <f>IF(F11="","",F11-C11)</f>
        <v/>
      </c>
    </row>
    <row r="12">
      <c r="A12" t="inlineStr">
        <is>
          <t>Space Marines</t>
        </is>
      </c>
      <c r="B12" t="inlineStr">
        <is>
          <t>Brutalis Dreadnought</t>
        </is>
      </c>
      <c r="G12">
        <f>IF(F12="","",F12-C12)</f>
        <v/>
      </c>
    </row>
    <row r="13">
      <c r="A13" t="inlineStr">
        <is>
          <t>Space Marines</t>
        </is>
      </c>
      <c r="B13" t="inlineStr">
        <is>
          <t>Captain</t>
        </is>
      </c>
      <c r="G13">
        <f>IF(F13="","",F13-C13)</f>
        <v/>
      </c>
    </row>
    <row r="14">
      <c r="A14" t="inlineStr">
        <is>
          <t>Space Marines</t>
        </is>
      </c>
      <c r="B14" t="inlineStr">
        <is>
          <t>Captain in Gravis Armour</t>
        </is>
      </c>
      <c r="G14">
        <f>IF(F14="","",F14-C14)</f>
        <v/>
      </c>
    </row>
    <row r="15">
      <c r="A15" t="inlineStr">
        <is>
          <t>Space Marines</t>
        </is>
      </c>
      <c r="B15" t="inlineStr">
        <is>
          <t>Captain in Phobos Armour</t>
        </is>
      </c>
      <c r="G15">
        <f>IF(F15="","",F15-C15)</f>
        <v/>
      </c>
    </row>
    <row r="16">
      <c r="A16" t="inlineStr">
        <is>
          <t>Space Marines</t>
        </is>
      </c>
      <c r="B16" t="inlineStr">
        <is>
          <t>Captain in Terminator Armour</t>
        </is>
      </c>
      <c r="G16">
        <f>IF(F16="","",F16-C16)</f>
        <v/>
      </c>
    </row>
    <row r="17">
      <c r="A17" t="inlineStr">
        <is>
          <t>Space Marines</t>
        </is>
      </c>
      <c r="B17" t="inlineStr">
        <is>
          <t>Captain Sicarius</t>
        </is>
      </c>
      <c r="G17">
        <f>IF(F17="","",F17-C17)</f>
        <v/>
      </c>
    </row>
    <row r="18">
      <c r="A18" t="inlineStr">
        <is>
          <t>Space Marines</t>
        </is>
      </c>
      <c r="B18" t="inlineStr">
        <is>
          <t>Chaplain</t>
        </is>
      </c>
      <c r="G18">
        <f>IF(F18="","",F18-C18)</f>
        <v/>
      </c>
    </row>
    <row r="19">
      <c r="A19" t="inlineStr">
        <is>
          <t>Space Marines</t>
        </is>
      </c>
      <c r="B19" t="inlineStr">
        <is>
          <t>Chaplain in Terminator Armour</t>
        </is>
      </c>
      <c r="G19">
        <f>IF(F19="","",F19-C19)</f>
        <v/>
      </c>
    </row>
    <row r="20">
      <c r="A20" t="inlineStr">
        <is>
          <t>Space Marines</t>
        </is>
      </c>
      <c r="B20" t="inlineStr">
        <is>
          <t>Chaplain on Bike</t>
        </is>
      </c>
      <c r="G20">
        <f>IF(F20="","",F20-C20)</f>
        <v/>
      </c>
    </row>
    <row r="21">
      <c r="A21" t="inlineStr">
        <is>
          <t>Space Marines</t>
        </is>
      </c>
      <c r="B21" t="inlineStr">
        <is>
          <t>Company Heroes</t>
        </is>
      </c>
      <c r="G21">
        <f>IF(F21="","",F21-C21)</f>
        <v/>
      </c>
    </row>
    <row r="22">
      <c r="A22" t="inlineStr">
        <is>
          <t>Space Marines</t>
        </is>
      </c>
      <c r="B22" t="inlineStr">
        <is>
          <t>Darnath Lysander</t>
        </is>
      </c>
      <c r="G22">
        <f>IF(F22="","",F22-C22)</f>
        <v/>
      </c>
    </row>
    <row r="23">
      <c r="A23" t="inlineStr">
        <is>
          <t>Space Marines</t>
        </is>
      </c>
      <c r="B23" t="inlineStr">
        <is>
          <t>Desolation Squad</t>
        </is>
      </c>
      <c r="G23">
        <f>IF(F23="","",F23-C23)</f>
        <v/>
      </c>
    </row>
    <row r="24">
      <c r="A24" t="inlineStr">
        <is>
          <t>Space Marines</t>
        </is>
      </c>
      <c r="B24" t="inlineStr">
        <is>
          <t>Devastator Squad</t>
        </is>
      </c>
      <c r="G24">
        <f>IF(F24="","",F24-C24)</f>
        <v/>
      </c>
    </row>
    <row r="25">
      <c r="A25" t="inlineStr">
        <is>
          <t>Space Marines</t>
        </is>
      </c>
      <c r="B25" t="inlineStr">
        <is>
          <t>Eliminator Squad</t>
        </is>
      </c>
      <c r="G25">
        <f>IF(F25="","",F25-C25)</f>
        <v/>
      </c>
    </row>
    <row r="26">
      <c r="A26" t="inlineStr">
        <is>
          <t>Space Marines</t>
        </is>
      </c>
      <c r="B26" t="inlineStr">
        <is>
          <t>Eradicator Squad</t>
        </is>
      </c>
      <c r="G26">
        <f>IF(F26="","",F26-C26)</f>
        <v/>
      </c>
    </row>
    <row r="27">
      <c r="A27" t="inlineStr">
        <is>
          <t>Space Marines</t>
        </is>
      </c>
      <c r="B27" t="inlineStr">
        <is>
          <t>Gladiator Lancer</t>
        </is>
      </c>
      <c r="G27">
        <f>IF(F27="","",F27-C27)</f>
        <v/>
      </c>
    </row>
    <row r="28">
      <c r="A28" t="inlineStr">
        <is>
          <t>Space Marines</t>
        </is>
      </c>
      <c r="B28" t="inlineStr">
        <is>
          <t>Gladiator Reaper</t>
        </is>
      </c>
      <c r="G28">
        <f>IF(F28="","",F28-C28)</f>
        <v/>
      </c>
    </row>
    <row r="29">
      <c r="A29" t="inlineStr">
        <is>
          <t>Space Marines</t>
        </is>
      </c>
      <c r="B29" t="inlineStr">
        <is>
          <t>Gladiator Valiant</t>
        </is>
      </c>
      <c r="G29">
        <f>IF(F29="","",F29-C29)</f>
        <v/>
      </c>
    </row>
    <row r="30">
      <c r="A30" t="inlineStr">
        <is>
          <t>Space Marines</t>
        </is>
      </c>
      <c r="B30" t="inlineStr">
        <is>
          <t>Hammerfall Bunker</t>
        </is>
      </c>
      <c r="G30">
        <f>IF(F30="","",F30-C30)</f>
        <v/>
      </c>
    </row>
    <row r="31">
      <c r="A31" t="inlineStr">
        <is>
          <t>Space Marines</t>
        </is>
      </c>
      <c r="B31" t="inlineStr">
        <is>
          <t>Heavy Intercessor Squad</t>
        </is>
      </c>
      <c r="G31">
        <f>IF(F31="","",F31-C31)</f>
        <v/>
      </c>
    </row>
    <row r="32">
      <c r="A32" t="inlineStr">
        <is>
          <t>Space Marines</t>
        </is>
      </c>
      <c r="B32" t="inlineStr">
        <is>
          <t>Hellblaster Squad</t>
        </is>
      </c>
      <c r="G32">
        <f>IF(F32="","",F32-C32)</f>
        <v/>
      </c>
    </row>
    <row r="33">
      <c r="A33" t="inlineStr">
        <is>
          <t>Space Marines</t>
        </is>
      </c>
      <c r="B33" t="inlineStr">
        <is>
          <t>Impulsor</t>
        </is>
      </c>
      <c r="G33">
        <f>IF(F33="","",F33-C33)</f>
        <v/>
      </c>
    </row>
    <row r="34">
      <c r="A34" t="inlineStr">
        <is>
          <t>Space Marines</t>
        </is>
      </c>
      <c r="B34" t="inlineStr">
        <is>
          <t>Inceptor Squad</t>
        </is>
      </c>
      <c r="G34">
        <f>IF(F34="","",F34-C34)</f>
        <v/>
      </c>
    </row>
    <row r="35">
      <c r="A35" t="inlineStr">
        <is>
          <t>Space Marines</t>
        </is>
      </c>
      <c r="B35" t="inlineStr">
        <is>
          <t>Incursor Squad</t>
        </is>
      </c>
      <c r="G35">
        <f>IF(F35="","",F35-C35)</f>
        <v/>
      </c>
    </row>
    <row r="36">
      <c r="A36" t="inlineStr">
        <is>
          <t>Space Marines</t>
        </is>
      </c>
      <c r="B36" t="inlineStr">
        <is>
          <t>Infernus Squad</t>
        </is>
      </c>
      <c r="G36">
        <f>IF(F36="","",F36-C36)</f>
        <v/>
      </c>
    </row>
    <row r="37">
      <c r="A37" t="inlineStr">
        <is>
          <t>Space Marines</t>
        </is>
      </c>
      <c r="B37" t="inlineStr">
        <is>
          <t>Infiltrator Squad</t>
        </is>
      </c>
      <c r="G37">
        <f>IF(F37="","",F37-C37)</f>
        <v/>
      </c>
    </row>
    <row r="38">
      <c r="A38" t="inlineStr">
        <is>
          <t>Space Marines</t>
        </is>
      </c>
      <c r="B38" t="inlineStr">
        <is>
          <t>Invader ATV</t>
        </is>
      </c>
      <c r="G38">
        <f>IF(F38="","",F38-C38)</f>
        <v/>
      </c>
    </row>
    <row r="39">
      <c r="A39" t="inlineStr">
        <is>
          <t>Space Marines</t>
        </is>
      </c>
      <c r="B39" t="inlineStr">
        <is>
          <t>Invictor Tactical Warsuit</t>
        </is>
      </c>
      <c r="G39">
        <f>IF(F39="","",F39-C39)</f>
        <v/>
      </c>
    </row>
    <row r="40">
      <c r="A40" t="inlineStr">
        <is>
          <t>Space Marines</t>
        </is>
      </c>
      <c r="B40" t="inlineStr">
        <is>
          <t>Judiciar</t>
        </is>
      </c>
      <c r="G40">
        <f>IF(F40="","",F40-C40)</f>
        <v/>
      </c>
    </row>
    <row r="41">
      <c r="A41" t="inlineStr">
        <is>
          <t>Space Marines</t>
        </is>
      </c>
      <c r="B41" t="inlineStr">
        <is>
          <t>Kayvaan Shrike</t>
        </is>
      </c>
      <c r="G41">
        <f>IF(F41="","",F41-C41)</f>
        <v/>
      </c>
    </row>
    <row r="42">
      <c r="A42" t="inlineStr">
        <is>
          <t>Space Marines</t>
        </is>
      </c>
      <c r="B42" t="inlineStr">
        <is>
          <t>Kor'sarro Khan</t>
        </is>
      </c>
      <c r="G42">
        <f>IF(F42="","",F42-C42)</f>
        <v/>
      </c>
    </row>
    <row r="43">
      <c r="A43" t="inlineStr">
        <is>
          <t>Space Marines</t>
        </is>
      </c>
      <c r="B43" t="inlineStr">
        <is>
          <t>Land Raider</t>
        </is>
      </c>
      <c r="G43">
        <f>IF(F43="","",F43-C43)</f>
        <v/>
      </c>
    </row>
    <row r="44">
      <c r="A44" t="inlineStr">
        <is>
          <t>Space Marines</t>
        </is>
      </c>
      <c r="B44" t="inlineStr">
        <is>
          <t>Land Raider Crusader</t>
        </is>
      </c>
      <c r="G44">
        <f>IF(F44="","",F44-C44)</f>
        <v/>
      </c>
    </row>
    <row r="45">
      <c r="A45" t="inlineStr">
        <is>
          <t>Space Marines</t>
        </is>
      </c>
      <c r="B45" t="inlineStr">
        <is>
          <t>Land Raider Redeemer</t>
        </is>
      </c>
      <c r="G45">
        <f>IF(F45="","",F45-C45)</f>
        <v/>
      </c>
    </row>
    <row r="46">
      <c r="A46" t="inlineStr">
        <is>
          <t>Space Marines</t>
        </is>
      </c>
      <c r="B46" t="inlineStr">
        <is>
          <t>Librarian</t>
        </is>
      </c>
      <c r="G46">
        <f>IF(F46="","",F46-C46)</f>
        <v/>
      </c>
    </row>
    <row r="47">
      <c r="A47" t="inlineStr">
        <is>
          <t>Space Marines</t>
        </is>
      </c>
      <c r="B47" t="inlineStr">
        <is>
          <t>Librarian in Phobos Armour</t>
        </is>
      </c>
      <c r="G47">
        <f>IF(F47="","",F47-C47)</f>
        <v/>
      </c>
    </row>
    <row r="48">
      <c r="A48" t="inlineStr">
        <is>
          <t>Space Marines</t>
        </is>
      </c>
      <c r="B48" t="inlineStr">
        <is>
          <t>Librarian in Terminator Armour</t>
        </is>
      </c>
      <c r="G48">
        <f>IF(F48="","",F48-C48)</f>
        <v/>
      </c>
    </row>
    <row r="49">
      <c r="A49" t="inlineStr">
        <is>
          <t>Space Marines</t>
        </is>
      </c>
      <c r="B49" t="inlineStr">
        <is>
          <t>Lieutenant</t>
        </is>
      </c>
      <c r="G49">
        <f>IF(F49="","",F49-C49)</f>
        <v/>
      </c>
    </row>
    <row r="50">
      <c r="A50" t="inlineStr">
        <is>
          <t>Space Marines</t>
        </is>
      </c>
      <c r="B50" t="inlineStr">
        <is>
          <t>Lieutenant in Phobos Armour</t>
        </is>
      </c>
      <c r="G50">
        <f>IF(F50="","",F50-C50)</f>
        <v/>
      </c>
    </row>
    <row r="51">
      <c r="A51" t="inlineStr">
        <is>
          <t>Space Marines</t>
        </is>
      </c>
      <c r="B51" t="inlineStr">
        <is>
          <t>Lieutenant with Combi-weapon</t>
        </is>
      </c>
      <c r="G51">
        <f>IF(F51="","",F51-C51)</f>
        <v/>
      </c>
    </row>
    <row r="52">
      <c r="A52" t="inlineStr">
        <is>
          <t>Space Marines</t>
        </is>
      </c>
      <c r="B52" t="inlineStr">
        <is>
          <t>Marneus Calgar</t>
        </is>
      </c>
      <c r="G52">
        <f>IF(F52="","",F52-C52)</f>
        <v/>
      </c>
    </row>
    <row r="53">
      <c r="A53" t="inlineStr">
        <is>
          <t>Space Marines</t>
        </is>
      </c>
      <c r="B53" t="inlineStr">
        <is>
          <t>Outrider Squad</t>
        </is>
      </c>
      <c r="G53">
        <f>IF(F53="","",F53-C53)</f>
        <v/>
      </c>
    </row>
    <row r="54">
      <c r="A54" t="inlineStr">
        <is>
          <t>Space Marines</t>
        </is>
      </c>
      <c r="B54" t="inlineStr">
        <is>
          <t>Pedro Kantor</t>
        </is>
      </c>
      <c r="G54">
        <f>IF(F54="","",F54-C54)</f>
        <v/>
      </c>
    </row>
    <row r="55">
      <c r="A55" t="inlineStr">
        <is>
          <t>Space Marines</t>
        </is>
      </c>
      <c r="B55" t="inlineStr">
        <is>
          <t>Predator Annihilator</t>
        </is>
      </c>
      <c r="G55">
        <f>IF(F55="","",F55-C55)</f>
        <v/>
      </c>
    </row>
    <row r="56">
      <c r="A56" t="inlineStr">
        <is>
          <t>Space Marines</t>
        </is>
      </c>
      <c r="B56" t="inlineStr">
        <is>
          <t>Predator Destructor</t>
        </is>
      </c>
      <c r="G56">
        <f>IF(F56="","",F56-C56)</f>
        <v/>
      </c>
    </row>
    <row r="57">
      <c r="A57" t="inlineStr">
        <is>
          <t>Space Marines</t>
        </is>
      </c>
      <c r="B57" t="inlineStr">
        <is>
          <t>Razorback</t>
        </is>
      </c>
      <c r="G57">
        <f>IF(F57="","",F57-C57)</f>
        <v/>
      </c>
    </row>
    <row r="58">
      <c r="A58" t="inlineStr">
        <is>
          <t>Space Marines</t>
        </is>
      </c>
      <c r="B58" t="inlineStr">
        <is>
          <t>Redemptor Dreadnought</t>
        </is>
      </c>
      <c r="G58">
        <f>IF(F58="","",F58-C58)</f>
        <v/>
      </c>
    </row>
    <row r="59">
      <c r="A59" t="inlineStr">
        <is>
          <t>Space Marines</t>
        </is>
      </c>
      <c r="B59" t="inlineStr">
        <is>
          <t>Reiver Squad</t>
        </is>
      </c>
      <c r="G59">
        <f>IF(F59="","",F59-C59)</f>
        <v/>
      </c>
    </row>
    <row r="60">
      <c r="A60" t="inlineStr">
        <is>
          <t>Space Marines</t>
        </is>
      </c>
      <c r="B60" t="inlineStr">
        <is>
          <t>Repulsor</t>
        </is>
      </c>
      <c r="G60">
        <f>IF(F60="","",F60-C60)</f>
        <v/>
      </c>
    </row>
    <row r="61">
      <c r="A61" t="inlineStr">
        <is>
          <t>Space Marines</t>
        </is>
      </c>
      <c r="B61" t="inlineStr">
        <is>
          <t>Repulsor Executioner</t>
        </is>
      </c>
      <c r="G61">
        <f>IF(F61="","",F61-C61)</f>
        <v/>
      </c>
    </row>
    <row r="62">
      <c r="A62" t="inlineStr">
        <is>
          <t>Space Marines</t>
        </is>
      </c>
      <c r="B62" t="inlineStr">
        <is>
          <t>Rhino</t>
        </is>
      </c>
      <c r="G62">
        <f>IF(F62="","",F62-C62)</f>
        <v/>
      </c>
    </row>
    <row r="63">
      <c r="A63" t="inlineStr">
        <is>
          <t>Space Marines</t>
        </is>
      </c>
      <c r="B63" t="inlineStr">
        <is>
          <t>Roboute Guilliman</t>
        </is>
      </c>
      <c r="G63">
        <f>IF(F63="","",F63-C63)</f>
        <v/>
      </c>
    </row>
    <row r="64">
      <c r="A64" t="inlineStr">
        <is>
          <t>Space Marines</t>
        </is>
      </c>
      <c r="B64" t="inlineStr">
        <is>
          <t>Scout Squad</t>
        </is>
      </c>
      <c r="G64">
        <f>IF(F64="","",F64-C64)</f>
        <v/>
      </c>
    </row>
    <row r="65">
      <c r="A65" t="inlineStr">
        <is>
          <t>Space Marines</t>
        </is>
      </c>
      <c r="B65" t="inlineStr">
        <is>
          <t>Sternguard Veteran Squad</t>
        </is>
      </c>
      <c r="G65">
        <f>IF(F65="","",F65-C65)</f>
        <v/>
      </c>
    </row>
    <row r="66">
      <c r="A66" t="inlineStr">
        <is>
          <t>Space Marines</t>
        </is>
      </c>
      <c r="B66" t="inlineStr">
        <is>
          <t>Storm Speeder Hailstrike</t>
        </is>
      </c>
      <c r="G66">
        <f>IF(F66="","",F66-C66)</f>
        <v/>
      </c>
    </row>
    <row r="67">
      <c r="A67" t="inlineStr">
        <is>
          <t>Space Marines</t>
        </is>
      </c>
      <c r="B67" t="inlineStr">
        <is>
          <t>Storm Speeder Hammerstrike</t>
        </is>
      </c>
      <c r="G67">
        <f>IF(F67="","",F67-C67)</f>
        <v/>
      </c>
    </row>
    <row r="68">
      <c r="A68" t="inlineStr">
        <is>
          <t>Space Marines</t>
        </is>
      </c>
      <c r="B68" t="inlineStr">
        <is>
          <t>Storm Speeder Thunderstrike</t>
        </is>
      </c>
      <c r="G68">
        <f>IF(F68="","",F68-C68)</f>
        <v/>
      </c>
    </row>
    <row r="69">
      <c r="A69" t="inlineStr">
        <is>
          <t>Space Marines</t>
        </is>
      </c>
      <c r="B69" t="inlineStr">
        <is>
          <t>Stormhawk Interceptor</t>
        </is>
      </c>
      <c r="G69">
        <f>IF(F69="","",F69-C69)</f>
        <v/>
      </c>
    </row>
    <row r="70">
      <c r="A70" t="inlineStr">
        <is>
          <t>Space Marines</t>
        </is>
      </c>
      <c r="B70" t="inlineStr">
        <is>
          <t>Stormraven Gunship</t>
        </is>
      </c>
      <c r="G70">
        <f>IF(F70="","",F70-C70)</f>
        <v/>
      </c>
    </row>
    <row r="71">
      <c r="A71" t="inlineStr">
        <is>
          <t>Space Marines</t>
        </is>
      </c>
      <c r="B71" t="inlineStr">
        <is>
          <t>Stormtalon Gunship</t>
        </is>
      </c>
      <c r="G71">
        <f>IF(F71="","",F71-C71)</f>
        <v/>
      </c>
    </row>
    <row r="72">
      <c r="A72" t="inlineStr">
        <is>
          <t>Space Marines</t>
        </is>
      </c>
      <c r="B72" t="inlineStr">
        <is>
          <t>Suppressor Squad</t>
        </is>
      </c>
      <c r="G72">
        <f>IF(F72="","",F72-C72)</f>
        <v/>
      </c>
    </row>
    <row r="73">
      <c r="A73" t="inlineStr">
        <is>
          <t>Space Marines</t>
        </is>
      </c>
      <c r="B73" t="inlineStr">
        <is>
          <t>Tactical Squad</t>
        </is>
      </c>
      <c r="G73">
        <f>IF(F73="","",F73-C73)</f>
        <v/>
      </c>
    </row>
    <row r="74">
      <c r="A74" t="inlineStr">
        <is>
          <t>Space Marines</t>
        </is>
      </c>
      <c r="B74" t="inlineStr">
        <is>
          <t>Techmarine</t>
        </is>
      </c>
      <c r="G74">
        <f>IF(F74="","",F74-C74)</f>
        <v/>
      </c>
    </row>
    <row r="75">
      <c r="A75" t="inlineStr">
        <is>
          <t>Space Marines</t>
        </is>
      </c>
      <c r="B75" t="inlineStr">
        <is>
          <t>Terminator Assault Squad</t>
        </is>
      </c>
      <c r="G75">
        <f>IF(F75="","",F75-C75)</f>
        <v/>
      </c>
    </row>
    <row r="76">
      <c r="A76" t="inlineStr">
        <is>
          <t>Space Marines</t>
        </is>
      </c>
      <c r="B76" t="inlineStr">
        <is>
          <t>Terminator Squad</t>
        </is>
      </c>
      <c r="G76">
        <f>IF(F76="","",F76-C76)</f>
        <v/>
      </c>
    </row>
    <row r="77">
      <c r="A77" t="inlineStr">
        <is>
          <t>Space Marines</t>
        </is>
      </c>
      <c r="B77" t="inlineStr">
        <is>
          <t>Tor Garadon</t>
        </is>
      </c>
      <c r="G77">
        <f>IF(F77="","",F77-C77)</f>
        <v/>
      </c>
    </row>
    <row r="78">
      <c r="A78" t="inlineStr">
        <is>
          <t>Space Marines</t>
        </is>
      </c>
      <c r="B78" t="inlineStr">
        <is>
          <t>Uriel Ventris</t>
        </is>
      </c>
      <c r="G78">
        <f>IF(F78="","",F78-C78)</f>
        <v/>
      </c>
    </row>
    <row r="79">
      <c r="A79" t="inlineStr">
        <is>
          <t>Space Marines</t>
        </is>
      </c>
      <c r="B79" t="inlineStr">
        <is>
          <t>Vanguard Veteran Squad with Jump Packs</t>
        </is>
      </c>
      <c r="G79">
        <f>IF(F79="","",F79-C79)</f>
        <v/>
      </c>
    </row>
    <row r="80">
      <c r="A80" t="inlineStr">
        <is>
          <t>Space Marines</t>
        </is>
      </c>
      <c r="B80" t="inlineStr">
        <is>
          <t>Vindicator</t>
        </is>
      </c>
      <c r="G80">
        <f>IF(F80="","",F80-C80)</f>
        <v/>
      </c>
    </row>
    <row r="81">
      <c r="A81" t="inlineStr">
        <is>
          <t>Space Marines</t>
        </is>
      </c>
      <c r="B81" t="inlineStr">
        <is>
          <t>Whirlwind</t>
        </is>
      </c>
      <c r="G81">
        <f>IF(F81="","",F81-C81)</f>
        <v/>
      </c>
    </row>
    <row r="82">
      <c r="A82" t="inlineStr">
        <is>
          <t>Blood Angels</t>
        </is>
      </c>
      <c r="B82" t="inlineStr">
        <is>
          <t>Astorath</t>
        </is>
      </c>
      <c r="G82">
        <f>IF(F82="","",F82-C82)</f>
        <v/>
      </c>
    </row>
    <row r="83">
      <c r="A83" t="inlineStr">
        <is>
          <t>Blood Angels</t>
        </is>
      </c>
      <c r="B83" t="inlineStr">
        <is>
          <t>Baal Predator</t>
        </is>
      </c>
      <c r="G83">
        <f>IF(F83="","",F83-C83)</f>
        <v/>
      </c>
    </row>
    <row r="84">
      <c r="A84" t="inlineStr">
        <is>
          <t>Blood Angels</t>
        </is>
      </c>
      <c r="B84" t="inlineStr">
        <is>
          <t>Blood Angels Captain</t>
        </is>
      </c>
      <c r="G84">
        <f>IF(F84="","",F84-C84)</f>
        <v/>
      </c>
    </row>
    <row r="85">
      <c r="A85" t="inlineStr">
        <is>
          <t>Blood Angels</t>
        </is>
      </c>
      <c r="B85" t="inlineStr">
        <is>
          <t>Chief Librarian Mephiston</t>
        </is>
      </c>
      <c r="G85">
        <f>IF(F85="","",F85-C85)</f>
        <v/>
      </c>
    </row>
    <row r="86">
      <c r="A86" t="inlineStr">
        <is>
          <t>Blood Angels</t>
        </is>
      </c>
      <c r="B86" t="inlineStr">
        <is>
          <t>Commander Dante</t>
        </is>
      </c>
      <c r="G86">
        <f>IF(F86="","",F86-C86)</f>
        <v/>
      </c>
    </row>
    <row r="87">
      <c r="A87" t="inlineStr">
        <is>
          <t>Blood Angels</t>
        </is>
      </c>
      <c r="B87" t="inlineStr">
        <is>
          <t>Death Company Dreadnought</t>
        </is>
      </c>
      <c r="G87">
        <f>IF(F87="","",F87-C87)</f>
        <v/>
      </c>
    </row>
    <row r="88">
      <c r="A88" t="inlineStr">
        <is>
          <t>Blood Angels</t>
        </is>
      </c>
      <c r="B88" t="inlineStr">
        <is>
          <t>Death Company Marines</t>
        </is>
      </c>
      <c r="G88">
        <f>IF(F88="","",F88-C88)</f>
        <v/>
      </c>
    </row>
    <row r="89">
      <c r="A89" t="inlineStr">
        <is>
          <t>Blood Angels</t>
        </is>
      </c>
      <c r="B89" t="inlineStr">
        <is>
          <t>Death Company Marines with Bolt Rifles</t>
        </is>
      </c>
      <c r="G89">
        <f>IF(F89="","",F89-C89)</f>
        <v/>
      </c>
    </row>
    <row r="90">
      <c r="A90" t="inlineStr">
        <is>
          <t>Blood Angels</t>
        </is>
      </c>
      <c r="B90" t="inlineStr">
        <is>
          <t>Death Company Marines with Jump Packs</t>
        </is>
      </c>
      <c r="G90">
        <f>IF(F90="","",F90-C90)</f>
        <v/>
      </c>
    </row>
    <row r="91">
      <c r="A91" t="inlineStr">
        <is>
          <t>Blood Angels</t>
        </is>
      </c>
      <c r="B91" t="inlineStr">
        <is>
          <t>Furioso Dreadnought</t>
        </is>
      </c>
      <c r="G91">
        <f>IF(F91="","",F91-C91)</f>
        <v/>
      </c>
    </row>
    <row r="92">
      <c r="A92" t="inlineStr">
        <is>
          <t>Blood Angels</t>
        </is>
      </c>
      <c r="B92" t="inlineStr">
        <is>
          <t>Gabriel Seth</t>
        </is>
      </c>
      <c r="G92">
        <f>IF(F92="","",F92-C92)</f>
        <v/>
      </c>
    </row>
    <row r="93">
      <c r="A93" t="inlineStr">
        <is>
          <t>Blood Angels</t>
        </is>
      </c>
      <c r="B93" t="inlineStr">
        <is>
          <t>Lemartes</t>
        </is>
      </c>
      <c r="G93">
        <f>IF(F93="","",F93-C93)</f>
        <v/>
      </c>
    </row>
    <row r="94">
      <c r="A94" t="inlineStr">
        <is>
          <t>Blood Angels</t>
        </is>
      </c>
      <c r="B94" t="inlineStr">
        <is>
          <t>Librarian Dreadnought</t>
        </is>
      </c>
      <c r="G94">
        <f>IF(F94="","",F94-C94)</f>
        <v/>
      </c>
    </row>
    <row r="95">
      <c r="A95" t="inlineStr">
        <is>
          <t>Blood Angels</t>
        </is>
      </c>
      <c r="B95" t="inlineStr">
        <is>
          <t>Sanguinary Guard</t>
        </is>
      </c>
      <c r="G95">
        <f>IF(F95="","",F95-C95)</f>
        <v/>
      </c>
    </row>
    <row r="96">
      <c r="A96" t="inlineStr">
        <is>
          <t>Blood Angels</t>
        </is>
      </c>
      <c r="B96" t="inlineStr">
        <is>
          <t>Sanguinary Priest</t>
        </is>
      </c>
      <c r="G96">
        <f>IF(F96="","",F96-C96)</f>
        <v/>
      </c>
    </row>
    <row r="97">
      <c r="A97" t="inlineStr">
        <is>
          <t>Blood Angels</t>
        </is>
      </c>
      <c r="B97" t="inlineStr">
        <is>
          <t>The Sanguinor</t>
        </is>
      </c>
      <c r="G97">
        <f>IF(F97="","",F97-C97)</f>
        <v/>
      </c>
    </row>
    <row r="98">
      <c r="A98" t="inlineStr">
        <is>
          <t>Blood Angels</t>
        </is>
      </c>
      <c r="B98" t="inlineStr">
        <is>
          <t>Tycho the Lost</t>
        </is>
      </c>
      <c r="G98">
        <f>IF(F98="","",F98-C98)</f>
        <v/>
      </c>
    </row>
    <row r="99">
      <c r="A99" t="inlineStr">
        <is>
          <t>Dark Angels</t>
        </is>
      </c>
      <c r="B99" t="inlineStr">
        <is>
          <t>Asmodai</t>
        </is>
      </c>
      <c r="G99">
        <f>IF(F99="","",F99-C99)</f>
        <v/>
      </c>
    </row>
    <row r="100">
      <c r="A100" t="inlineStr">
        <is>
          <t>Dark Angels</t>
        </is>
      </c>
      <c r="B100" t="inlineStr">
        <is>
          <t>Azrael</t>
        </is>
      </c>
      <c r="G100">
        <f>IF(F100="","",F100-C100)</f>
        <v/>
      </c>
    </row>
    <row r="101">
      <c r="A101" t="inlineStr">
        <is>
          <t>Dark Angels</t>
        </is>
      </c>
      <c r="B101" t="inlineStr">
        <is>
          <t>Belial</t>
        </is>
      </c>
      <c r="G101">
        <f>IF(F101="","",F101-C101)</f>
        <v/>
      </c>
    </row>
    <row r="102">
      <c r="A102" t="inlineStr">
        <is>
          <t>Dark Angels</t>
        </is>
      </c>
      <c r="B102" t="inlineStr">
        <is>
          <t>Black Knights</t>
        </is>
      </c>
      <c r="G102">
        <f>IF(F102="","",F102-C102)</f>
        <v/>
      </c>
    </row>
    <row r="103">
      <c r="A103" t="inlineStr">
        <is>
          <t>Dark Angels</t>
        </is>
      </c>
      <c r="B103" t="inlineStr">
        <is>
          <t>Deathwing Command Squad</t>
        </is>
      </c>
      <c r="G103">
        <f>IF(F103="","",F103-C103)</f>
        <v/>
      </c>
    </row>
    <row r="104">
      <c r="A104" t="inlineStr">
        <is>
          <t>Dark Angels</t>
        </is>
      </c>
      <c r="B104" t="inlineStr">
        <is>
          <t>Deathwing Knights</t>
        </is>
      </c>
      <c r="G104">
        <f>IF(F104="","",F104-C104)</f>
        <v/>
      </c>
    </row>
    <row r="105">
      <c r="A105" t="inlineStr">
        <is>
          <t>Dark Angels</t>
        </is>
      </c>
      <c r="B105" t="inlineStr">
        <is>
          <t>Deathwing Terminator Squad</t>
        </is>
      </c>
      <c r="G105">
        <f>IF(F105="","",F105-C105)</f>
        <v/>
      </c>
    </row>
    <row r="106">
      <c r="A106" t="inlineStr">
        <is>
          <t>Dark Angels</t>
        </is>
      </c>
      <c r="B106" t="inlineStr">
        <is>
          <t>Ezekiel</t>
        </is>
      </c>
      <c r="G106">
        <f>IF(F106="","",F106-C106)</f>
        <v/>
      </c>
    </row>
    <row r="107">
      <c r="A107" t="inlineStr">
        <is>
          <t>Dark Angels</t>
        </is>
      </c>
      <c r="B107" t="inlineStr">
        <is>
          <t>Inner Circle Companions</t>
        </is>
      </c>
      <c r="G107">
        <f>IF(F107="","",F107-C107)</f>
        <v/>
      </c>
    </row>
    <row r="108">
      <c r="A108" t="inlineStr">
        <is>
          <t>Dark Angels</t>
        </is>
      </c>
      <c r="B108" t="inlineStr">
        <is>
          <t>Land Speeder Vengeance</t>
        </is>
      </c>
      <c r="G108">
        <f>IF(F108="","",F108-C108)</f>
        <v/>
      </c>
    </row>
    <row r="109">
      <c r="A109" t="inlineStr">
        <is>
          <t>Dark Angels</t>
        </is>
      </c>
      <c r="B109" t="inlineStr">
        <is>
          <t>Lion El'Jonson</t>
        </is>
      </c>
      <c r="G109">
        <f>IF(F109="","",F109-C109)</f>
        <v/>
      </c>
    </row>
    <row r="110">
      <c r="A110" t="inlineStr">
        <is>
          <t>Dark Angels</t>
        </is>
      </c>
      <c r="B110" t="inlineStr">
        <is>
          <t>Ravenwing Command Squad</t>
        </is>
      </c>
      <c r="G110">
        <f>IF(F110="","",F110-C110)</f>
        <v/>
      </c>
    </row>
    <row r="111">
      <c r="A111" t="inlineStr">
        <is>
          <t>Dark Angels</t>
        </is>
      </c>
      <c r="B111" t="inlineStr">
        <is>
          <t>Ravenwing Darkshroud</t>
        </is>
      </c>
      <c r="G111">
        <f>IF(F111="","",F111-C111)</f>
        <v/>
      </c>
    </row>
    <row r="112">
      <c r="A112" t="inlineStr">
        <is>
          <t>Dark Angels</t>
        </is>
      </c>
      <c r="B112" t="inlineStr">
        <is>
          <t>Ravenwing Talonmaster</t>
        </is>
      </c>
      <c r="G112">
        <f>IF(F112="","",F112-C112)</f>
        <v/>
      </c>
    </row>
    <row r="113">
      <c r="A113" t="inlineStr">
        <is>
          <t>Dark Angels</t>
        </is>
      </c>
      <c r="B113" t="inlineStr">
        <is>
          <t>Sammael</t>
        </is>
      </c>
      <c r="G113">
        <f>IF(F113="","",F113-C113)</f>
        <v/>
      </c>
    </row>
    <row r="114">
      <c r="A114" t="inlineStr">
        <is>
          <t>Dark Angels</t>
        </is>
      </c>
      <c r="B114" t="inlineStr">
        <is>
          <t>Storm Speeder Darkshroud</t>
        </is>
      </c>
      <c r="G114">
        <f>IF(F114="","",F114-C114)</f>
        <v/>
      </c>
    </row>
    <row r="115">
      <c r="A115" t="inlineStr">
        <is>
          <t>Dark Angels</t>
        </is>
      </c>
      <c r="B115" t="inlineStr">
        <is>
          <t>Storm Speeder Vengeance</t>
        </is>
      </c>
      <c r="G115">
        <f>IF(F115="","",F115-C115)</f>
        <v/>
      </c>
    </row>
    <row r="116">
      <c r="A116" t="inlineStr">
        <is>
          <t>Space Wolves</t>
        </is>
      </c>
      <c r="B116" t="inlineStr">
        <is>
          <t>Arjac Rockfist</t>
        </is>
      </c>
      <c r="G116">
        <f>IF(F116="","",F116-C116)</f>
        <v/>
      </c>
    </row>
    <row r="117">
      <c r="A117" t="inlineStr">
        <is>
          <t>Space Wolves</t>
        </is>
      </c>
      <c r="B117" t="inlineStr">
        <is>
          <t>Bjorn the Fell-Handed</t>
        </is>
      </c>
      <c r="G117">
        <f>IF(F117="","",F117-C117)</f>
        <v/>
      </c>
    </row>
    <row r="118">
      <c r="A118" t="inlineStr">
        <is>
          <t>Space Wolves</t>
        </is>
      </c>
      <c r="B118" t="inlineStr">
        <is>
          <t>Blood Claws</t>
        </is>
      </c>
      <c r="G118">
        <f>IF(F118="","",F118-C118)</f>
        <v/>
      </c>
    </row>
    <row r="119">
      <c r="A119" t="inlineStr">
        <is>
          <t>Space Wolves</t>
        </is>
      </c>
      <c r="B119" t="inlineStr">
        <is>
          <t>Canis Wolfborn</t>
        </is>
      </c>
      <c r="G119">
        <f>IF(F119="","",F119-C119)</f>
        <v/>
      </c>
    </row>
    <row r="120">
      <c r="A120" t="inlineStr">
        <is>
          <t>Space Wolves</t>
        </is>
      </c>
      <c r="B120" t="inlineStr">
        <is>
          <t>Cyberwolf</t>
        </is>
      </c>
      <c r="G120">
        <f>IF(F120="","",F120-C120)</f>
        <v/>
      </c>
    </row>
    <row r="121">
      <c r="A121" t="inlineStr">
        <is>
          <t>Space Wolves</t>
        </is>
      </c>
      <c r="B121" t="inlineStr">
        <is>
          <t>Fenrisian Wolves</t>
        </is>
      </c>
      <c r="G121">
        <f>IF(F121="","",F121-C121)</f>
        <v/>
      </c>
    </row>
    <row r="122">
      <c r="A122" t="inlineStr">
        <is>
          <t>Space Wolves</t>
        </is>
      </c>
      <c r="B122" t="inlineStr">
        <is>
          <t>Grey Hunters</t>
        </is>
      </c>
      <c r="G122">
        <f>IF(F122="","",F122-C122)</f>
        <v/>
      </c>
    </row>
    <row r="123">
      <c r="A123" t="inlineStr">
        <is>
          <t>Space Wolves</t>
        </is>
      </c>
      <c r="B123" t="inlineStr">
        <is>
          <t>Harald Deathwolf</t>
        </is>
      </c>
      <c r="G123">
        <f>IF(F123="","",F123-C123)</f>
        <v/>
      </c>
    </row>
    <row r="124">
      <c r="A124" t="inlineStr">
        <is>
          <t>Space Wolves</t>
        </is>
      </c>
      <c r="B124" t="inlineStr">
        <is>
          <t>Hounds of Morkai</t>
        </is>
      </c>
      <c r="G124">
        <f>IF(F124="","",F124-C124)</f>
        <v/>
      </c>
    </row>
    <row r="125">
      <c r="A125" t="inlineStr">
        <is>
          <t>Space Wolves</t>
        </is>
      </c>
      <c r="B125" t="inlineStr">
        <is>
          <t>Krom Dragongaze</t>
        </is>
      </c>
      <c r="G125">
        <f>IF(F125="","",F125-C125)</f>
        <v/>
      </c>
    </row>
    <row r="126">
      <c r="A126" t="inlineStr">
        <is>
          <t>Space Wolves</t>
        </is>
      </c>
      <c r="B126" t="inlineStr">
        <is>
          <t>Logan Grimnar</t>
        </is>
      </c>
      <c r="G126">
        <f>IF(F126="","",F126-C126)</f>
        <v/>
      </c>
    </row>
    <row r="127">
      <c r="A127" t="inlineStr">
        <is>
          <t>Space Wolves</t>
        </is>
      </c>
      <c r="B127" t="inlineStr">
        <is>
          <t>Logan Grimnar on Stormrider</t>
        </is>
      </c>
      <c r="G127">
        <f>IF(F127="","",F127-C127)</f>
        <v/>
      </c>
    </row>
    <row r="128">
      <c r="A128" t="inlineStr">
        <is>
          <t>Space Wolves</t>
        </is>
      </c>
      <c r="B128" t="inlineStr">
        <is>
          <t>Long Fangs</t>
        </is>
      </c>
      <c r="G128">
        <f>IF(F128="","",F128-C128)</f>
        <v/>
      </c>
    </row>
    <row r="129">
      <c r="A129" t="inlineStr">
        <is>
          <t>Space Wolves</t>
        </is>
      </c>
      <c r="B129" t="inlineStr">
        <is>
          <t>Lukas the Trickster</t>
        </is>
      </c>
      <c r="G129">
        <f>IF(F129="","",F129-C129)</f>
        <v/>
      </c>
    </row>
    <row r="130">
      <c r="A130" t="inlineStr">
        <is>
          <t>Space Wolves</t>
        </is>
      </c>
      <c r="B130" t="inlineStr">
        <is>
          <t>Murderfang</t>
        </is>
      </c>
      <c r="G130">
        <f>IF(F130="","",F130-C130)</f>
        <v/>
      </c>
    </row>
    <row r="131">
      <c r="A131" t="inlineStr">
        <is>
          <t>Space Wolves</t>
        </is>
      </c>
      <c r="B131" t="inlineStr">
        <is>
          <t>Njal Stormcaller</t>
        </is>
      </c>
      <c r="G131">
        <f>IF(F131="","",F131-C131)</f>
        <v/>
      </c>
    </row>
    <row r="132">
      <c r="A132" t="inlineStr">
        <is>
          <t>Space Wolves</t>
        </is>
      </c>
      <c r="B132" t="inlineStr">
        <is>
          <t>Ragnar Blackmane</t>
        </is>
      </c>
      <c r="G132">
        <f>IF(F132="","",F132-C132)</f>
        <v/>
      </c>
    </row>
    <row r="133">
      <c r="A133" t="inlineStr">
        <is>
          <t>Space Wolves</t>
        </is>
      </c>
      <c r="B133" t="inlineStr">
        <is>
          <t>Skyclaws</t>
        </is>
      </c>
      <c r="G133">
        <f>IF(F133="","",F133-C133)</f>
        <v/>
      </c>
    </row>
    <row r="134">
      <c r="A134" t="inlineStr">
        <is>
          <t>Space Wolves</t>
        </is>
      </c>
      <c r="B134" t="inlineStr">
        <is>
          <t>Space Wolves Venerable Dreadnought</t>
        </is>
      </c>
      <c r="G134">
        <f>IF(F134="","",F134-C134)</f>
        <v/>
      </c>
    </row>
    <row r="135">
      <c r="A135" t="inlineStr">
        <is>
          <t>Space Wolves</t>
        </is>
      </c>
      <c r="B135" t="inlineStr">
        <is>
          <t>Stormfang Gunship</t>
        </is>
      </c>
      <c r="G135">
        <f>IF(F135="","",F135-C135)</f>
        <v/>
      </c>
    </row>
    <row r="136">
      <c r="A136" t="inlineStr">
        <is>
          <t>Space Wolves</t>
        </is>
      </c>
      <c r="B136" t="inlineStr">
        <is>
          <t>Stormwolf</t>
        </is>
      </c>
      <c r="G136">
        <f>IF(F136="","",F136-C136)</f>
        <v/>
      </c>
    </row>
    <row r="137">
      <c r="A137" t="inlineStr">
        <is>
          <t>Space Wolves</t>
        </is>
      </c>
      <c r="B137" t="inlineStr">
        <is>
          <t>Thunderwolf Cavalry</t>
        </is>
      </c>
      <c r="G137">
        <f>IF(F137="","",F137-C137)</f>
        <v/>
      </c>
    </row>
    <row r="138">
      <c r="A138" t="inlineStr">
        <is>
          <t>Space Wolves</t>
        </is>
      </c>
      <c r="B138" t="inlineStr">
        <is>
          <t>Ulrik the Slayer</t>
        </is>
      </c>
      <c r="G138">
        <f>IF(F138="","",F138-C138)</f>
        <v/>
      </c>
    </row>
    <row r="139">
      <c r="A139" t="inlineStr">
        <is>
          <t>Space Wolves</t>
        </is>
      </c>
      <c r="B139" t="inlineStr">
        <is>
          <t>Wulfen</t>
        </is>
      </c>
      <c r="G139">
        <f>IF(F139="","",F139-C139)</f>
        <v/>
      </c>
    </row>
    <row r="140">
      <c r="A140" t="inlineStr">
        <is>
          <t>Space Wolves</t>
        </is>
      </c>
      <c r="B140" t="inlineStr">
        <is>
          <t>Wulfen Dreadnought</t>
        </is>
      </c>
      <c r="G140">
        <f>IF(F140="","",F140-C140)</f>
        <v/>
      </c>
    </row>
    <row r="141">
      <c r="A141" t="inlineStr">
        <is>
          <t>Black Templars</t>
        </is>
      </c>
      <c r="B141" t="inlineStr">
        <is>
          <t>Castellan</t>
        </is>
      </c>
      <c r="G141">
        <f>IF(F141="","",F141-C141)</f>
        <v/>
      </c>
    </row>
    <row r="142">
      <c r="A142" t="inlineStr">
        <is>
          <t>Black Templars</t>
        </is>
      </c>
      <c r="B142" t="inlineStr">
        <is>
          <t>Chaplain Grimaldus</t>
        </is>
      </c>
      <c r="G142">
        <f>IF(F142="","",F142-C142)</f>
        <v/>
      </c>
    </row>
    <row r="143">
      <c r="A143" t="inlineStr">
        <is>
          <t>Black Templars</t>
        </is>
      </c>
      <c r="B143" t="inlineStr">
        <is>
          <t>Crusader Squad</t>
        </is>
      </c>
      <c r="G143">
        <f>IF(F143="","",F143-C143)</f>
        <v/>
      </c>
    </row>
    <row r="144">
      <c r="A144" t="inlineStr">
        <is>
          <t>Black Templars</t>
        </is>
      </c>
      <c r="B144" t="inlineStr">
        <is>
          <t>Emperor's Champion</t>
        </is>
      </c>
      <c r="G144">
        <f>IF(F144="","",F144-C144)</f>
        <v/>
      </c>
    </row>
    <row r="145">
      <c r="A145" t="inlineStr">
        <is>
          <t>Black Templars</t>
        </is>
      </c>
      <c r="B145" t="inlineStr">
        <is>
          <t>Helbrecht</t>
        </is>
      </c>
      <c r="G145">
        <f>IF(F145="","",F145-C145)</f>
        <v/>
      </c>
    </row>
    <row r="146">
      <c r="A146" t="inlineStr">
        <is>
          <t>Black Templars</t>
        </is>
      </c>
      <c r="B146" t="inlineStr">
        <is>
          <t>Primaris Crusader Squad</t>
        </is>
      </c>
      <c r="G146">
        <f>IF(F146="","",F146-C146)</f>
        <v/>
      </c>
    </row>
    <row r="147">
      <c r="A147" t="inlineStr">
        <is>
          <t>Black Templars</t>
        </is>
      </c>
      <c r="B147" t="inlineStr">
        <is>
          <t>Primaris Sword Brethren</t>
        </is>
      </c>
      <c r="G147">
        <f>IF(F147="","",F147-C147)</f>
        <v/>
      </c>
    </row>
    <row r="148">
      <c r="A148" t="inlineStr">
        <is>
          <t>Black Templars</t>
        </is>
      </c>
      <c r="B148" t="inlineStr">
        <is>
          <t>Black Templars Gladiator Lancer</t>
        </is>
      </c>
      <c r="G148">
        <f>IF(F148="","",F148-C148)</f>
        <v/>
      </c>
    </row>
    <row r="149">
      <c r="A149" t="inlineStr">
        <is>
          <t>Black Templars</t>
        </is>
      </c>
      <c r="B149" t="inlineStr">
        <is>
          <t>Black Templars Impulsor</t>
        </is>
      </c>
      <c r="G149">
        <f>IF(F149="","",F149-C149)</f>
        <v/>
      </c>
    </row>
    <row r="150">
      <c r="A150" t="inlineStr">
        <is>
          <t>Black Templars</t>
        </is>
      </c>
      <c r="B150" t="inlineStr">
        <is>
          <t>Black Templars Repulsor</t>
        </is>
      </c>
      <c r="G150">
        <f>IF(F150="","",F150-C150)</f>
        <v/>
      </c>
    </row>
    <row r="151">
      <c r="A151" t="inlineStr">
        <is>
          <t>Black Templars</t>
        </is>
      </c>
      <c r="B151" t="inlineStr">
        <is>
          <t>Black Templars Repulsor Executioner</t>
        </is>
      </c>
      <c r="G151">
        <f>IF(F151="","",F151-C151)</f>
        <v/>
      </c>
    </row>
    <row r="152">
      <c r="A152" t="inlineStr">
        <is>
          <t>Deathwatch</t>
        </is>
      </c>
      <c r="B152" t="inlineStr">
        <is>
          <t>Corvus Blackstar</t>
        </is>
      </c>
      <c r="G152">
        <f>IF(F152="","",F152-C152)</f>
        <v/>
      </c>
    </row>
    <row r="153">
      <c r="A153" t="inlineStr">
        <is>
          <t>Deathwatch</t>
        </is>
      </c>
      <c r="B153" t="inlineStr">
        <is>
          <t>Deathwatch Terminator Squad</t>
        </is>
      </c>
      <c r="G153">
        <f>IF(F153="","",F153-C153)</f>
        <v/>
      </c>
    </row>
    <row r="154">
      <c r="A154" t="inlineStr">
        <is>
          <t>Deathwatch</t>
        </is>
      </c>
      <c r="B154" t="inlineStr">
        <is>
          <t>Fortis Kill Team</t>
        </is>
      </c>
      <c r="G154">
        <f>IF(F154="","",F154-C154)</f>
        <v/>
      </c>
    </row>
    <row r="155">
      <c r="A155" t="inlineStr">
        <is>
          <t>Deathwatch</t>
        </is>
      </c>
      <c r="B155" t="inlineStr">
        <is>
          <t>Indomitor Kill Team</t>
        </is>
      </c>
      <c r="G155">
        <f>IF(F155="","",F155-C155)</f>
        <v/>
      </c>
    </row>
    <row r="156">
      <c r="A156" t="inlineStr">
        <is>
          <t>Deathwatch</t>
        </is>
      </c>
      <c r="B156" t="inlineStr">
        <is>
          <t>Kill Team Cassius</t>
        </is>
      </c>
      <c r="G156">
        <f>IF(F156="","",F156-C156)</f>
        <v/>
      </c>
    </row>
    <row r="157">
      <c r="A157" t="inlineStr">
        <is>
          <t>Deathwatch</t>
        </is>
      </c>
      <c r="B157" t="inlineStr">
        <is>
          <t>Proteus Kill Team</t>
        </is>
      </c>
      <c r="G157">
        <f>IF(F157="","",F157-C157)</f>
        <v/>
      </c>
    </row>
    <row r="158">
      <c r="A158" t="inlineStr">
        <is>
          <t>Deathwatch</t>
        </is>
      </c>
      <c r="B158" t="inlineStr">
        <is>
          <t>Spectrus Kill Team</t>
        </is>
      </c>
      <c r="G158">
        <f>IF(F158="","",F158-C158)</f>
        <v/>
      </c>
    </row>
    <row r="159">
      <c r="A159" t="inlineStr">
        <is>
          <t>Deathwatch</t>
        </is>
      </c>
      <c r="B159" t="inlineStr">
        <is>
          <t>Veteran Squad</t>
        </is>
      </c>
      <c r="G159">
        <f>IF(F159="","",F159-C159)</f>
        <v/>
      </c>
    </row>
    <row r="160">
      <c r="A160" t="inlineStr">
        <is>
          <t>Deathwatch</t>
        </is>
      </c>
      <c r="B160" t="inlineStr">
        <is>
          <t>Watch Captain Artemis</t>
        </is>
      </c>
      <c r="G160">
        <f>IF(F160="","",F160-C160)</f>
        <v/>
      </c>
    </row>
    <row r="161">
      <c r="A161" t="inlineStr">
        <is>
          <t>Deathwatch</t>
        </is>
      </c>
      <c r="B161" t="inlineStr">
        <is>
          <t>Watch Master</t>
        </is>
      </c>
      <c r="G161">
        <f>IF(F161="","",F161-C161)</f>
        <v/>
      </c>
    </row>
    <row r="162">
      <c r="A162" t="inlineStr">
        <is>
          <t>Grey Knights</t>
        </is>
      </c>
      <c r="B162" t="inlineStr">
        <is>
          <t>Brother-Captain</t>
        </is>
      </c>
      <c r="G162">
        <f>IF(F162="","",F162-C162)</f>
        <v/>
      </c>
    </row>
    <row r="163">
      <c r="A163" t="inlineStr">
        <is>
          <t>Grey Knights</t>
        </is>
      </c>
      <c r="B163" t="inlineStr">
        <is>
          <t>Brotherhood Champion</t>
        </is>
      </c>
      <c r="G163">
        <f>IF(F163="","",F163-C163)</f>
        <v/>
      </c>
    </row>
    <row r="164">
      <c r="A164" t="inlineStr">
        <is>
          <t>Grey Knights</t>
        </is>
      </c>
      <c r="B164" t="inlineStr">
        <is>
          <t>Brotherhood Chaplain</t>
        </is>
      </c>
      <c r="G164">
        <f>IF(F164="","",F164-C164)</f>
        <v/>
      </c>
    </row>
    <row r="165">
      <c r="A165" t="inlineStr">
        <is>
          <t>Grey Knights</t>
        </is>
      </c>
      <c r="B165" t="inlineStr">
        <is>
          <t>Brotherhood Librarian</t>
        </is>
      </c>
      <c r="G165">
        <f>IF(F165="","",F165-C165)</f>
        <v/>
      </c>
    </row>
    <row r="166">
      <c r="A166" t="inlineStr">
        <is>
          <t>Grey Knights</t>
        </is>
      </c>
      <c r="B166" t="inlineStr">
        <is>
          <t>Brotherhood Techmarine</t>
        </is>
      </c>
      <c r="G166">
        <f>IF(F166="","",F166-C166)</f>
        <v/>
      </c>
    </row>
    <row r="167">
      <c r="A167" t="inlineStr">
        <is>
          <t>Grey Knights</t>
        </is>
      </c>
      <c r="B167" t="inlineStr">
        <is>
          <t>Castellan Crowe</t>
        </is>
      </c>
      <c r="G167">
        <f>IF(F167="","",F167-C167)</f>
        <v/>
      </c>
    </row>
    <row r="168">
      <c r="A168" t="inlineStr">
        <is>
          <t>Grey Knights</t>
        </is>
      </c>
      <c r="B168" t="inlineStr">
        <is>
          <t>Grand Master</t>
        </is>
      </c>
      <c r="G168">
        <f>IF(F168="","",F168-C168)</f>
        <v/>
      </c>
    </row>
    <row r="169">
      <c r="A169" t="inlineStr">
        <is>
          <t>Grey Knights</t>
        </is>
      </c>
      <c r="B169" t="inlineStr">
        <is>
          <t>Grand Master in Nemesis Dreadknight</t>
        </is>
      </c>
      <c r="G169">
        <f>IF(F169="","",F169-C169)</f>
        <v/>
      </c>
    </row>
    <row r="170">
      <c r="A170" t="inlineStr">
        <is>
          <t>Grey Knights</t>
        </is>
      </c>
      <c r="B170" t="inlineStr">
        <is>
          <t>Interceptors</t>
        </is>
      </c>
      <c r="G170">
        <f>IF(F170="","",F170-C170)</f>
        <v/>
      </c>
    </row>
    <row r="171">
      <c r="A171" t="inlineStr">
        <is>
          <t>Grey Knights</t>
        </is>
      </c>
      <c r="B171" t="inlineStr">
        <is>
          <t>Kaldor Draigo</t>
        </is>
      </c>
      <c r="G171">
        <f>IF(F171="","",F171-C171)</f>
        <v/>
      </c>
    </row>
    <row r="172">
      <c r="A172" t="inlineStr">
        <is>
          <t>Grey Knights</t>
        </is>
      </c>
      <c r="B172" t="inlineStr">
        <is>
          <t>Nemesis Dreadknight</t>
        </is>
      </c>
      <c r="G172">
        <f>IF(F172="","",F172-C172)</f>
        <v/>
      </c>
    </row>
    <row r="173">
      <c r="A173" t="inlineStr">
        <is>
          <t>Grey Knights</t>
        </is>
      </c>
      <c r="B173" t="inlineStr">
        <is>
          <t>Paladin Ancient</t>
        </is>
      </c>
      <c r="G173">
        <f>IF(F173="","",F173-C173)</f>
        <v/>
      </c>
    </row>
    <row r="174">
      <c r="A174" t="inlineStr">
        <is>
          <t>Grey Knights</t>
        </is>
      </c>
      <c r="B174" t="inlineStr">
        <is>
          <t>Paladin Squad</t>
        </is>
      </c>
      <c r="G174">
        <f>IF(F174="","",F174-C174)</f>
        <v/>
      </c>
    </row>
    <row r="175">
      <c r="A175" t="inlineStr">
        <is>
          <t>Grey Knights</t>
        </is>
      </c>
      <c r="B175" t="inlineStr">
        <is>
          <t>Purgation Squad</t>
        </is>
      </c>
      <c r="G175">
        <f>IF(F175="","",F175-C175)</f>
        <v/>
      </c>
    </row>
    <row r="176">
      <c r="A176" t="inlineStr">
        <is>
          <t>Grey Knights</t>
        </is>
      </c>
      <c r="B176" t="inlineStr">
        <is>
          <t>Purifier Squad</t>
        </is>
      </c>
      <c r="G176">
        <f>IF(F176="","",F176-C176)</f>
        <v/>
      </c>
    </row>
    <row r="177">
      <c r="A177" t="inlineStr">
        <is>
          <t>Grey Knights</t>
        </is>
      </c>
      <c r="B177" t="inlineStr">
        <is>
          <t>Servitors</t>
        </is>
      </c>
      <c r="G177">
        <f>IF(F177="","",F177-C177)</f>
        <v/>
      </c>
    </row>
    <row r="178">
      <c r="A178" t="inlineStr">
        <is>
          <t>Grey Knights</t>
        </is>
      </c>
      <c r="B178" t="inlineStr">
        <is>
          <t>Strike Squad</t>
        </is>
      </c>
      <c r="G178">
        <f>IF(F178="","",F178-C178)</f>
        <v/>
      </c>
    </row>
    <row r="179">
      <c r="A179" t="inlineStr">
        <is>
          <t>Grey Knights</t>
        </is>
      </c>
      <c r="B179" t="inlineStr">
        <is>
          <t>Terminators</t>
        </is>
      </c>
      <c r="G179">
        <f>IF(F179="","",F179-C179)</f>
        <v/>
      </c>
    </row>
    <row r="180">
      <c r="A180" t="inlineStr">
        <is>
          <t>Grey Knights</t>
        </is>
      </c>
      <c r="B180" t="inlineStr">
        <is>
          <t>Venerable Dreadnought</t>
        </is>
      </c>
      <c r="G180">
        <f>IF(F180="","",F180-C180)</f>
        <v/>
      </c>
    </row>
    <row r="181">
      <c r="A181" t="inlineStr">
        <is>
          <t>Adeptus Custodes</t>
        </is>
      </c>
      <c r="B181" t="inlineStr">
        <is>
          <t>Aleya</t>
        </is>
      </c>
      <c r="G181">
        <f>IF(F181="","",F181-C181)</f>
        <v/>
      </c>
    </row>
    <row r="182">
      <c r="A182" t="inlineStr">
        <is>
          <t>Adeptus Custodes</t>
        </is>
      </c>
      <c r="B182" t="inlineStr">
        <is>
          <t>Allarus Custodians</t>
        </is>
      </c>
      <c r="G182">
        <f>IF(F182="","",F182-C182)</f>
        <v/>
      </c>
    </row>
    <row r="183">
      <c r="A183" t="inlineStr">
        <is>
          <t>Adeptus Custodes</t>
        </is>
      </c>
      <c r="B183" t="inlineStr">
        <is>
          <t>Blade Champion</t>
        </is>
      </c>
      <c r="G183">
        <f>IF(F183="","",F183-C183)</f>
        <v/>
      </c>
    </row>
    <row r="184">
      <c r="A184" t="inlineStr">
        <is>
          <t>Adeptus Custodes</t>
        </is>
      </c>
      <c r="B184" t="inlineStr">
        <is>
          <t>Custodian Guard</t>
        </is>
      </c>
      <c r="G184">
        <f>IF(F184="","",F184-C184)</f>
        <v/>
      </c>
    </row>
    <row r="185">
      <c r="A185" t="inlineStr">
        <is>
          <t>Adeptus Custodes</t>
        </is>
      </c>
      <c r="B185" t="inlineStr">
        <is>
          <t>Custodian Wardens</t>
        </is>
      </c>
      <c r="G185">
        <f>IF(F185="","",F185-C185)</f>
        <v/>
      </c>
    </row>
    <row r="186">
      <c r="A186" t="inlineStr">
        <is>
          <t>Adeptus Custodes</t>
        </is>
      </c>
      <c r="B186" t="inlineStr">
        <is>
          <t>Knight-Centura</t>
        </is>
      </c>
      <c r="G186">
        <f>IF(F186="","",F186-C186)</f>
        <v/>
      </c>
    </row>
    <row r="187">
      <c r="A187" t="inlineStr">
        <is>
          <t>Adeptus Custodes</t>
        </is>
      </c>
      <c r="B187" t="inlineStr">
        <is>
          <t>Prosecutors</t>
        </is>
      </c>
      <c r="G187">
        <f>IF(F187="","",F187-C187)</f>
        <v/>
      </c>
    </row>
    <row r="188">
      <c r="A188" t="inlineStr">
        <is>
          <t>Adeptus Custodes</t>
        </is>
      </c>
      <c r="B188" t="inlineStr">
        <is>
          <t>Shield-Captain</t>
        </is>
      </c>
      <c r="G188">
        <f>IF(F188="","",F188-C188)</f>
        <v/>
      </c>
    </row>
    <row r="189">
      <c r="A189" t="inlineStr">
        <is>
          <t>Adeptus Custodes</t>
        </is>
      </c>
      <c r="B189" t="inlineStr">
        <is>
          <t>Shield-Captain in Allarus Terminator Armour</t>
        </is>
      </c>
      <c r="G189">
        <f>IF(F189="","",F189-C189)</f>
        <v/>
      </c>
    </row>
    <row r="190">
      <c r="A190" t="inlineStr">
        <is>
          <t>Adeptus Custodes</t>
        </is>
      </c>
      <c r="B190" t="inlineStr">
        <is>
          <t>Shield-Captain on Dawneagle Jetbike</t>
        </is>
      </c>
      <c r="G190">
        <f>IF(F190="","",F190-C190)</f>
        <v/>
      </c>
    </row>
    <row r="191">
      <c r="A191" t="inlineStr">
        <is>
          <t>Adeptus Custodes</t>
        </is>
      </c>
      <c r="B191" t="inlineStr">
        <is>
          <t>Trajann Valoris</t>
        </is>
      </c>
      <c r="G191">
        <f>IF(F191="","",F191-C191)</f>
        <v/>
      </c>
    </row>
    <row r="192">
      <c r="A192" t="inlineStr">
        <is>
          <t>Adeptus Custodes</t>
        </is>
      </c>
      <c r="B192" t="inlineStr">
        <is>
          <t>Valerian</t>
        </is>
      </c>
      <c r="G192">
        <f>IF(F192="","",F192-C192)</f>
        <v/>
      </c>
    </row>
    <row r="193">
      <c r="A193" t="inlineStr">
        <is>
          <t>Adeptus Custodes</t>
        </is>
      </c>
      <c r="B193" t="inlineStr">
        <is>
          <t>Vertus Praetors</t>
        </is>
      </c>
      <c r="G193">
        <f>IF(F193="","",F193-C193)</f>
        <v/>
      </c>
    </row>
    <row r="194">
      <c r="A194" t="inlineStr">
        <is>
          <t>Adeptus Custodes</t>
        </is>
      </c>
      <c r="B194" t="inlineStr">
        <is>
          <t>Vigilators</t>
        </is>
      </c>
      <c r="G194">
        <f>IF(F194="","",F194-C194)</f>
        <v/>
      </c>
    </row>
    <row r="195">
      <c r="A195" t="inlineStr">
        <is>
          <t>Adeptus Custodes</t>
        </is>
      </c>
      <c r="B195" t="inlineStr">
        <is>
          <t>Witchseekers</t>
        </is>
      </c>
      <c r="G195">
        <f>IF(F195="","",F195-C195)</f>
        <v/>
      </c>
    </row>
    <row r="196">
      <c r="A196" t="inlineStr">
        <is>
          <t>Adeptus Custodes</t>
        </is>
      </c>
      <c r="B196" t="inlineStr">
        <is>
          <t>Venerable Contemptor Dreadnought</t>
        </is>
      </c>
      <c r="G196">
        <f>IF(F196="","",F196-C196)</f>
        <v/>
      </c>
    </row>
    <row r="197">
      <c r="A197" t="inlineStr">
        <is>
          <t>Adeptus Custodes</t>
        </is>
      </c>
      <c r="B197" t="inlineStr">
        <is>
          <t>Venerable Land Raider</t>
        </is>
      </c>
      <c r="G197">
        <f>IF(F197="","",F197-C197)</f>
        <v/>
      </c>
    </row>
    <row r="198">
      <c r="A198" t="inlineStr">
        <is>
          <t>Adepta Sororitas</t>
        </is>
      </c>
      <c r="B198" t="inlineStr">
        <is>
          <t>Aestred Thurga and Agathae Dolan</t>
        </is>
      </c>
      <c r="G198">
        <f>IF(F198="","",F198-C198)</f>
        <v/>
      </c>
    </row>
    <row r="199">
      <c r="A199" t="inlineStr">
        <is>
          <t>Adepta Sororitas</t>
        </is>
      </c>
      <c r="B199" t="inlineStr">
        <is>
          <t>Arco-flagellants</t>
        </is>
      </c>
      <c r="G199">
        <f>IF(F199="","",F199-C199)</f>
        <v/>
      </c>
    </row>
    <row r="200">
      <c r="A200" t="inlineStr">
        <is>
          <t>Adepta Sororitas</t>
        </is>
      </c>
      <c r="B200" t="inlineStr">
        <is>
          <t>Battle Sisters Squad</t>
        </is>
      </c>
      <c r="G200">
        <f>IF(F200="","",F200-C200)</f>
        <v/>
      </c>
    </row>
    <row r="201">
      <c r="A201" t="inlineStr">
        <is>
          <t>Adepta Sororitas</t>
        </is>
      </c>
      <c r="B201" t="inlineStr">
        <is>
          <t>Canoness</t>
        </is>
      </c>
      <c r="G201">
        <f>IF(F201="","",F201-C201)</f>
        <v/>
      </c>
    </row>
    <row r="202">
      <c r="A202" t="inlineStr">
        <is>
          <t>Adepta Sororitas</t>
        </is>
      </c>
      <c r="B202" t="inlineStr">
        <is>
          <t>Castigator</t>
        </is>
      </c>
      <c r="G202">
        <f>IF(F202="","",F202-C202)</f>
        <v/>
      </c>
    </row>
    <row r="203">
      <c r="A203" t="inlineStr">
        <is>
          <t>Adepta Sororitas</t>
        </is>
      </c>
      <c r="B203" t="inlineStr">
        <is>
          <t>Celestian Sacresants</t>
        </is>
      </c>
      <c r="G203">
        <f>IF(F203="","",F203-C203)</f>
        <v/>
      </c>
    </row>
    <row r="204">
      <c r="A204" t="inlineStr">
        <is>
          <t>Adepta Sororitas</t>
        </is>
      </c>
      <c r="B204" t="inlineStr">
        <is>
          <t>Daemonifuge</t>
        </is>
      </c>
      <c r="G204">
        <f>IF(F204="","",F204-C204)</f>
        <v/>
      </c>
    </row>
    <row r="205">
      <c r="A205" t="inlineStr">
        <is>
          <t>Adepta Sororitas</t>
        </is>
      </c>
      <c r="B205" t="inlineStr">
        <is>
          <t>Death Cult Assassins</t>
        </is>
      </c>
      <c r="G205">
        <f>IF(F205="","",F205-C205)</f>
        <v/>
      </c>
    </row>
    <row r="206">
      <c r="A206" t="inlineStr">
        <is>
          <t>Adepta Sororitas</t>
        </is>
      </c>
      <c r="B206" t="inlineStr">
        <is>
          <t>Dialogus</t>
        </is>
      </c>
      <c r="G206">
        <f>IF(F206="","",F206-C206)</f>
        <v/>
      </c>
    </row>
    <row r="207">
      <c r="A207" t="inlineStr">
        <is>
          <t>Adepta Sororitas</t>
        </is>
      </c>
      <c r="B207" t="inlineStr">
        <is>
          <t>Dogmata</t>
        </is>
      </c>
      <c r="G207">
        <f>IF(F207="","",F207-C207)</f>
        <v/>
      </c>
    </row>
    <row r="208">
      <c r="A208" t="inlineStr">
        <is>
          <t>Adepta Sororitas</t>
        </is>
      </c>
      <c r="B208" t="inlineStr">
        <is>
          <t>Dominion Squad</t>
        </is>
      </c>
      <c r="G208">
        <f>IF(F208="","",F208-C208)</f>
        <v/>
      </c>
    </row>
    <row r="209">
      <c r="A209" t="inlineStr">
        <is>
          <t>Adepta Sororitas</t>
        </is>
      </c>
      <c r="B209" t="inlineStr">
        <is>
          <t>Exorcist</t>
        </is>
      </c>
      <c r="G209">
        <f>IF(F209="","",F209-C209)</f>
        <v/>
      </c>
    </row>
    <row r="210">
      <c r="A210" t="inlineStr">
        <is>
          <t>Adepta Sororitas</t>
        </is>
      </c>
      <c r="B210" t="inlineStr">
        <is>
          <t>Hospitaller</t>
        </is>
      </c>
      <c r="G210">
        <f>IF(F210="","",F210-C210)</f>
        <v/>
      </c>
    </row>
    <row r="211">
      <c r="A211" t="inlineStr">
        <is>
          <t>Adepta Sororitas</t>
        </is>
      </c>
      <c r="B211" t="inlineStr">
        <is>
          <t>Imagifier</t>
        </is>
      </c>
      <c r="G211">
        <f>IF(F211="","",F211-C211)</f>
        <v/>
      </c>
    </row>
    <row r="212">
      <c r="A212" t="inlineStr">
        <is>
          <t>Adepta Sororitas</t>
        </is>
      </c>
      <c r="B212" t="inlineStr">
        <is>
          <t>Immolator</t>
        </is>
      </c>
      <c r="G212">
        <f>IF(F212="","",F212-C212)</f>
        <v/>
      </c>
    </row>
    <row r="213">
      <c r="A213" t="inlineStr">
        <is>
          <t>Adepta Sororitas</t>
        </is>
      </c>
      <c r="B213" t="inlineStr">
        <is>
          <t>Junith Eruita</t>
        </is>
      </c>
      <c r="G213">
        <f>IF(F213="","",F213-C213)</f>
        <v/>
      </c>
    </row>
    <row r="214">
      <c r="A214" t="inlineStr">
        <is>
          <t>Adepta Sororitas</t>
        </is>
      </c>
      <c r="B214" t="inlineStr">
        <is>
          <t>Ministorum Priest</t>
        </is>
      </c>
      <c r="G214">
        <f>IF(F214="","",F214-C214)</f>
        <v/>
      </c>
    </row>
    <row r="215">
      <c r="A215" t="inlineStr">
        <is>
          <t>Adepta Sororitas</t>
        </is>
      </c>
      <c r="B215" t="inlineStr">
        <is>
          <t>Missionary</t>
        </is>
      </c>
      <c r="G215">
        <f>IF(F215="","",F215-C215)</f>
        <v/>
      </c>
    </row>
    <row r="216">
      <c r="A216" t="inlineStr">
        <is>
          <t>Adepta Sororitas</t>
        </is>
      </c>
      <c r="B216" t="inlineStr">
        <is>
          <t>Mortifiers</t>
        </is>
      </c>
      <c r="G216">
        <f>IF(F216="","",F216-C216)</f>
        <v/>
      </c>
    </row>
    <row r="217">
      <c r="A217" t="inlineStr">
        <is>
          <t>Adepta Sororitas</t>
        </is>
      </c>
      <c r="B217" t="inlineStr">
        <is>
          <t>Morvenn Vahl</t>
        </is>
      </c>
      <c r="G217">
        <f>IF(F217="","",F217-C217)</f>
        <v/>
      </c>
    </row>
    <row r="218">
      <c r="A218" t="inlineStr">
        <is>
          <t>Adepta Sororitas</t>
        </is>
      </c>
      <c r="B218" t="inlineStr">
        <is>
          <t>Palatine</t>
        </is>
      </c>
      <c r="G218">
        <f>IF(F218="","",F218-C218)</f>
        <v/>
      </c>
    </row>
    <row r="219">
      <c r="A219" t="inlineStr">
        <is>
          <t>Adepta Sororitas</t>
        </is>
      </c>
      <c r="B219" t="inlineStr">
        <is>
          <t>Paragon Warsuits</t>
        </is>
      </c>
      <c r="G219">
        <f>IF(F219="","",F219-C219)</f>
        <v/>
      </c>
    </row>
    <row r="220">
      <c r="A220" t="inlineStr">
        <is>
          <t>Adepta Sororitas</t>
        </is>
      </c>
      <c r="B220" t="inlineStr">
        <is>
          <t>Penitent Engines</t>
        </is>
      </c>
      <c r="G220">
        <f>IF(F220="","",F220-C220)</f>
        <v/>
      </c>
    </row>
    <row r="221">
      <c r="A221" t="inlineStr">
        <is>
          <t>Adepta Sororitas</t>
        </is>
      </c>
      <c r="B221" t="inlineStr">
        <is>
          <t>Preacher</t>
        </is>
      </c>
      <c r="G221">
        <f>IF(F221="","",F221-C221)</f>
        <v/>
      </c>
    </row>
    <row r="222">
      <c r="A222" t="inlineStr">
        <is>
          <t>Adepta Sororitas</t>
        </is>
      </c>
      <c r="B222" t="inlineStr">
        <is>
          <t>Retributor Squad</t>
        </is>
      </c>
      <c r="G222">
        <f>IF(F222="","",F222-C222)</f>
        <v/>
      </c>
    </row>
    <row r="223">
      <c r="A223" t="inlineStr">
        <is>
          <t>Adepta Sororitas</t>
        </is>
      </c>
      <c r="B223" t="inlineStr">
        <is>
          <t>Rhino</t>
        </is>
      </c>
      <c r="G223">
        <f>IF(F223="","",F223-C223)</f>
        <v/>
      </c>
    </row>
    <row r="224">
      <c r="A224" t="inlineStr">
        <is>
          <t>Adepta Sororitas</t>
        </is>
      </c>
      <c r="B224" t="inlineStr">
        <is>
          <t>Saint Celestine</t>
        </is>
      </c>
      <c r="G224">
        <f>IF(F224="","",F224-C224)</f>
        <v/>
      </c>
    </row>
    <row r="225">
      <c r="A225" t="inlineStr">
        <is>
          <t>Adepta Sororitas</t>
        </is>
      </c>
      <c r="B225" t="inlineStr">
        <is>
          <t>Seraphim Squad</t>
        </is>
      </c>
      <c r="G225">
        <f>IF(F225="","",F225-C225)</f>
        <v/>
      </c>
    </row>
    <row r="226">
      <c r="A226" t="inlineStr">
        <is>
          <t>Adepta Sororitas</t>
        </is>
      </c>
      <c r="B226" t="inlineStr">
        <is>
          <t>Triumph of Saint Katherine</t>
        </is>
      </c>
      <c r="G226">
        <f>IF(F226="","",F226-C226)</f>
        <v/>
      </c>
    </row>
    <row r="227">
      <c r="A227" t="inlineStr">
        <is>
          <t>Adepta Sororitas</t>
        </is>
      </c>
      <c r="B227" t="inlineStr">
        <is>
          <t>Zephyrim Squad</t>
        </is>
      </c>
      <c r="G227">
        <f>IF(F227="","",F227-C227)</f>
        <v/>
      </c>
    </row>
    <row r="228">
      <c r="A228" t="inlineStr">
        <is>
          <t>Adeptus Mechanicus</t>
        </is>
      </c>
      <c r="B228" t="inlineStr">
        <is>
          <t>Archaeopter Fusilave</t>
        </is>
      </c>
      <c r="G228">
        <f>IF(F228="","",F228-C228)</f>
        <v/>
      </c>
    </row>
    <row r="229">
      <c r="A229" t="inlineStr">
        <is>
          <t>Adeptus Mechanicus</t>
        </is>
      </c>
      <c r="B229" t="inlineStr">
        <is>
          <t>Archaeopter Stratoraptor</t>
        </is>
      </c>
      <c r="G229">
        <f>IF(F229="","",F229-C229)</f>
        <v/>
      </c>
    </row>
    <row r="230">
      <c r="A230" t="inlineStr">
        <is>
          <t>Adeptus Mechanicus</t>
        </is>
      </c>
      <c r="B230" t="inlineStr">
        <is>
          <t>Archaeopter Transvector</t>
        </is>
      </c>
      <c r="G230">
        <f>IF(F230="","",F230-C230)</f>
        <v/>
      </c>
    </row>
    <row r="231">
      <c r="A231" t="inlineStr">
        <is>
          <t>Adeptus Mechanicus</t>
        </is>
      </c>
      <c r="B231" t="inlineStr">
        <is>
          <t>Belisarius Cawl</t>
        </is>
      </c>
      <c r="G231">
        <f>IF(F231="","",F231-C231)</f>
        <v/>
      </c>
    </row>
    <row r="232">
      <c r="A232" t="inlineStr">
        <is>
          <t>Adeptus Mechanicus</t>
        </is>
      </c>
      <c r="B232" t="inlineStr">
        <is>
          <t>Corpuscarii Electro-Priests</t>
        </is>
      </c>
      <c r="G232">
        <f>IF(F232="","",F232-C232)</f>
        <v/>
      </c>
    </row>
    <row r="233">
      <c r="A233" t="inlineStr">
        <is>
          <t>Adeptus Mechanicus</t>
        </is>
      </c>
      <c r="B233" t="inlineStr">
        <is>
          <t>Cybernetica Datasmith</t>
        </is>
      </c>
      <c r="G233">
        <f>IF(F233="","",F233-C233)</f>
        <v/>
      </c>
    </row>
    <row r="234">
      <c r="A234" t="inlineStr">
        <is>
          <t>Adeptus Mechanicus</t>
        </is>
      </c>
      <c r="B234" t="inlineStr">
        <is>
          <t>Fulgurite Electro-Priests</t>
        </is>
      </c>
      <c r="G234">
        <f>IF(F234="","",F234-C234)</f>
        <v/>
      </c>
    </row>
    <row r="235">
      <c r="A235" t="inlineStr">
        <is>
          <t>Adeptus Mechanicus</t>
        </is>
      </c>
      <c r="B235" t="inlineStr">
        <is>
          <t>Ironstrider Ballistarii</t>
        </is>
      </c>
      <c r="G235">
        <f>IF(F235="","",F235-C235)</f>
        <v/>
      </c>
    </row>
    <row r="236">
      <c r="A236" t="inlineStr">
        <is>
          <t>Adeptus Mechanicus</t>
        </is>
      </c>
      <c r="B236" t="inlineStr">
        <is>
          <t>Kastelan Robots</t>
        </is>
      </c>
      <c r="G236">
        <f>IF(F236="","",F236-C236)</f>
        <v/>
      </c>
    </row>
    <row r="237">
      <c r="A237" t="inlineStr">
        <is>
          <t>Adeptus Mechanicus</t>
        </is>
      </c>
      <c r="B237" t="inlineStr">
        <is>
          <t>Kataphron Breachers</t>
        </is>
      </c>
      <c r="G237">
        <f>IF(F237="","",F237-C237)</f>
        <v/>
      </c>
    </row>
    <row r="238">
      <c r="A238" t="inlineStr">
        <is>
          <t>Adeptus Mechanicus</t>
        </is>
      </c>
      <c r="B238" t="inlineStr">
        <is>
          <t>Kataphron Destroyers</t>
        </is>
      </c>
      <c r="G238">
        <f>IF(F238="","",F238-C238)</f>
        <v/>
      </c>
    </row>
    <row r="239">
      <c r="A239" t="inlineStr">
        <is>
          <t>Adeptus Mechanicus</t>
        </is>
      </c>
      <c r="B239" t="inlineStr">
        <is>
          <t>Onager Dunecrawler</t>
        </is>
      </c>
      <c r="G239">
        <f>IF(F239="","",F239-C239)</f>
        <v/>
      </c>
    </row>
    <row r="240">
      <c r="A240" t="inlineStr">
        <is>
          <t>Adeptus Mechanicus</t>
        </is>
      </c>
      <c r="B240" t="inlineStr">
        <is>
          <t>Pteraxii Skystalkers</t>
        </is>
      </c>
      <c r="G240">
        <f>IF(F240="","",F240-C240)</f>
        <v/>
      </c>
    </row>
    <row r="241">
      <c r="A241" t="inlineStr">
        <is>
          <t>Adeptus Mechanicus</t>
        </is>
      </c>
      <c r="B241" t="inlineStr">
        <is>
          <t>Pteraxii Sterylizors</t>
        </is>
      </c>
      <c r="G241">
        <f>IF(F241="","",F241-C241)</f>
        <v/>
      </c>
    </row>
    <row r="242">
      <c r="A242" t="inlineStr">
        <is>
          <t>Adeptus Mechanicus</t>
        </is>
      </c>
      <c r="B242" t="inlineStr">
        <is>
          <t>Secutarii Hoplites</t>
        </is>
      </c>
      <c r="G242">
        <f>IF(F242="","",F242-C242)</f>
        <v/>
      </c>
    </row>
    <row r="243">
      <c r="A243" t="inlineStr">
        <is>
          <t>Adeptus Mechanicus</t>
        </is>
      </c>
      <c r="B243" t="inlineStr">
        <is>
          <t>Secutarii Peltasts</t>
        </is>
      </c>
      <c r="G243">
        <f>IF(F243="","",F243-C243)</f>
        <v/>
      </c>
    </row>
    <row r="244">
      <c r="A244" t="inlineStr">
        <is>
          <t>Adeptus Mechanicus</t>
        </is>
      </c>
      <c r="B244" t="inlineStr">
        <is>
          <t>Serberys Raiders</t>
        </is>
      </c>
      <c r="G244">
        <f>IF(F244="","",F244-C244)</f>
        <v/>
      </c>
    </row>
    <row r="245">
      <c r="A245" t="inlineStr">
        <is>
          <t>Adeptus Mechanicus</t>
        </is>
      </c>
      <c r="B245" t="inlineStr">
        <is>
          <t>Serberys Sulphurhounds</t>
        </is>
      </c>
      <c r="G245">
        <f>IF(F245="","",F245-C245)</f>
        <v/>
      </c>
    </row>
    <row r="246">
      <c r="A246" t="inlineStr">
        <is>
          <t>Adeptus Mechanicus</t>
        </is>
      </c>
      <c r="B246" t="inlineStr">
        <is>
          <t>Sicarian Infiltrators</t>
        </is>
      </c>
      <c r="G246">
        <f>IF(F246="","",F246-C246)</f>
        <v/>
      </c>
    </row>
    <row r="247">
      <c r="A247" t="inlineStr">
        <is>
          <t>Adeptus Mechanicus</t>
        </is>
      </c>
      <c r="B247" t="inlineStr">
        <is>
          <t>Sicarian Ruststalkers</t>
        </is>
      </c>
      <c r="G247">
        <f>IF(F247="","",F247-C247)</f>
        <v/>
      </c>
    </row>
    <row r="248">
      <c r="A248" t="inlineStr">
        <is>
          <t>Adeptus Mechanicus</t>
        </is>
      </c>
      <c r="B248" t="inlineStr">
        <is>
          <t>Skitarii Marshal</t>
        </is>
      </c>
      <c r="G248">
        <f>IF(F248="","",F248-C248)</f>
        <v/>
      </c>
    </row>
    <row r="249">
      <c r="A249" t="inlineStr">
        <is>
          <t>Adeptus Mechanicus</t>
        </is>
      </c>
      <c r="B249" t="inlineStr">
        <is>
          <t>Skitarii Rangers</t>
        </is>
      </c>
      <c r="G249">
        <f>IF(F249="","",F249-C249)</f>
        <v/>
      </c>
    </row>
    <row r="250">
      <c r="A250" t="inlineStr">
        <is>
          <t>Adeptus Mechanicus</t>
        </is>
      </c>
      <c r="B250" t="inlineStr">
        <is>
          <t>Skitarii Vanguard</t>
        </is>
      </c>
      <c r="G250">
        <f>IF(F250="","",F250-C250)</f>
        <v/>
      </c>
    </row>
    <row r="251">
      <c r="A251" t="inlineStr">
        <is>
          <t>Adeptus Mechanicus</t>
        </is>
      </c>
      <c r="B251" t="inlineStr">
        <is>
          <t>Skorpius Disintegrator</t>
        </is>
      </c>
      <c r="G251">
        <f>IF(F251="","",F251-C251)</f>
        <v/>
      </c>
    </row>
    <row r="252">
      <c r="A252" t="inlineStr">
        <is>
          <t>Adeptus Mechanicus</t>
        </is>
      </c>
      <c r="B252" t="inlineStr">
        <is>
          <t>Skorpius Dunerider</t>
        </is>
      </c>
      <c r="G252">
        <f>IF(F252="","",F252-C252)</f>
        <v/>
      </c>
    </row>
    <row r="253">
      <c r="A253" t="inlineStr">
        <is>
          <t>Adeptus Mechanicus</t>
        </is>
      </c>
      <c r="B253" t="inlineStr">
        <is>
          <t>Sydonian Dragoons</t>
        </is>
      </c>
      <c r="G253">
        <f>IF(F253="","",F253-C253)</f>
        <v/>
      </c>
    </row>
    <row r="254">
      <c r="A254" t="inlineStr">
        <is>
          <t>Adeptus Mechanicus</t>
        </is>
      </c>
      <c r="B254" t="inlineStr">
        <is>
          <t>Tech-Priest Dominus</t>
        </is>
      </c>
      <c r="G254">
        <f>IF(F254="","",F254-C254)</f>
        <v/>
      </c>
    </row>
    <row r="255">
      <c r="A255" t="inlineStr">
        <is>
          <t>Adeptus Mechanicus</t>
        </is>
      </c>
      <c r="B255" t="inlineStr">
        <is>
          <t>Tech-Priest Enginseer</t>
        </is>
      </c>
      <c r="G255">
        <f>IF(F255="","",F255-C255)</f>
        <v/>
      </c>
    </row>
    <row r="256">
      <c r="A256" t="inlineStr">
        <is>
          <t>Adeptus Mechanicus</t>
        </is>
      </c>
      <c r="B256" t="inlineStr">
        <is>
          <t>Tech-Priest Manipulus</t>
        </is>
      </c>
      <c r="G256">
        <f>IF(F256="","",F256-C256)</f>
        <v/>
      </c>
    </row>
    <row r="257">
      <c r="A257" t="inlineStr">
        <is>
          <t>Astra Militarum</t>
        </is>
      </c>
      <c r="B257" t="inlineStr">
        <is>
          <t>Armoured Sentinels</t>
        </is>
      </c>
      <c r="G257">
        <f>IF(F257="","",F257-C257)</f>
        <v/>
      </c>
    </row>
    <row r="258">
      <c r="A258" t="inlineStr">
        <is>
          <t>Astra Militarum</t>
        </is>
      </c>
      <c r="B258" t="inlineStr">
        <is>
          <t>Attilan Rough Riders</t>
        </is>
      </c>
      <c r="G258">
        <f>IF(F258="","",F258-C258)</f>
        <v/>
      </c>
    </row>
    <row r="259">
      <c r="A259" t="inlineStr">
        <is>
          <t>Astra Militarum</t>
        </is>
      </c>
      <c r="B259" t="inlineStr">
        <is>
          <t>Baneblade</t>
        </is>
      </c>
      <c r="G259">
        <f>IF(F259="","",F259-C259)</f>
        <v/>
      </c>
    </row>
    <row r="260">
      <c r="A260" t="inlineStr">
        <is>
          <t>Astra Militarum</t>
        </is>
      </c>
      <c r="B260" t="inlineStr">
        <is>
          <t>Banehammer</t>
        </is>
      </c>
      <c r="G260">
        <f>IF(F260="","",F260-C260)</f>
        <v/>
      </c>
    </row>
    <row r="261">
      <c r="A261" t="inlineStr">
        <is>
          <t>Astra Militarum</t>
        </is>
      </c>
      <c r="B261" t="inlineStr">
        <is>
          <t>Banesword</t>
        </is>
      </c>
      <c r="G261">
        <f>IF(F261="","",F261-C261)</f>
        <v/>
      </c>
    </row>
    <row r="262">
      <c r="A262" t="inlineStr">
        <is>
          <t>Astra Militarum</t>
        </is>
      </c>
      <c r="B262" t="inlineStr">
        <is>
          <t>Basilisk</t>
        </is>
      </c>
      <c r="G262">
        <f>IF(F262="","",F262-C262)</f>
        <v/>
      </c>
    </row>
    <row r="263">
      <c r="A263" t="inlineStr">
        <is>
          <t>Astra Militarum</t>
        </is>
      </c>
      <c r="B263" t="inlineStr">
        <is>
          <t>Bullgryn Squad</t>
        </is>
      </c>
      <c r="G263">
        <f>IF(F263="","",F263-C263)</f>
        <v/>
      </c>
    </row>
    <row r="264">
      <c r="A264" t="inlineStr">
        <is>
          <t>Astra Militarum</t>
        </is>
      </c>
      <c r="B264" t="inlineStr">
        <is>
          <t>Cadian Castellan</t>
        </is>
      </c>
      <c r="G264">
        <f>IF(F264="","",F264-C264)</f>
        <v/>
      </c>
    </row>
    <row r="265">
      <c r="A265" t="inlineStr">
        <is>
          <t>Astra Militarum</t>
        </is>
      </c>
      <c r="B265" t="inlineStr">
        <is>
          <t>Cadian Command Squad</t>
        </is>
      </c>
      <c r="G265">
        <f>IF(F265="","",F265-C265)</f>
        <v/>
      </c>
    </row>
    <row r="266">
      <c r="A266" t="inlineStr">
        <is>
          <t>Astra Militarum</t>
        </is>
      </c>
      <c r="B266" t="inlineStr">
        <is>
          <t>Cadian Shock Troops</t>
        </is>
      </c>
      <c r="G266">
        <f>IF(F266="","",F266-C266)</f>
        <v/>
      </c>
    </row>
    <row r="267">
      <c r="A267" t="inlineStr">
        <is>
          <t>Astra Militarum</t>
        </is>
      </c>
      <c r="B267" t="inlineStr">
        <is>
          <t>Catachan Jungle Fighters</t>
        </is>
      </c>
      <c r="G267">
        <f>IF(F267="","",F267-C267)</f>
        <v/>
      </c>
    </row>
    <row r="268">
      <c r="A268" t="inlineStr">
        <is>
          <t>Astra Militarum</t>
        </is>
      </c>
      <c r="B268" t="inlineStr">
        <is>
          <t>Chimera</t>
        </is>
      </c>
      <c r="G268">
        <f>IF(F268="","",F268-C268)</f>
        <v/>
      </c>
    </row>
    <row r="269">
      <c r="A269" t="inlineStr">
        <is>
          <t>Astra Militarum</t>
        </is>
      </c>
      <c r="B269" t="inlineStr">
        <is>
          <t>Commissar</t>
        </is>
      </c>
      <c r="G269">
        <f>IF(F269="","",F269-C269)</f>
        <v/>
      </c>
    </row>
    <row r="270">
      <c r="A270" t="inlineStr">
        <is>
          <t>Astra Militarum</t>
        </is>
      </c>
      <c r="B270" t="inlineStr">
        <is>
          <t>Death Korps Marshal</t>
        </is>
      </c>
      <c r="G270">
        <f>IF(F270="","",F270-C270)</f>
        <v/>
      </c>
    </row>
    <row r="271">
      <c r="A271" t="inlineStr">
        <is>
          <t>Astra Militarum</t>
        </is>
      </c>
      <c r="B271" t="inlineStr">
        <is>
          <t>Death Korps of Krieg</t>
        </is>
      </c>
      <c r="G271">
        <f>IF(F271="","",F271-C271)</f>
        <v/>
      </c>
    </row>
    <row r="272">
      <c r="A272" t="inlineStr">
        <is>
          <t>Astra Militarum</t>
        </is>
      </c>
      <c r="B272" t="inlineStr">
        <is>
          <t>Doomhammer</t>
        </is>
      </c>
      <c r="G272">
        <f>IF(F272="","",F272-C272)</f>
        <v/>
      </c>
    </row>
    <row r="273">
      <c r="A273" t="inlineStr">
        <is>
          <t>Astra Militarum</t>
        </is>
      </c>
      <c r="B273" t="inlineStr">
        <is>
          <t>Earthshaker Carriage Battery</t>
        </is>
      </c>
      <c r="G273">
        <f>IF(F273="","",F273-C273)</f>
        <v/>
      </c>
    </row>
    <row r="274">
      <c r="A274" t="inlineStr">
        <is>
          <t>Astra Militarum</t>
        </is>
      </c>
      <c r="B274" t="inlineStr">
        <is>
          <t>Field Ordnance Battery</t>
        </is>
      </c>
      <c r="G274">
        <f>IF(F274="","",F274-C274)</f>
        <v/>
      </c>
    </row>
    <row r="275">
      <c r="A275" t="inlineStr">
        <is>
          <t>Astra Militarum</t>
        </is>
      </c>
      <c r="B275" t="inlineStr">
        <is>
          <t>Gaunt's Ghosts</t>
        </is>
      </c>
      <c r="G275">
        <f>IF(F275="","",F275-C275)</f>
        <v/>
      </c>
    </row>
    <row r="276">
      <c r="A276" t="inlineStr">
        <is>
          <t>Astra Militarum</t>
        </is>
      </c>
      <c r="B276" t="inlineStr">
        <is>
          <t>Heavy Weapons Squad</t>
        </is>
      </c>
      <c r="G276">
        <f>IF(F276="","",F276-C276)</f>
        <v/>
      </c>
    </row>
    <row r="277">
      <c r="A277" t="inlineStr">
        <is>
          <t>Astra Militarum</t>
        </is>
      </c>
      <c r="B277" t="inlineStr">
        <is>
          <t>Hellhammer</t>
        </is>
      </c>
      <c r="G277">
        <f>IF(F277="","",F277-C277)</f>
        <v/>
      </c>
    </row>
    <row r="278">
      <c r="A278" t="inlineStr">
        <is>
          <t>Astra Militarum</t>
        </is>
      </c>
      <c r="B278" t="inlineStr">
        <is>
          <t>Hellhound</t>
        </is>
      </c>
      <c r="G278">
        <f>IF(F278="","",F278-C278)</f>
        <v/>
      </c>
    </row>
    <row r="279">
      <c r="A279" t="inlineStr">
        <is>
          <t>Astra Militarum</t>
        </is>
      </c>
      <c r="B279" t="inlineStr">
        <is>
          <t>Hydra</t>
        </is>
      </c>
      <c r="G279">
        <f>IF(F279="","",F279-C279)</f>
        <v/>
      </c>
    </row>
    <row r="280">
      <c r="A280" t="inlineStr">
        <is>
          <t>Astra Militarum</t>
        </is>
      </c>
      <c r="B280" t="inlineStr">
        <is>
          <t>Infantry Squad</t>
        </is>
      </c>
      <c r="G280">
        <f>IF(F280="","",F280-C280)</f>
        <v/>
      </c>
    </row>
    <row r="281">
      <c r="A281" t="inlineStr">
        <is>
          <t>Astra Militarum</t>
        </is>
      </c>
      <c r="B281" t="inlineStr">
        <is>
          <t>Kasrkin</t>
        </is>
      </c>
      <c r="G281">
        <f>IF(F281="","",F281-C281)</f>
        <v/>
      </c>
    </row>
    <row r="282">
      <c r="A282" t="inlineStr">
        <is>
          <t>Astra Militarum</t>
        </is>
      </c>
      <c r="B282" t="inlineStr">
        <is>
          <t>Leman Russ Battle Tank</t>
        </is>
      </c>
      <c r="G282">
        <f>IF(F282="","",F282-C282)</f>
        <v/>
      </c>
    </row>
    <row r="283">
      <c r="A283" t="inlineStr">
        <is>
          <t>Astra Militarum</t>
        </is>
      </c>
      <c r="B283" t="inlineStr">
        <is>
          <t>Leman Russ Demolisher</t>
        </is>
      </c>
      <c r="G283">
        <f>IF(F283="","",F283-C283)</f>
        <v/>
      </c>
    </row>
    <row r="284">
      <c r="A284" t="inlineStr">
        <is>
          <t>Astra Militarum</t>
        </is>
      </c>
      <c r="B284" t="inlineStr">
        <is>
          <t>Leman Russ Eradicator</t>
        </is>
      </c>
      <c r="G284">
        <f>IF(F284="","",F284-C284)</f>
        <v/>
      </c>
    </row>
    <row r="285">
      <c r="A285" t="inlineStr">
        <is>
          <t>Astra Militarum</t>
        </is>
      </c>
      <c r="B285" t="inlineStr">
        <is>
          <t>Leman Russ Executioner</t>
        </is>
      </c>
      <c r="G285">
        <f>IF(F285="","",F285-C285)</f>
        <v/>
      </c>
    </row>
    <row r="286">
      <c r="A286" t="inlineStr">
        <is>
          <t>Astra Militarum</t>
        </is>
      </c>
      <c r="B286" t="inlineStr">
        <is>
          <t>Leman Russ Exterminator</t>
        </is>
      </c>
      <c r="G286">
        <f>IF(F286="","",F286-C286)</f>
        <v/>
      </c>
    </row>
    <row r="287">
      <c r="A287" t="inlineStr">
        <is>
          <t>Astra Militarum</t>
        </is>
      </c>
      <c r="B287" t="inlineStr">
        <is>
          <t>Leman Russ Punisher</t>
        </is>
      </c>
      <c r="G287">
        <f>IF(F287="","",F287-C287)</f>
        <v/>
      </c>
    </row>
    <row r="288">
      <c r="A288" t="inlineStr">
        <is>
          <t>Astra Militarum</t>
        </is>
      </c>
      <c r="B288" t="inlineStr">
        <is>
          <t>Leman Russ Vanquisher</t>
        </is>
      </c>
      <c r="G288">
        <f>IF(F288="","",F288-C288)</f>
        <v/>
      </c>
    </row>
    <row r="289">
      <c r="A289" t="inlineStr">
        <is>
          <t>Astra Militarum</t>
        </is>
      </c>
      <c r="B289" t="inlineStr">
        <is>
          <t>Lord Solar Leontus</t>
        </is>
      </c>
      <c r="G289">
        <f>IF(F289="","",F289-C289)</f>
        <v/>
      </c>
    </row>
    <row r="290">
      <c r="A290" t="inlineStr">
        <is>
          <t>Astra Militarum</t>
        </is>
      </c>
      <c r="B290" t="inlineStr">
        <is>
          <t>Manticore</t>
        </is>
      </c>
      <c r="G290">
        <f>IF(F290="","",F290-C290)</f>
        <v/>
      </c>
    </row>
    <row r="291">
      <c r="A291" t="inlineStr">
        <is>
          <t>Astra Militarum</t>
        </is>
      </c>
      <c r="B291" t="inlineStr">
        <is>
          <t>Militarum Tempestus Command Squad</t>
        </is>
      </c>
      <c r="G291">
        <f>IF(F291="","",F291-C291)</f>
        <v/>
      </c>
    </row>
    <row r="292">
      <c r="A292" t="inlineStr">
        <is>
          <t>Astra Militarum</t>
        </is>
      </c>
      <c r="B292" t="inlineStr">
        <is>
          <t>Munitorum Servitors</t>
        </is>
      </c>
      <c r="G292">
        <f>IF(F292="","",F292-C292)</f>
        <v/>
      </c>
    </row>
    <row r="293">
      <c r="A293" t="inlineStr">
        <is>
          <t>Astra Militarum</t>
        </is>
      </c>
      <c r="B293" t="inlineStr">
        <is>
          <t>Nork Deddog</t>
        </is>
      </c>
      <c r="G293">
        <f>IF(F293="","",F293-C293)</f>
        <v/>
      </c>
    </row>
    <row r="294">
      <c r="A294" t="inlineStr">
        <is>
          <t>Astra Militarum</t>
        </is>
      </c>
      <c r="B294" t="inlineStr">
        <is>
          <t>Ogryn Bodyguard</t>
        </is>
      </c>
      <c r="G294">
        <f>IF(F294="","",F294-C294)</f>
        <v/>
      </c>
    </row>
    <row r="295">
      <c r="A295" t="inlineStr">
        <is>
          <t>Astra Militarum</t>
        </is>
      </c>
      <c r="B295" t="inlineStr">
        <is>
          <t>Ogryn Squad</t>
        </is>
      </c>
      <c r="G295">
        <f>IF(F295="","",F295-C295)</f>
        <v/>
      </c>
    </row>
    <row r="296">
      <c r="A296" t="inlineStr">
        <is>
          <t>Astra Militarum</t>
        </is>
      </c>
      <c r="B296" t="inlineStr">
        <is>
          <t>Primaris Psyker</t>
        </is>
      </c>
      <c r="G296">
        <f>IF(F296="","",F296-C296)</f>
        <v/>
      </c>
    </row>
    <row r="297">
      <c r="A297" t="inlineStr">
        <is>
          <t>Astra Militarum</t>
        </is>
      </c>
      <c r="B297" t="inlineStr">
        <is>
          <t>Ratling Snipers</t>
        </is>
      </c>
      <c r="G297">
        <f>IF(F297="","",F297-C297)</f>
        <v/>
      </c>
    </row>
    <row r="298">
      <c r="A298" t="inlineStr">
        <is>
          <t>Astra Militarum</t>
        </is>
      </c>
      <c r="B298" t="inlineStr">
        <is>
          <t>Regimental Attachés</t>
        </is>
      </c>
      <c r="G298">
        <f>IF(F298="","",F298-C298)</f>
        <v/>
      </c>
    </row>
    <row r="299">
      <c r="A299" t="inlineStr">
        <is>
          <t>Astra Militarum</t>
        </is>
      </c>
      <c r="B299" t="inlineStr">
        <is>
          <t>Regimental Enginseer</t>
        </is>
      </c>
      <c r="G299">
        <f>IF(F299="","",F299-C299)</f>
        <v/>
      </c>
    </row>
    <row r="300">
      <c r="A300" t="inlineStr">
        <is>
          <t>Astra Militarum</t>
        </is>
      </c>
      <c r="B300" t="inlineStr">
        <is>
          <t>Regimental Preacher</t>
        </is>
      </c>
      <c r="G300">
        <f>IF(F300="","",F300-C300)</f>
        <v/>
      </c>
    </row>
    <row r="301">
      <c r="A301" t="inlineStr">
        <is>
          <t>Astra Militarum</t>
        </is>
      </c>
      <c r="B301" t="inlineStr">
        <is>
          <t>Rogal Dorn Battle Tank</t>
        </is>
      </c>
      <c r="G301">
        <f>IF(F301="","",F301-C301)</f>
        <v/>
      </c>
    </row>
    <row r="302">
      <c r="A302" t="inlineStr">
        <is>
          <t>Astra Militarum</t>
        </is>
      </c>
      <c r="B302" t="inlineStr">
        <is>
          <t>Scout Sentinels</t>
        </is>
      </c>
      <c r="G302">
        <f>IF(F302="","",F302-C302)</f>
        <v/>
      </c>
    </row>
    <row r="303">
      <c r="A303" t="inlineStr">
        <is>
          <t>Astra Militarum</t>
        </is>
      </c>
      <c r="B303" t="inlineStr">
        <is>
          <t>Sergeant Harker</t>
        </is>
      </c>
      <c r="G303">
        <f>IF(F303="","",F303-C303)</f>
        <v/>
      </c>
    </row>
    <row r="304">
      <c r="A304" t="inlineStr">
        <is>
          <t>Astra Militarum</t>
        </is>
      </c>
      <c r="B304" t="inlineStr">
        <is>
          <t>Shadowsword</t>
        </is>
      </c>
      <c r="G304">
        <f>IF(F304="","",F304-C304)</f>
        <v/>
      </c>
    </row>
    <row r="305">
      <c r="A305" t="inlineStr">
        <is>
          <t>Astra Militarum</t>
        </is>
      </c>
      <c r="B305" t="inlineStr">
        <is>
          <t>Stormlord</t>
        </is>
      </c>
      <c r="G305">
        <f>IF(F305="","",F305-C305)</f>
        <v/>
      </c>
    </row>
    <row r="306">
      <c r="A306" t="inlineStr">
        <is>
          <t>Astra Militarum</t>
        </is>
      </c>
      <c r="B306" t="inlineStr">
        <is>
          <t>Stormsword</t>
        </is>
      </c>
      <c r="G306">
        <f>IF(F306="","",F306-C306)</f>
        <v/>
      </c>
    </row>
    <row r="307">
      <c r="A307" t="inlineStr">
        <is>
          <t>Astra Militarum</t>
        </is>
      </c>
      <c r="B307" t="inlineStr">
        <is>
          <t>Tank Commander</t>
        </is>
      </c>
      <c r="G307">
        <f>IF(F307="","",F307-C307)</f>
        <v/>
      </c>
    </row>
    <row r="308">
      <c r="A308" t="inlineStr">
        <is>
          <t>Astra Militarum</t>
        </is>
      </c>
      <c r="B308" t="inlineStr">
        <is>
          <t>Taurox</t>
        </is>
      </c>
      <c r="G308">
        <f>IF(F308="","",F308-C308)</f>
        <v/>
      </c>
    </row>
    <row r="309">
      <c r="A309" t="inlineStr">
        <is>
          <t>Astra Militarum</t>
        </is>
      </c>
      <c r="B309" t="inlineStr">
        <is>
          <t>Taurox Prime</t>
        </is>
      </c>
      <c r="G309">
        <f>IF(F309="","",F309-C309)</f>
        <v/>
      </c>
    </row>
    <row r="310">
      <c r="A310" t="inlineStr">
        <is>
          <t>Astra Militarum</t>
        </is>
      </c>
      <c r="B310" t="inlineStr">
        <is>
          <t>Tempestus Scions</t>
        </is>
      </c>
      <c r="G310">
        <f>IF(F310="","",F310-C310)</f>
        <v/>
      </c>
    </row>
    <row r="311">
      <c r="A311" t="inlineStr">
        <is>
          <t>Astra Militarum</t>
        </is>
      </c>
      <c r="B311" t="inlineStr">
        <is>
          <t>Ursula Creed</t>
        </is>
      </c>
      <c r="G311">
        <f>IF(F311="","",F311-C311)</f>
        <v/>
      </c>
    </row>
    <row r="312">
      <c r="A312" t="inlineStr">
        <is>
          <t>Astra Militarum</t>
        </is>
      </c>
      <c r="B312" t="inlineStr">
        <is>
          <t>Valkyrie</t>
        </is>
      </c>
      <c r="G312">
        <f>IF(F312="","",F312-C312)</f>
        <v/>
      </c>
    </row>
    <row r="313">
      <c r="A313" t="inlineStr">
        <is>
          <t>Astra Militarum</t>
        </is>
      </c>
      <c r="B313" t="inlineStr">
        <is>
          <t>Wyvern</t>
        </is>
      </c>
      <c r="G313">
        <f>IF(F313="","",F313-C313)</f>
        <v/>
      </c>
    </row>
    <row r="314">
      <c r="A314" t="inlineStr">
        <is>
          <t>Imperial Knights</t>
        </is>
      </c>
      <c r="B314" t="inlineStr">
        <is>
          <t>Armiger Helverin</t>
        </is>
      </c>
      <c r="G314">
        <f>IF(F314="","",F314-C314)</f>
        <v/>
      </c>
    </row>
    <row r="315">
      <c r="A315" t="inlineStr">
        <is>
          <t>Imperial Knights</t>
        </is>
      </c>
      <c r="B315" t="inlineStr">
        <is>
          <t>Armiger Warglaive</t>
        </is>
      </c>
      <c r="G315">
        <f>IF(F315="","",F315-C315)</f>
        <v/>
      </c>
    </row>
    <row r="316">
      <c r="A316" t="inlineStr">
        <is>
          <t>Imperial Knights</t>
        </is>
      </c>
      <c r="B316" t="inlineStr">
        <is>
          <t>Canis Rex</t>
        </is>
      </c>
      <c r="G316">
        <f>IF(F316="","",F316-C316)</f>
        <v/>
      </c>
    </row>
    <row r="317">
      <c r="A317" t="inlineStr">
        <is>
          <t>Imperial Knights</t>
        </is>
      </c>
      <c r="B317" t="inlineStr">
        <is>
          <t>Knight Castellan</t>
        </is>
      </c>
      <c r="G317">
        <f>IF(F317="","",F317-C317)</f>
        <v/>
      </c>
    </row>
    <row r="318">
      <c r="A318" t="inlineStr">
        <is>
          <t>Imperial Knights</t>
        </is>
      </c>
      <c r="B318" t="inlineStr">
        <is>
          <t>Knight Crusader</t>
        </is>
      </c>
      <c r="G318">
        <f>IF(F318="","",F318-C318)</f>
        <v/>
      </c>
    </row>
    <row r="319">
      <c r="A319" t="inlineStr">
        <is>
          <t>Imperial Knights</t>
        </is>
      </c>
      <c r="B319" t="inlineStr">
        <is>
          <t>Knight Errant</t>
        </is>
      </c>
      <c r="G319">
        <f>IF(F319="","",F319-C319)</f>
        <v/>
      </c>
    </row>
    <row r="320">
      <c r="A320" t="inlineStr">
        <is>
          <t>Imperial Knights</t>
        </is>
      </c>
      <c r="B320" t="inlineStr">
        <is>
          <t>Knight Gallant</t>
        </is>
      </c>
      <c r="G320">
        <f>IF(F320="","",F320-C320)</f>
        <v/>
      </c>
    </row>
    <row r="321">
      <c r="A321" t="inlineStr">
        <is>
          <t>Imperial Knights</t>
        </is>
      </c>
      <c r="B321" t="inlineStr">
        <is>
          <t>Knight Paladin</t>
        </is>
      </c>
      <c r="G321">
        <f>IF(F321="","",F321-C321)</f>
        <v/>
      </c>
    </row>
    <row r="322">
      <c r="A322" t="inlineStr">
        <is>
          <t>Imperial Knights</t>
        </is>
      </c>
      <c r="B322" t="inlineStr">
        <is>
          <t>Knight Preceptor</t>
        </is>
      </c>
      <c r="G322">
        <f>IF(F322="","",F322-C322)</f>
        <v/>
      </c>
    </row>
    <row r="323">
      <c r="A323" t="inlineStr">
        <is>
          <t>Imperial Knights</t>
        </is>
      </c>
      <c r="B323" t="inlineStr">
        <is>
          <t>Knight Valiant</t>
        </is>
      </c>
      <c r="G323">
        <f>IF(F323="","",F323-C323)</f>
        <v/>
      </c>
    </row>
    <row r="324">
      <c r="A324" t="inlineStr">
        <is>
          <t>Imperial Knights</t>
        </is>
      </c>
      <c r="B324" t="inlineStr">
        <is>
          <t>Knight Warden</t>
        </is>
      </c>
      <c r="G324">
        <f>IF(F324="","",F324-C324)</f>
        <v/>
      </c>
    </row>
    <row r="325">
      <c r="A325" t="inlineStr">
        <is>
          <t>Imperial Agents</t>
        </is>
      </c>
      <c r="B325" t="inlineStr">
        <is>
          <t>Callidus Assassin</t>
        </is>
      </c>
      <c r="G325">
        <f>IF(F325="","",F325-C325)</f>
        <v/>
      </c>
    </row>
    <row r="326">
      <c r="A326" t="inlineStr">
        <is>
          <t>Imperial Agents</t>
        </is>
      </c>
      <c r="B326" t="inlineStr">
        <is>
          <t>Culexus Assassin</t>
        </is>
      </c>
      <c r="G326">
        <f>IF(F326="","",F326-C326)</f>
        <v/>
      </c>
    </row>
    <row r="327">
      <c r="A327" t="inlineStr">
        <is>
          <t>Imperial Agents</t>
        </is>
      </c>
      <c r="B327" t="inlineStr">
        <is>
          <t>Eversor Assassin</t>
        </is>
      </c>
      <c r="G327">
        <f>IF(F327="","",F327-C327)</f>
        <v/>
      </c>
    </row>
    <row r="328">
      <c r="A328" t="inlineStr">
        <is>
          <t>Imperial Agents</t>
        </is>
      </c>
      <c r="B328" t="inlineStr">
        <is>
          <t>Vindicare Assassin</t>
        </is>
      </c>
      <c r="G328">
        <f>IF(F328="","",F328-C328)</f>
        <v/>
      </c>
    </row>
    <row r="329">
      <c r="A329" t="inlineStr">
        <is>
          <t>Imperial Agents</t>
        </is>
      </c>
      <c r="B329" t="inlineStr">
        <is>
          <t>Exaction Squad</t>
        </is>
      </c>
      <c r="G329">
        <f>IF(F329="","",F329-C329)</f>
        <v/>
      </c>
    </row>
    <row r="330">
      <c r="A330" t="inlineStr">
        <is>
          <t>Imperial Agents</t>
        </is>
      </c>
      <c r="B330" t="inlineStr">
        <is>
          <t>Imperial Breachers</t>
        </is>
      </c>
      <c r="G330">
        <f>IF(F330="","",F330-C330)</f>
        <v/>
      </c>
    </row>
    <row r="331">
      <c r="A331" t="inlineStr">
        <is>
          <t>Imperial Agents</t>
        </is>
      </c>
      <c r="B331" t="inlineStr">
        <is>
          <t>Inquisitorial Agents</t>
        </is>
      </c>
      <c r="G331">
        <f>IF(F331="","",F331-C331)</f>
        <v/>
      </c>
    </row>
    <row r="332">
      <c r="A332" t="inlineStr">
        <is>
          <t>Imperial Agents</t>
        </is>
      </c>
      <c r="B332" t="inlineStr">
        <is>
          <t>Lord Inquisitor Kyria Draxus</t>
        </is>
      </c>
      <c r="G332">
        <f>IF(F332="","",F332-C332)</f>
        <v/>
      </c>
    </row>
    <row r="333">
      <c r="A333" t="inlineStr">
        <is>
          <t>Imperial Agents</t>
        </is>
      </c>
      <c r="B333" t="inlineStr">
        <is>
          <t>Ministorum Priest</t>
        </is>
      </c>
      <c r="G333">
        <f>IF(F333="","",F333-C333)</f>
        <v/>
      </c>
    </row>
    <row r="334">
      <c r="A334" t="inlineStr">
        <is>
          <t>Imperial Agents</t>
        </is>
      </c>
      <c r="B334" t="inlineStr">
        <is>
          <t>Navigator</t>
        </is>
      </c>
      <c r="G334">
        <f>IF(F334="","",F334-C334)</f>
        <v/>
      </c>
    </row>
    <row r="335">
      <c r="A335" t="inlineStr">
        <is>
          <t>Imperial Agents</t>
        </is>
      </c>
      <c r="B335" t="inlineStr">
        <is>
          <t>Rogue Trader Entourage</t>
        </is>
      </c>
      <c r="G335">
        <f>IF(F335="","",F335-C335)</f>
        <v/>
      </c>
    </row>
    <row r="336">
      <c r="A336" t="inlineStr">
        <is>
          <t>Imperial Agents</t>
        </is>
      </c>
      <c r="B336" t="inlineStr">
        <is>
          <t>Subductor Squad</t>
        </is>
      </c>
      <c r="G336">
        <f>IF(F336="","",F336-C336)</f>
        <v/>
      </c>
    </row>
    <row r="337">
      <c r="A337" t="inlineStr">
        <is>
          <t>Imperial Agents</t>
        </is>
      </c>
      <c r="B337" t="inlineStr">
        <is>
          <t>Voidsmen-at-Arms</t>
        </is>
      </c>
      <c r="G337">
        <f>IF(F337="","",F337-C337)</f>
        <v/>
      </c>
    </row>
    <row r="338">
      <c r="A338" t="inlineStr">
        <is>
          <t>Imperial Agents</t>
        </is>
      </c>
      <c r="B338" t="inlineStr">
        <is>
          <t>Watch Captain Artemis</t>
        </is>
      </c>
      <c r="G338">
        <f>IF(F338="","",F338-C338)</f>
        <v/>
      </c>
    </row>
    <row r="339">
      <c r="A339" t="inlineStr">
        <is>
          <t>Chaos Space Marines</t>
        </is>
      </c>
      <c r="B339" t="inlineStr">
        <is>
          <t>Abaddon the Despoiler</t>
        </is>
      </c>
      <c r="G339">
        <f>IF(F339="","",F339-C339)</f>
        <v/>
      </c>
    </row>
    <row r="340">
      <c r="A340" t="inlineStr">
        <is>
          <t>Chaos Space Marines</t>
        </is>
      </c>
      <c r="B340" t="inlineStr">
        <is>
          <t>Accursed Cultists</t>
        </is>
      </c>
      <c r="G340">
        <f>IF(F340="","",F340-C340)</f>
        <v/>
      </c>
    </row>
    <row r="341">
      <c r="A341" t="inlineStr">
        <is>
          <t>Chaos Space Marines</t>
        </is>
      </c>
      <c r="B341" t="inlineStr">
        <is>
          <t>Chaos Bikers</t>
        </is>
      </c>
      <c r="G341">
        <f>IF(F341="","",F341-C341)</f>
        <v/>
      </c>
    </row>
    <row r="342">
      <c r="A342" t="inlineStr">
        <is>
          <t>Chaos Space Marines</t>
        </is>
      </c>
      <c r="B342" t="inlineStr">
        <is>
          <t>Chaos Land Raider</t>
        </is>
      </c>
      <c r="G342">
        <f>IF(F342="","",F342-C342)</f>
        <v/>
      </c>
    </row>
    <row r="343">
      <c r="A343" t="inlineStr">
        <is>
          <t>Chaos Space Marines</t>
        </is>
      </c>
      <c r="B343" t="inlineStr">
        <is>
          <t>Chaos Lord</t>
        </is>
      </c>
      <c r="G343">
        <f>IF(F343="","",F343-C343)</f>
        <v/>
      </c>
    </row>
    <row r="344">
      <c r="A344" t="inlineStr">
        <is>
          <t>Chaos Space Marines</t>
        </is>
      </c>
      <c r="B344" t="inlineStr">
        <is>
          <t>Chaos Lord in Terminator Armour</t>
        </is>
      </c>
      <c r="G344">
        <f>IF(F344="","",F344-C344)</f>
        <v/>
      </c>
    </row>
    <row r="345">
      <c r="A345" t="inlineStr">
        <is>
          <t>Chaos Space Marines</t>
        </is>
      </c>
      <c r="B345" t="inlineStr">
        <is>
          <t>Chaos Predator Annihilator</t>
        </is>
      </c>
      <c r="G345">
        <f>IF(F345="","",F345-C345)</f>
        <v/>
      </c>
    </row>
    <row r="346">
      <c r="A346" t="inlineStr">
        <is>
          <t>Chaos Space Marines</t>
        </is>
      </c>
      <c r="B346" t="inlineStr">
        <is>
          <t>Chaos Predator Destructor</t>
        </is>
      </c>
      <c r="G346">
        <f>IF(F346="","",F346-C346)</f>
        <v/>
      </c>
    </row>
    <row r="347">
      <c r="A347" t="inlineStr">
        <is>
          <t>Chaos Space Marines</t>
        </is>
      </c>
      <c r="B347" t="inlineStr">
        <is>
          <t>Chaos Rhino</t>
        </is>
      </c>
      <c r="G347">
        <f>IF(F347="","",F347-C347)</f>
        <v/>
      </c>
    </row>
    <row r="348">
      <c r="A348" t="inlineStr">
        <is>
          <t>Chaos Space Marines</t>
        </is>
      </c>
      <c r="B348" t="inlineStr">
        <is>
          <t>Chaos Spawn</t>
        </is>
      </c>
      <c r="G348">
        <f>IF(F348="","",F348-C348)</f>
        <v/>
      </c>
    </row>
    <row r="349">
      <c r="A349" t="inlineStr">
        <is>
          <t>Chaos Space Marines</t>
        </is>
      </c>
      <c r="B349" t="inlineStr">
        <is>
          <t>Chaos Terminator Squad</t>
        </is>
      </c>
      <c r="G349">
        <f>IF(F349="","",F349-C349)</f>
        <v/>
      </c>
    </row>
    <row r="350">
      <c r="A350" t="inlineStr">
        <is>
          <t>Chaos Space Marines</t>
        </is>
      </c>
      <c r="B350" t="inlineStr">
        <is>
          <t>Chaos Vindicator</t>
        </is>
      </c>
      <c r="G350">
        <f>IF(F350="","",F350-C350)</f>
        <v/>
      </c>
    </row>
    <row r="351">
      <c r="A351" t="inlineStr">
        <is>
          <t>Chaos Space Marines</t>
        </is>
      </c>
      <c r="B351" t="inlineStr">
        <is>
          <t>Chosen</t>
        </is>
      </c>
      <c r="G351">
        <f>IF(F351="","",F351-C351)</f>
        <v/>
      </c>
    </row>
    <row r="352">
      <c r="A352" t="inlineStr">
        <is>
          <t>Chaos Space Marines</t>
        </is>
      </c>
      <c r="B352" t="inlineStr">
        <is>
          <t>Cultist Mob</t>
        </is>
      </c>
      <c r="G352">
        <f>IF(F352="","",F352-C352)</f>
        <v/>
      </c>
    </row>
    <row r="353">
      <c r="A353" t="inlineStr">
        <is>
          <t>Chaos Space Marines</t>
        </is>
      </c>
      <c r="B353" t="inlineStr">
        <is>
          <t>Cypher</t>
        </is>
      </c>
      <c r="G353">
        <f>IF(F353="","",F353-C353)</f>
        <v/>
      </c>
    </row>
    <row r="354">
      <c r="A354" t="inlineStr">
        <is>
          <t>Chaos Space Marines</t>
        </is>
      </c>
      <c r="B354" t="inlineStr">
        <is>
          <t>Dark Apostle</t>
        </is>
      </c>
      <c r="G354">
        <f>IF(F354="","",F354-C354)</f>
        <v/>
      </c>
    </row>
    <row r="355">
      <c r="A355" t="inlineStr">
        <is>
          <t>Chaos Space Marines</t>
        </is>
      </c>
      <c r="B355" t="inlineStr">
        <is>
          <t>Dark Commune</t>
        </is>
      </c>
      <c r="G355">
        <f>IF(F355="","",F355-C355)</f>
        <v/>
      </c>
    </row>
    <row r="356">
      <c r="A356" t="inlineStr">
        <is>
          <t>Chaos Space Marines</t>
        </is>
      </c>
      <c r="B356" t="inlineStr">
        <is>
          <t>Defiler</t>
        </is>
      </c>
      <c r="G356">
        <f>IF(F356="","",F356-C356)</f>
        <v/>
      </c>
    </row>
    <row r="357">
      <c r="A357" t="inlineStr">
        <is>
          <t>Chaos Space Marines</t>
        </is>
      </c>
      <c r="B357" t="inlineStr">
        <is>
          <t>Forgefiend</t>
        </is>
      </c>
      <c r="G357">
        <f>IF(F357="","",F357-C357)</f>
        <v/>
      </c>
    </row>
    <row r="358">
      <c r="A358" t="inlineStr">
        <is>
          <t>Chaos Space Marines</t>
        </is>
      </c>
      <c r="B358" t="inlineStr">
        <is>
          <t>Haarken Worldclaimer</t>
        </is>
      </c>
      <c r="G358">
        <f>IF(F358="","",F358-C358)</f>
        <v/>
      </c>
    </row>
    <row r="359">
      <c r="A359" t="inlineStr">
        <is>
          <t>Chaos Space Marines</t>
        </is>
      </c>
      <c r="B359" t="inlineStr">
        <is>
          <t>Havocs</t>
        </is>
      </c>
      <c r="G359">
        <f>IF(F359="","",F359-C359)</f>
        <v/>
      </c>
    </row>
    <row r="360">
      <c r="A360" t="inlineStr">
        <is>
          <t>Chaos Space Marines</t>
        </is>
      </c>
      <c r="B360" t="inlineStr">
        <is>
          <t>Heldrake</t>
        </is>
      </c>
      <c r="G360">
        <f>IF(F360="","",F360-C360)</f>
        <v/>
      </c>
    </row>
    <row r="361">
      <c r="A361" t="inlineStr">
        <is>
          <t>Chaos Space Marines</t>
        </is>
      </c>
      <c r="B361" t="inlineStr">
        <is>
          <t>Helbrute</t>
        </is>
      </c>
      <c r="G361">
        <f>IF(F361="","",F361-C361)</f>
        <v/>
      </c>
    </row>
    <row r="362">
      <c r="A362" t="inlineStr">
        <is>
          <t>Chaos Space Marines</t>
        </is>
      </c>
      <c r="B362" t="inlineStr">
        <is>
          <t>Heretic Astartes Daemon Prince</t>
        </is>
      </c>
      <c r="G362">
        <f>IF(F362="","",F362-C362)</f>
        <v/>
      </c>
    </row>
    <row r="363">
      <c r="A363" t="inlineStr">
        <is>
          <t>Chaos Space Marines</t>
        </is>
      </c>
      <c r="B363" t="inlineStr">
        <is>
          <t>Heretic Astartes Daemon Prince with Wings</t>
        </is>
      </c>
      <c r="G363">
        <f>IF(F363="","",F363-C363)</f>
        <v/>
      </c>
    </row>
    <row r="364">
      <c r="A364" t="inlineStr">
        <is>
          <t>Chaos Space Marines</t>
        </is>
      </c>
      <c r="B364" t="inlineStr">
        <is>
          <t>Huron Blackheart</t>
        </is>
      </c>
      <c r="G364">
        <f>IF(F364="","",F364-C364)</f>
        <v/>
      </c>
    </row>
    <row r="365">
      <c r="A365" t="inlineStr">
        <is>
          <t>Chaos Space Marines</t>
        </is>
      </c>
      <c r="B365" t="inlineStr">
        <is>
          <t>Khorne Lord of Skulls</t>
        </is>
      </c>
      <c r="G365">
        <f>IF(F365="","",F365-C365)</f>
        <v/>
      </c>
    </row>
    <row r="366">
      <c r="A366" t="inlineStr">
        <is>
          <t>Chaos Space Marines</t>
        </is>
      </c>
      <c r="B366" t="inlineStr">
        <is>
          <t>Legionaries</t>
        </is>
      </c>
      <c r="G366">
        <f>IF(F366="","",F366-C366)</f>
        <v/>
      </c>
    </row>
    <row r="367">
      <c r="A367" t="inlineStr">
        <is>
          <t>Chaos Space Marines</t>
        </is>
      </c>
      <c r="B367" t="inlineStr">
        <is>
          <t>Lord Discordant on Helstalker</t>
        </is>
      </c>
      <c r="G367">
        <f>IF(F367="","",F367-C367)</f>
        <v/>
      </c>
    </row>
    <row r="368">
      <c r="A368" t="inlineStr">
        <is>
          <t>Chaos Space Marines</t>
        </is>
      </c>
      <c r="B368" t="inlineStr">
        <is>
          <t>Master of Executions</t>
        </is>
      </c>
      <c r="G368">
        <f>IF(F368="","",F368-C368)</f>
        <v/>
      </c>
    </row>
    <row r="369">
      <c r="A369" t="inlineStr">
        <is>
          <t>Chaos Space Marines</t>
        </is>
      </c>
      <c r="B369" t="inlineStr">
        <is>
          <t>Master of Possession</t>
        </is>
      </c>
      <c r="G369">
        <f>IF(F369="","",F369-C369)</f>
        <v/>
      </c>
    </row>
    <row r="370">
      <c r="A370" t="inlineStr">
        <is>
          <t>Chaos Space Marines</t>
        </is>
      </c>
      <c r="B370" t="inlineStr">
        <is>
          <t>Maulerfiend</t>
        </is>
      </c>
      <c r="G370">
        <f>IF(F370="","",F370-C370)</f>
        <v/>
      </c>
    </row>
    <row r="371">
      <c r="A371" t="inlineStr">
        <is>
          <t>Chaos Space Marines</t>
        </is>
      </c>
      <c r="B371" t="inlineStr">
        <is>
          <t>Nemesis Claw</t>
        </is>
      </c>
      <c r="G371">
        <f>IF(F371="","",F371-C371)</f>
        <v/>
      </c>
    </row>
    <row r="372">
      <c r="A372" t="inlineStr">
        <is>
          <t>Chaos Space Marines</t>
        </is>
      </c>
      <c r="B372" t="inlineStr">
        <is>
          <t>Noise Marines</t>
        </is>
      </c>
      <c r="G372">
        <f>IF(F372="","",F372-C372)</f>
        <v/>
      </c>
    </row>
    <row r="373">
      <c r="A373" t="inlineStr">
        <is>
          <t>Chaos Space Marines</t>
        </is>
      </c>
      <c r="B373" t="inlineStr">
        <is>
          <t>Obliterators</t>
        </is>
      </c>
      <c r="G373">
        <f>IF(F373="","",F373-C373)</f>
        <v/>
      </c>
    </row>
    <row r="374">
      <c r="A374" t="inlineStr">
        <is>
          <t>Chaos Space Marines</t>
        </is>
      </c>
      <c r="B374" t="inlineStr">
        <is>
          <t>Possessed</t>
        </is>
      </c>
      <c r="G374">
        <f>IF(F374="","",F374-C374)</f>
        <v/>
      </c>
    </row>
    <row r="375">
      <c r="A375" t="inlineStr">
        <is>
          <t>Chaos Space Marines</t>
        </is>
      </c>
      <c r="B375" t="inlineStr">
        <is>
          <t>Raptors</t>
        </is>
      </c>
      <c r="G375">
        <f>IF(F375="","",F375-C375)</f>
        <v/>
      </c>
    </row>
    <row r="376">
      <c r="A376" t="inlineStr">
        <is>
          <t>Chaos Space Marines</t>
        </is>
      </c>
      <c r="B376" t="inlineStr">
        <is>
          <t>Sorcerer</t>
        </is>
      </c>
      <c r="G376">
        <f>IF(F376="","",F376-C376)</f>
        <v/>
      </c>
    </row>
    <row r="377">
      <c r="A377" t="inlineStr">
        <is>
          <t>Chaos Space Marines</t>
        </is>
      </c>
      <c r="B377" t="inlineStr">
        <is>
          <t>Sorcerer in Terminator Armour</t>
        </is>
      </c>
      <c r="G377">
        <f>IF(F377="","",F377-C377)</f>
        <v/>
      </c>
    </row>
    <row r="378">
      <c r="A378" t="inlineStr">
        <is>
          <t>Chaos Space Marines</t>
        </is>
      </c>
      <c r="B378" t="inlineStr">
        <is>
          <t>Traitor Guardsmen Squad</t>
        </is>
      </c>
      <c r="G378">
        <f>IF(F378="","",F378-C378)</f>
        <v/>
      </c>
    </row>
    <row r="379">
      <c r="A379" t="inlineStr">
        <is>
          <t>Chaos Space Marines</t>
        </is>
      </c>
      <c r="B379" t="inlineStr">
        <is>
          <t>Vashtorr the Arkifane</t>
        </is>
      </c>
      <c r="G379">
        <f>IF(F379="","",F379-C379)</f>
        <v/>
      </c>
    </row>
    <row r="380">
      <c r="A380" t="inlineStr">
        <is>
          <t>Chaos Space Marines</t>
        </is>
      </c>
      <c r="B380" t="inlineStr">
        <is>
          <t>Venomcrawler</t>
        </is>
      </c>
      <c r="G380">
        <f>IF(F380="","",F380-C380)</f>
        <v/>
      </c>
    </row>
    <row r="381">
      <c r="A381" t="inlineStr">
        <is>
          <t>Chaos Space Marines</t>
        </is>
      </c>
      <c r="B381" t="inlineStr">
        <is>
          <t>Warp Talons</t>
        </is>
      </c>
      <c r="G381">
        <f>IF(F381="","",F381-C381)</f>
        <v/>
      </c>
    </row>
    <row r="382">
      <c r="A382" t="inlineStr">
        <is>
          <t>Chaos Space Marines</t>
        </is>
      </c>
      <c r="B382" t="inlineStr">
        <is>
          <t>Warpsmith</t>
        </is>
      </c>
      <c r="G382">
        <f>IF(F382="","",F382-C382)</f>
        <v/>
      </c>
    </row>
    <row r="383">
      <c r="A383" t="inlineStr">
        <is>
          <t>Emperor's Children</t>
        </is>
      </c>
      <c r="B383" t="inlineStr">
        <is>
          <t>Daemon Prince of Slaanesh</t>
        </is>
      </c>
      <c r="G383">
        <f>IF(F383="","",F383-C383)</f>
        <v/>
      </c>
    </row>
    <row r="384">
      <c r="A384" t="inlineStr">
        <is>
          <t>Emperor's Children</t>
        </is>
      </c>
      <c r="B384" t="inlineStr">
        <is>
          <t>Daemon Prince of Slaanesh with Wings</t>
        </is>
      </c>
      <c r="G384">
        <f>IF(F384="","",F384-C384)</f>
        <v/>
      </c>
    </row>
    <row r="385">
      <c r="A385" t="inlineStr">
        <is>
          <t>Emperor's Children</t>
        </is>
      </c>
      <c r="B385" t="inlineStr">
        <is>
          <t>Emperor's Children Lord Exultant</t>
        </is>
      </c>
      <c r="G385">
        <f>IF(F385="","",F385-C385)</f>
        <v/>
      </c>
    </row>
    <row r="386">
      <c r="A386" t="inlineStr">
        <is>
          <t>Emperor's Children</t>
        </is>
      </c>
      <c r="B386" t="inlineStr">
        <is>
          <t>Fulgrim</t>
        </is>
      </c>
      <c r="G386">
        <f>IF(F386="","",F386-C386)</f>
        <v/>
      </c>
    </row>
    <row r="387">
      <c r="A387" t="inlineStr">
        <is>
          <t>Emperor's Children</t>
        </is>
      </c>
      <c r="B387" t="inlineStr">
        <is>
          <t>Infractors</t>
        </is>
      </c>
      <c r="G387">
        <f>IF(F387="","",F387-C387)</f>
        <v/>
      </c>
    </row>
    <row r="388">
      <c r="A388" t="inlineStr">
        <is>
          <t>Emperor's Children</t>
        </is>
      </c>
      <c r="B388" t="inlineStr">
        <is>
          <t>Lord Kakophonist</t>
        </is>
      </c>
      <c r="G388">
        <f>IF(F388="","",F388-C388)</f>
        <v/>
      </c>
    </row>
    <row r="389">
      <c r="A389" t="inlineStr">
        <is>
          <t>Emperor's Children</t>
        </is>
      </c>
      <c r="B389" t="inlineStr">
        <is>
          <t>Lucius the Eternal</t>
        </is>
      </c>
      <c r="G389">
        <f>IF(F389="","",F389-C389)</f>
        <v/>
      </c>
    </row>
    <row r="390">
      <c r="A390" t="inlineStr">
        <is>
          <t>Emperor's Children</t>
        </is>
      </c>
      <c r="B390" t="inlineStr">
        <is>
          <t>Noise Marines</t>
        </is>
      </c>
      <c r="G390">
        <f>IF(F390="","",F390-C390)</f>
        <v/>
      </c>
    </row>
    <row r="391">
      <c r="A391" t="inlineStr">
        <is>
          <t>Emperor's Children</t>
        </is>
      </c>
      <c r="B391" t="inlineStr">
        <is>
          <t>Tormentors</t>
        </is>
      </c>
      <c r="G391">
        <f>IF(F391="","",F391-C391)</f>
        <v/>
      </c>
    </row>
    <row r="392">
      <c r="A392" t="inlineStr">
        <is>
          <t>Death Guard</t>
        </is>
      </c>
      <c r="B392" t="inlineStr">
        <is>
          <t>Biologus Putrifier</t>
        </is>
      </c>
      <c r="G392">
        <f>IF(F392="","",F392-C392)</f>
        <v/>
      </c>
    </row>
    <row r="393">
      <c r="A393" t="inlineStr">
        <is>
          <t>Death Guard</t>
        </is>
      </c>
      <c r="B393" t="inlineStr">
        <is>
          <t>Blightlord Terminators</t>
        </is>
      </c>
      <c r="G393">
        <f>IF(F393="","",F393-C393)</f>
        <v/>
      </c>
    </row>
    <row r="394">
      <c r="A394" t="inlineStr">
        <is>
          <t>Death Guard</t>
        </is>
      </c>
      <c r="B394" t="inlineStr">
        <is>
          <t>Death Guard Chaos Lord</t>
        </is>
      </c>
      <c r="G394">
        <f>IF(F394="","",F394-C394)</f>
        <v/>
      </c>
    </row>
    <row r="395">
      <c r="A395" t="inlineStr">
        <is>
          <t>Death Guard</t>
        </is>
      </c>
      <c r="B395" t="inlineStr">
        <is>
          <t>Death Guard Chaos Lord in Terminator Armour</t>
        </is>
      </c>
      <c r="G395">
        <f>IF(F395="","",F395-C395)</f>
        <v/>
      </c>
    </row>
    <row r="396">
      <c r="A396" t="inlineStr">
        <is>
          <t>Death Guard</t>
        </is>
      </c>
      <c r="B396" t="inlineStr">
        <is>
          <t>Death Guard Cultists</t>
        </is>
      </c>
      <c r="G396">
        <f>IF(F396="","",F396-C396)</f>
        <v/>
      </c>
    </row>
    <row r="397">
      <c r="A397" t="inlineStr">
        <is>
          <t>Death Guard</t>
        </is>
      </c>
      <c r="B397" t="inlineStr">
        <is>
          <t>Death Guard Daemon Prince</t>
        </is>
      </c>
      <c r="G397">
        <f>IF(F397="","",F397-C397)</f>
        <v/>
      </c>
    </row>
    <row r="398">
      <c r="A398" t="inlineStr">
        <is>
          <t>Death Guard</t>
        </is>
      </c>
      <c r="B398" t="inlineStr">
        <is>
          <t>Death Guard Daemon Prince with Wings</t>
        </is>
      </c>
      <c r="G398">
        <f>IF(F398="","",F398-C398)</f>
        <v/>
      </c>
    </row>
    <row r="399">
      <c r="A399" t="inlineStr">
        <is>
          <t>Death Guard</t>
        </is>
      </c>
      <c r="B399" t="inlineStr">
        <is>
          <t>Death Guard Defiler</t>
        </is>
      </c>
      <c r="G399">
        <f>IF(F399="","",F399-C399)</f>
        <v/>
      </c>
    </row>
    <row r="400">
      <c r="A400" t="inlineStr">
        <is>
          <t>Death Guard</t>
        </is>
      </c>
      <c r="B400" t="inlineStr">
        <is>
          <t>Death Guard Helbrute</t>
        </is>
      </c>
      <c r="G400">
        <f>IF(F400="","",F400-C400)</f>
        <v/>
      </c>
    </row>
    <row r="401">
      <c r="A401" t="inlineStr">
        <is>
          <t>Death Guard</t>
        </is>
      </c>
      <c r="B401" t="inlineStr">
        <is>
          <t>Death Guard Icon Bearer</t>
        </is>
      </c>
      <c r="G401">
        <f>IF(F401="","",F401-C401)</f>
        <v/>
      </c>
    </row>
    <row r="402">
      <c r="A402" t="inlineStr">
        <is>
          <t>Death Guard</t>
        </is>
      </c>
      <c r="B402" t="inlineStr">
        <is>
          <t>Death Guard Land Raider</t>
        </is>
      </c>
      <c r="G402">
        <f>IF(F402="","",F402-C402)</f>
        <v/>
      </c>
    </row>
    <row r="403">
      <c r="A403" t="inlineStr">
        <is>
          <t>Death Guard</t>
        </is>
      </c>
      <c r="B403" t="inlineStr">
        <is>
          <t>Death Guard Predator Annihilator</t>
        </is>
      </c>
      <c r="G403">
        <f>IF(F403="","",F403-C403)</f>
        <v/>
      </c>
    </row>
    <row r="404">
      <c r="A404" t="inlineStr">
        <is>
          <t>Death Guard</t>
        </is>
      </c>
      <c r="B404" t="inlineStr">
        <is>
          <t>Death Guard Predator Destructor</t>
        </is>
      </c>
      <c r="G404">
        <f>IF(F404="","",F404-C404)</f>
        <v/>
      </c>
    </row>
    <row r="405">
      <c r="A405" t="inlineStr">
        <is>
          <t>Death Guard</t>
        </is>
      </c>
      <c r="B405" t="inlineStr">
        <is>
          <t>Death Guard Rhino</t>
        </is>
      </c>
      <c r="G405">
        <f>IF(F405="","",F405-C405)</f>
        <v/>
      </c>
    </row>
    <row r="406">
      <c r="A406" t="inlineStr">
        <is>
          <t>Death Guard</t>
        </is>
      </c>
      <c r="B406" t="inlineStr">
        <is>
          <t>Death Guard Sorcerer in Terminator Armour</t>
        </is>
      </c>
      <c r="G406">
        <f>IF(F406="","",F406-C406)</f>
        <v/>
      </c>
    </row>
    <row r="407">
      <c r="A407" t="inlineStr">
        <is>
          <t>Death Guard</t>
        </is>
      </c>
      <c r="B407" t="inlineStr">
        <is>
          <t>Deathshroud Terminators</t>
        </is>
      </c>
      <c r="G407">
        <f>IF(F407="","",F407-C407)</f>
        <v/>
      </c>
    </row>
    <row r="408">
      <c r="A408" t="inlineStr">
        <is>
          <t>Death Guard</t>
        </is>
      </c>
      <c r="B408" t="inlineStr">
        <is>
          <t>Foetid Bloat-drone</t>
        </is>
      </c>
      <c r="G408">
        <f>IF(F408="","",F408-C408)</f>
        <v/>
      </c>
    </row>
    <row r="409">
      <c r="A409" t="inlineStr">
        <is>
          <t>Death Guard</t>
        </is>
      </c>
      <c r="B409" t="inlineStr">
        <is>
          <t>Foul Blightspawn</t>
        </is>
      </c>
      <c r="G409">
        <f>IF(F409="","",F409-C409)</f>
        <v/>
      </c>
    </row>
    <row r="410">
      <c r="A410" t="inlineStr">
        <is>
          <t>Death Guard</t>
        </is>
      </c>
      <c r="B410" t="inlineStr">
        <is>
          <t>Lord of Contagion</t>
        </is>
      </c>
      <c r="G410">
        <f>IF(F410="","",F410-C410)</f>
        <v/>
      </c>
    </row>
    <row r="411">
      <c r="A411" t="inlineStr">
        <is>
          <t>Death Guard</t>
        </is>
      </c>
      <c r="B411" t="inlineStr">
        <is>
          <t>Lord of Virulence</t>
        </is>
      </c>
      <c r="G411">
        <f>IF(F411="","",F411-C411)</f>
        <v/>
      </c>
    </row>
    <row r="412">
      <c r="A412" t="inlineStr">
        <is>
          <t>Death Guard</t>
        </is>
      </c>
      <c r="B412" t="inlineStr">
        <is>
          <t>Malignant Plaguecaster</t>
        </is>
      </c>
      <c r="G412">
        <f>IF(F412="","",F412-C412)</f>
        <v/>
      </c>
    </row>
    <row r="413">
      <c r="A413" t="inlineStr">
        <is>
          <t>Death Guard</t>
        </is>
      </c>
      <c r="B413" t="inlineStr">
        <is>
          <t>Mortarion</t>
        </is>
      </c>
      <c r="G413">
        <f>IF(F413="","",F413-C413)</f>
        <v/>
      </c>
    </row>
    <row r="414">
      <c r="A414" t="inlineStr">
        <is>
          <t>Death Guard</t>
        </is>
      </c>
      <c r="B414" t="inlineStr">
        <is>
          <t>Miasmic Malignifier</t>
        </is>
      </c>
      <c r="G414">
        <f>IF(F414="","",F414-C414)</f>
        <v/>
      </c>
    </row>
    <row r="415">
      <c r="A415" t="inlineStr">
        <is>
          <t>Death Guard</t>
        </is>
      </c>
      <c r="B415" t="inlineStr">
        <is>
          <t>Myphitic Blight-haulers</t>
        </is>
      </c>
      <c r="G415">
        <f>IF(F415="","",F415-C415)</f>
        <v/>
      </c>
    </row>
    <row r="416">
      <c r="A416" t="inlineStr">
        <is>
          <t>Death Guard</t>
        </is>
      </c>
      <c r="B416" t="inlineStr">
        <is>
          <t>Noxious Blightbringer</t>
        </is>
      </c>
      <c r="G416">
        <f>IF(F416="","",F416-C416)</f>
        <v/>
      </c>
    </row>
    <row r="417">
      <c r="A417" t="inlineStr">
        <is>
          <t>Death Guard</t>
        </is>
      </c>
      <c r="B417" t="inlineStr">
        <is>
          <t>Plague Marines</t>
        </is>
      </c>
      <c r="G417">
        <f>IF(F417="","",F417-C417)</f>
        <v/>
      </c>
    </row>
    <row r="418">
      <c r="A418" t="inlineStr">
        <is>
          <t>Death Guard</t>
        </is>
      </c>
      <c r="B418" t="inlineStr">
        <is>
          <t>Plague Surgeon</t>
        </is>
      </c>
      <c r="G418">
        <f>IF(F418="","",F418-C418)</f>
        <v/>
      </c>
    </row>
    <row r="419">
      <c r="A419" t="inlineStr">
        <is>
          <t>Death Guard</t>
        </is>
      </c>
      <c r="B419" t="inlineStr">
        <is>
          <t>Plagueburst Crawler</t>
        </is>
      </c>
      <c r="G419">
        <f>IF(F419="","",F419-C419)</f>
        <v/>
      </c>
    </row>
    <row r="420">
      <c r="A420" t="inlineStr">
        <is>
          <t>Death Guard</t>
        </is>
      </c>
      <c r="B420" t="inlineStr">
        <is>
          <t>Poxwalkers</t>
        </is>
      </c>
      <c r="G420">
        <f>IF(F420="","",F420-C420)</f>
        <v/>
      </c>
    </row>
    <row r="421">
      <c r="A421" t="inlineStr">
        <is>
          <t>Death Guard</t>
        </is>
      </c>
      <c r="B421" t="inlineStr">
        <is>
          <t>Tallyman</t>
        </is>
      </c>
      <c r="G421">
        <f>IF(F421="","",F421-C421)</f>
        <v/>
      </c>
    </row>
    <row r="422">
      <c r="A422" t="inlineStr">
        <is>
          <t>Death Guard</t>
        </is>
      </c>
      <c r="B422" t="inlineStr">
        <is>
          <t>Typhus</t>
        </is>
      </c>
      <c r="G422">
        <f>IF(F422="","",F422-C422)</f>
        <v/>
      </c>
    </row>
    <row r="423">
      <c r="A423" t="inlineStr">
        <is>
          <t>Thousand Sons</t>
        </is>
      </c>
      <c r="B423" t="inlineStr">
        <is>
          <t>Ahriman</t>
        </is>
      </c>
      <c r="G423">
        <f>IF(F423="","",F423-C423)</f>
        <v/>
      </c>
    </row>
    <row r="424">
      <c r="A424" t="inlineStr">
        <is>
          <t>Thousand Sons</t>
        </is>
      </c>
      <c r="B424" t="inlineStr">
        <is>
          <t>Ahriman on Disc of Tzeentch</t>
        </is>
      </c>
      <c r="G424">
        <f>IF(F424="","",F424-C424)</f>
        <v/>
      </c>
    </row>
    <row r="425">
      <c r="A425" t="inlineStr">
        <is>
          <t>Thousand Sons</t>
        </is>
      </c>
      <c r="B425" t="inlineStr">
        <is>
          <t>Exalted Sorcerer</t>
        </is>
      </c>
      <c r="G425">
        <f>IF(F425="","",F425-C425)</f>
        <v/>
      </c>
    </row>
    <row r="426">
      <c r="A426" t="inlineStr">
        <is>
          <t>Thousand Sons</t>
        </is>
      </c>
      <c r="B426" t="inlineStr">
        <is>
          <t>Exalted Sorcerer on Disc of Tzeentch</t>
        </is>
      </c>
      <c r="G426">
        <f>IF(F426="","",F426-C426)</f>
        <v/>
      </c>
    </row>
    <row r="427">
      <c r="A427" t="inlineStr">
        <is>
          <t>Thousand Sons</t>
        </is>
      </c>
      <c r="B427" t="inlineStr">
        <is>
          <t>Infernal Master</t>
        </is>
      </c>
      <c r="G427">
        <f>IF(F427="","",F427-C427)</f>
        <v/>
      </c>
    </row>
    <row r="428">
      <c r="A428" t="inlineStr">
        <is>
          <t>Thousand Sons</t>
        </is>
      </c>
      <c r="B428" t="inlineStr">
        <is>
          <t>Magnus the Red</t>
        </is>
      </c>
      <c r="G428">
        <f>IF(F428="","",F428-C428)</f>
        <v/>
      </c>
    </row>
    <row r="429">
      <c r="A429" t="inlineStr">
        <is>
          <t>Thousand Sons</t>
        </is>
      </c>
      <c r="B429" t="inlineStr">
        <is>
          <t>Mutalith Vortex Beast</t>
        </is>
      </c>
      <c r="G429">
        <f>IF(F429="","",F429-C429)</f>
        <v/>
      </c>
    </row>
    <row r="430">
      <c r="A430" t="inlineStr">
        <is>
          <t>Thousand Sons</t>
        </is>
      </c>
      <c r="B430" t="inlineStr">
        <is>
          <t>Rubric Marines</t>
        </is>
      </c>
      <c r="G430">
        <f>IF(F430="","",F430-C430)</f>
        <v/>
      </c>
    </row>
    <row r="431">
      <c r="A431" t="inlineStr">
        <is>
          <t>Thousand Sons</t>
        </is>
      </c>
      <c r="B431" t="inlineStr">
        <is>
          <t>Scarab Occult Terminators</t>
        </is>
      </c>
      <c r="G431">
        <f>IF(F431="","",F431-C431)</f>
        <v/>
      </c>
    </row>
    <row r="432">
      <c r="A432" t="inlineStr">
        <is>
          <t>Thousand Sons</t>
        </is>
      </c>
      <c r="B432" t="inlineStr">
        <is>
          <t>Thousand Sons Chaos Spawn</t>
        </is>
      </c>
      <c r="G432">
        <f>IF(F432="","",F432-C432)</f>
        <v/>
      </c>
    </row>
    <row r="433">
      <c r="A433" t="inlineStr">
        <is>
          <t>Thousand Sons</t>
        </is>
      </c>
      <c r="B433" t="inlineStr">
        <is>
          <t>Thousand Sons Daemon Prince</t>
        </is>
      </c>
      <c r="G433">
        <f>IF(F433="","",F433-C433)</f>
        <v/>
      </c>
    </row>
    <row r="434">
      <c r="A434" t="inlineStr">
        <is>
          <t>Thousand Sons</t>
        </is>
      </c>
      <c r="B434" t="inlineStr">
        <is>
          <t>Thousand Sons Daemon Prince with Wings</t>
        </is>
      </c>
      <c r="G434">
        <f>IF(F434="","",F434-C434)</f>
        <v/>
      </c>
    </row>
    <row r="435">
      <c r="A435" t="inlineStr">
        <is>
          <t>Thousand Sons</t>
        </is>
      </c>
      <c r="B435" t="inlineStr">
        <is>
          <t>Thousand Sons Defiler</t>
        </is>
      </c>
      <c r="G435">
        <f>IF(F435="","",F435-C435)</f>
        <v/>
      </c>
    </row>
    <row r="436">
      <c r="A436" t="inlineStr">
        <is>
          <t>Thousand Sons</t>
        </is>
      </c>
      <c r="B436" t="inlineStr">
        <is>
          <t>Thousand Sons Forgefiend</t>
        </is>
      </c>
      <c r="G436">
        <f>IF(F436="","",F436-C436)</f>
        <v/>
      </c>
    </row>
    <row r="437">
      <c r="A437" t="inlineStr">
        <is>
          <t>Thousand Sons</t>
        </is>
      </c>
      <c r="B437" t="inlineStr">
        <is>
          <t>Thousand Sons Helbrute</t>
        </is>
      </c>
      <c r="G437">
        <f>IF(F437="","",F437-C437)</f>
        <v/>
      </c>
    </row>
    <row r="438">
      <c r="A438" t="inlineStr">
        <is>
          <t>Thousand Sons</t>
        </is>
      </c>
      <c r="B438" t="inlineStr">
        <is>
          <t>Thousand Sons Land Raider</t>
        </is>
      </c>
      <c r="G438">
        <f>IF(F438="","",F438-C438)</f>
        <v/>
      </c>
    </row>
    <row r="439">
      <c r="A439" t="inlineStr">
        <is>
          <t>Thousand Sons</t>
        </is>
      </c>
      <c r="B439" t="inlineStr">
        <is>
          <t>Thousand Sons Predator Annihilator</t>
        </is>
      </c>
      <c r="G439">
        <f>IF(F439="","",F439-C439)</f>
        <v/>
      </c>
    </row>
    <row r="440">
      <c r="A440" t="inlineStr">
        <is>
          <t>Thousand Sons</t>
        </is>
      </c>
      <c r="B440" t="inlineStr">
        <is>
          <t>Thousand Sons Predator Destructor</t>
        </is>
      </c>
      <c r="G440">
        <f>IF(F440="","",F440-C440)</f>
        <v/>
      </c>
    </row>
    <row r="441">
      <c r="A441" t="inlineStr">
        <is>
          <t>Thousand Sons</t>
        </is>
      </c>
      <c r="B441" t="inlineStr">
        <is>
          <t>Thousand Sons Rhino</t>
        </is>
      </c>
      <c r="G441">
        <f>IF(F441="","",F441-C441)</f>
        <v/>
      </c>
    </row>
    <row r="442">
      <c r="A442" t="inlineStr">
        <is>
          <t>Thousand Sons</t>
        </is>
      </c>
      <c r="B442" t="inlineStr">
        <is>
          <t>Tzaangor Enlightened</t>
        </is>
      </c>
      <c r="G442">
        <f>IF(F442="","",F442-C442)</f>
        <v/>
      </c>
    </row>
    <row r="443">
      <c r="A443" t="inlineStr">
        <is>
          <t>Thousand Sons</t>
        </is>
      </c>
      <c r="B443" t="inlineStr">
        <is>
          <t>Tzaangor Shaman</t>
        </is>
      </c>
      <c r="G443">
        <f>IF(F443="","",F443-C443)</f>
        <v/>
      </c>
    </row>
    <row r="444">
      <c r="A444" t="inlineStr">
        <is>
          <t>Thousand Sons</t>
        </is>
      </c>
      <c r="B444" t="inlineStr">
        <is>
          <t>Tzaangors</t>
        </is>
      </c>
      <c r="G444">
        <f>IF(F444="","",F444-C444)</f>
        <v/>
      </c>
    </row>
    <row r="445">
      <c r="A445" t="inlineStr">
        <is>
          <t>World Eaters</t>
        </is>
      </c>
      <c r="B445" t="inlineStr">
        <is>
          <t>Angron</t>
        </is>
      </c>
      <c r="G445">
        <f>IF(F445="","",F445-C445)</f>
        <v/>
      </c>
    </row>
    <row r="446">
      <c r="A446" t="inlineStr">
        <is>
          <t>World Eaters</t>
        </is>
      </c>
      <c r="B446" t="inlineStr">
        <is>
          <t>Eightbound</t>
        </is>
      </c>
      <c r="G446">
        <f>IF(F446="","",F446-C446)</f>
        <v/>
      </c>
    </row>
    <row r="447">
      <c r="A447" t="inlineStr">
        <is>
          <t>World Eaters</t>
        </is>
      </c>
      <c r="B447" t="inlineStr">
        <is>
          <t>Exalted Eightbound</t>
        </is>
      </c>
      <c r="G447">
        <f>IF(F447="","",F447-C447)</f>
        <v/>
      </c>
    </row>
    <row r="448">
      <c r="A448" t="inlineStr">
        <is>
          <t>World Eaters</t>
        </is>
      </c>
      <c r="B448" t="inlineStr">
        <is>
          <t>Jakhals</t>
        </is>
      </c>
      <c r="G448">
        <f>IF(F448="","",F448-C448)</f>
        <v/>
      </c>
    </row>
    <row r="449">
      <c r="A449" t="inlineStr">
        <is>
          <t>World Eaters</t>
        </is>
      </c>
      <c r="B449" t="inlineStr">
        <is>
          <t>Khârn the Betrayer</t>
        </is>
      </c>
      <c r="G449">
        <f>IF(F449="","",F449-C449)</f>
        <v/>
      </c>
    </row>
    <row r="450">
      <c r="A450" t="inlineStr">
        <is>
          <t>World Eaters</t>
        </is>
      </c>
      <c r="B450" t="inlineStr">
        <is>
          <t>Khorne Berzerkers</t>
        </is>
      </c>
      <c r="G450">
        <f>IF(F450="","",F450-C450)</f>
        <v/>
      </c>
    </row>
    <row r="451">
      <c r="A451" t="inlineStr">
        <is>
          <t>World Eaters</t>
        </is>
      </c>
      <c r="B451" t="inlineStr">
        <is>
          <t>Khorne Lord of Skulls</t>
        </is>
      </c>
      <c r="G451">
        <f>IF(F451="","",F451-C451)</f>
        <v/>
      </c>
    </row>
    <row r="452">
      <c r="A452" t="inlineStr">
        <is>
          <t>World Eaters</t>
        </is>
      </c>
      <c r="B452" t="inlineStr">
        <is>
          <t>Lord Invocatus</t>
        </is>
      </c>
      <c r="G452">
        <f>IF(F452="","",F452-C452)</f>
        <v/>
      </c>
    </row>
    <row r="453">
      <c r="A453" t="inlineStr">
        <is>
          <t>World Eaters</t>
        </is>
      </c>
      <c r="B453" t="inlineStr">
        <is>
          <t>World Eaters Chaos Spawn</t>
        </is>
      </c>
      <c r="G453">
        <f>IF(F453="","",F453-C453)</f>
        <v/>
      </c>
    </row>
    <row r="454">
      <c r="A454" t="inlineStr">
        <is>
          <t>World Eaters</t>
        </is>
      </c>
      <c r="B454" t="inlineStr">
        <is>
          <t>World Eaters Daemon Prince</t>
        </is>
      </c>
      <c r="G454">
        <f>IF(F454="","",F454-C454)</f>
        <v/>
      </c>
    </row>
    <row r="455">
      <c r="A455" t="inlineStr">
        <is>
          <t>World Eaters</t>
        </is>
      </c>
      <c r="B455" t="inlineStr">
        <is>
          <t>World Eaters Daemon Prince with Wings</t>
        </is>
      </c>
      <c r="G455">
        <f>IF(F455="","",F455-C455)</f>
        <v/>
      </c>
    </row>
    <row r="456">
      <c r="A456" t="inlineStr">
        <is>
          <t>World Eaters</t>
        </is>
      </c>
      <c r="B456" t="inlineStr">
        <is>
          <t>World Eaters Defiler</t>
        </is>
      </c>
      <c r="G456">
        <f>IF(F456="","",F456-C456)</f>
        <v/>
      </c>
    </row>
    <row r="457">
      <c r="A457" t="inlineStr">
        <is>
          <t>World Eaters</t>
        </is>
      </c>
      <c r="B457" t="inlineStr">
        <is>
          <t>World Eaters Forgefiend</t>
        </is>
      </c>
      <c r="G457">
        <f>IF(F457="","",F457-C457)</f>
        <v/>
      </c>
    </row>
    <row r="458">
      <c r="A458" t="inlineStr">
        <is>
          <t>World Eaters</t>
        </is>
      </c>
      <c r="B458" t="inlineStr">
        <is>
          <t>World Eaters Helbrute</t>
        </is>
      </c>
      <c r="G458">
        <f>IF(F458="","",F458-C458)</f>
        <v/>
      </c>
    </row>
    <row r="459">
      <c r="A459" t="inlineStr">
        <is>
          <t>World Eaters</t>
        </is>
      </c>
      <c r="B459" t="inlineStr">
        <is>
          <t>World Eaters Land Raider</t>
        </is>
      </c>
      <c r="G459">
        <f>IF(F459="","",F459-C459)</f>
        <v/>
      </c>
    </row>
    <row r="460">
      <c r="A460" t="inlineStr">
        <is>
          <t>World Eaters</t>
        </is>
      </c>
      <c r="B460" t="inlineStr">
        <is>
          <t>World Eaters Lord on Juggernaut</t>
        </is>
      </c>
      <c r="G460">
        <f>IF(F460="","",F460-C460)</f>
        <v/>
      </c>
    </row>
    <row r="461">
      <c r="A461" t="inlineStr">
        <is>
          <t>World Eaters</t>
        </is>
      </c>
      <c r="B461" t="inlineStr">
        <is>
          <t>World Eaters Master of Executions</t>
        </is>
      </c>
      <c r="G461">
        <f>IF(F461="","",F461-C461)</f>
        <v/>
      </c>
    </row>
    <row r="462">
      <c r="A462" t="inlineStr">
        <is>
          <t>World Eaters</t>
        </is>
      </c>
      <c r="B462" t="inlineStr">
        <is>
          <t>World Eaters Maulerfiend</t>
        </is>
      </c>
      <c r="G462">
        <f>IF(F462="","",F462-C462)</f>
        <v/>
      </c>
    </row>
    <row r="463">
      <c r="A463" t="inlineStr">
        <is>
          <t>World Eaters</t>
        </is>
      </c>
      <c r="B463" t="inlineStr">
        <is>
          <t>World Eaters Predator Annihilator</t>
        </is>
      </c>
      <c r="G463">
        <f>IF(F463="","",F463-C463)</f>
        <v/>
      </c>
    </row>
    <row r="464">
      <c r="A464" t="inlineStr">
        <is>
          <t>World Eaters</t>
        </is>
      </c>
      <c r="B464" t="inlineStr">
        <is>
          <t>World Eaters Predator Destructor</t>
        </is>
      </c>
      <c r="G464">
        <f>IF(F464="","",F464-C464)</f>
        <v/>
      </c>
    </row>
    <row r="465">
      <c r="A465" t="inlineStr">
        <is>
          <t>World Eaters</t>
        </is>
      </c>
      <c r="B465" t="inlineStr">
        <is>
          <t>World Eaters Rhino</t>
        </is>
      </c>
      <c r="G465">
        <f>IF(F465="","",F465-C465)</f>
        <v/>
      </c>
    </row>
    <row r="466">
      <c r="A466" t="inlineStr">
        <is>
          <t>World Eaters</t>
        </is>
      </c>
      <c r="B466" t="inlineStr">
        <is>
          <t>World Eaters Terminator Squad</t>
        </is>
      </c>
      <c r="G466">
        <f>IF(F466="","",F466-C466)</f>
        <v/>
      </c>
    </row>
    <row r="467">
      <c r="A467" t="inlineStr">
        <is>
          <t>Chaos Daemons</t>
        </is>
      </c>
      <c r="B467" t="inlineStr">
        <is>
          <t>Be'lakor</t>
        </is>
      </c>
      <c r="G467">
        <f>IF(F467="","",F467-C467)</f>
        <v/>
      </c>
    </row>
    <row r="468">
      <c r="A468" t="inlineStr">
        <is>
          <t>Chaos Daemons</t>
        </is>
      </c>
      <c r="B468" t="inlineStr">
        <is>
          <t>Beasts of Nurgle</t>
        </is>
      </c>
      <c r="G468">
        <f>IF(F468="","",F468-C468)</f>
        <v/>
      </c>
    </row>
    <row r="469">
      <c r="A469" t="inlineStr">
        <is>
          <t>Chaos Daemons</t>
        </is>
      </c>
      <c r="B469" t="inlineStr">
        <is>
          <t>Bloodcrushers</t>
        </is>
      </c>
      <c r="G469">
        <f>IF(F469="","",F469-C469)</f>
        <v/>
      </c>
    </row>
    <row r="470">
      <c r="A470" t="inlineStr">
        <is>
          <t>Chaos Daemons</t>
        </is>
      </c>
      <c r="B470" t="inlineStr">
        <is>
          <t>Bloodletters</t>
        </is>
      </c>
      <c r="G470">
        <f>IF(F470="","",F470-C470)</f>
        <v/>
      </c>
    </row>
    <row r="471">
      <c r="A471" t="inlineStr">
        <is>
          <t>Chaos Daemons</t>
        </is>
      </c>
      <c r="B471" t="inlineStr">
        <is>
          <t>Bloodmaster</t>
        </is>
      </c>
      <c r="G471">
        <f>IF(F471="","",F471-C471)</f>
        <v/>
      </c>
    </row>
    <row r="472">
      <c r="A472" t="inlineStr">
        <is>
          <t>Chaos Daemons</t>
        </is>
      </c>
      <c r="B472" t="inlineStr">
        <is>
          <t>Bloodthirster</t>
        </is>
      </c>
      <c r="G472">
        <f>IF(F472="","",F472-C472)</f>
        <v/>
      </c>
    </row>
    <row r="473">
      <c r="A473" t="inlineStr">
        <is>
          <t>Chaos Daemons</t>
        </is>
      </c>
      <c r="B473" t="inlineStr">
        <is>
          <t>Blue Horrors</t>
        </is>
      </c>
      <c r="G473">
        <f>IF(F473="","",F473-C473)</f>
        <v/>
      </c>
    </row>
    <row r="474">
      <c r="A474" t="inlineStr">
        <is>
          <t>Chaos Daemons</t>
        </is>
      </c>
      <c r="B474" t="inlineStr">
        <is>
          <t>Burning Chariot</t>
        </is>
      </c>
      <c r="G474">
        <f>IF(F474="","",F474-C474)</f>
        <v/>
      </c>
    </row>
    <row r="475">
      <c r="A475" t="inlineStr">
        <is>
          <t>Chaos Daemons</t>
        </is>
      </c>
      <c r="B475" t="inlineStr">
        <is>
          <t>Changecaster</t>
        </is>
      </c>
      <c r="G475">
        <f>IF(F475="","",F475-C475)</f>
        <v/>
      </c>
    </row>
    <row r="476">
      <c r="A476" t="inlineStr">
        <is>
          <t>Chaos Daemons</t>
        </is>
      </c>
      <c r="B476" t="inlineStr">
        <is>
          <t>Contorted Epitome</t>
        </is>
      </c>
      <c r="G476">
        <f>IF(F476="","",F476-C476)</f>
        <v/>
      </c>
    </row>
    <row r="477">
      <c r="A477" t="inlineStr">
        <is>
          <t>Chaos Daemons</t>
        </is>
      </c>
      <c r="B477" t="inlineStr">
        <is>
          <t>Daemonettes</t>
        </is>
      </c>
      <c r="G477">
        <f>IF(F477="","",F477-C477)</f>
        <v/>
      </c>
    </row>
    <row r="478">
      <c r="A478" t="inlineStr">
        <is>
          <t>Chaos Daemons</t>
        </is>
      </c>
      <c r="B478" t="inlineStr">
        <is>
          <t>Epidemius</t>
        </is>
      </c>
      <c r="G478">
        <f>IF(F478="","",F478-C478)</f>
        <v/>
      </c>
    </row>
    <row r="479">
      <c r="A479" t="inlineStr">
        <is>
          <t>Chaos Daemons</t>
        </is>
      </c>
      <c r="B479" t="inlineStr">
        <is>
          <t>Exalted Flamer</t>
        </is>
      </c>
      <c r="G479">
        <f>IF(F479="","",F479-C479)</f>
        <v/>
      </c>
    </row>
    <row r="480">
      <c r="A480" t="inlineStr">
        <is>
          <t>Chaos Daemons</t>
        </is>
      </c>
      <c r="B480" t="inlineStr">
        <is>
          <t>Fateskimmer</t>
        </is>
      </c>
      <c r="G480">
        <f>IF(F480="","",F480-C480)</f>
        <v/>
      </c>
    </row>
    <row r="481">
      <c r="A481" t="inlineStr">
        <is>
          <t>Chaos Daemons</t>
        </is>
      </c>
      <c r="B481" t="inlineStr">
        <is>
          <t>Flesh Hounds</t>
        </is>
      </c>
      <c r="G481">
        <f>IF(F481="","",F481-C481)</f>
        <v/>
      </c>
    </row>
    <row r="482">
      <c r="A482" t="inlineStr">
        <is>
          <t>Chaos Daemons</t>
        </is>
      </c>
      <c r="B482" t="inlineStr">
        <is>
          <t>Fluxmaster</t>
        </is>
      </c>
      <c r="G482">
        <f>IF(F482="","",F482-C482)</f>
        <v/>
      </c>
    </row>
    <row r="483">
      <c r="A483" t="inlineStr">
        <is>
          <t>Chaos Daemons</t>
        </is>
      </c>
      <c r="B483" t="inlineStr">
        <is>
          <t>Great Unclean One</t>
        </is>
      </c>
      <c r="G483">
        <f>IF(F483="","",F483-C483)</f>
        <v/>
      </c>
    </row>
    <row r="484">
      <c r="A484" t="inlineStr">
        <is>
          <t>Chaos Daemons</t>
        </is>
      </c>
      <c r="B484" t="inlineStr">
        <is>
          <t>Horticulous Slimux</t>
        </is>
      </c>
      <c r="G484">
        <f>IF(F484="","",F484-C484)</f>
        <v/>
      </c>
    </row>
    <row r="485">
      <c r="A485" t="inlineStr">
        <is>
          <t>Chaos Daemons</t>
        </is>
      </c>
      <c r="B485" t="inlineStr">
        <is>
          <t>Infernal Enrapturess</t>
        </is>
      </c>
      <c r="G485">
        <f>IF(F485="","",F485-C485)</f>
        <v/>
      </c>
    </row>
    <row r="486">
      <c r="A486" t="inlineStr">
        <is>
          <t>Chaos Daemons</t>
        </is>
      </c>
      <c r="B486" t="inlineStr">
        <is>
          <t>Kairos Fateweaver</t>
        </is>
      </c>
      <c r="G486">
        <f>IF(F486="","",F486-C486)</f>
        <v/>
      </c>
    </row>
    <row r="487">
      <c r="A487" t="inlineStr">
        <is>
          <t>Chaos Daemons</t>
        </is>
      </c>
      <c r="B487" t="inlineStr">
        <is>
          <t>Keeper of Secrets</t>
        </is>
      </c>
      <c r="G487">
        <f>IF(F487="","",F487-C487)</f>
        <v/>
      </c>
    </row>
    <row r="488">
      <c r="A488" t="inlineStr">
        <is>
          <t>Chaos Daemons</t>
        </is>
      </c>
      <c r="B488" t="inlineStr">
        <is>
          <t>Karanak</t>
        </is>
      </c>
      <c r="G488">
        <f>IF(F488="","",F488-C488)</f>
        <v/>
      </c>
    </row>
    <row r="489">
      <c r="A489" t="inlineStr">
        <is>
          <t>Chaos Daemons</t>
        </is>
      </c>
      <c r="B489" t="inlineStr">
        <is>
          <t>Lord of Change</t>
        </is>
      </c>
      <c r="G489">
        <f>IF(F489="","",F489-C489)</f>
        <v/>
      </c>
    </row>
    <row r="490">
      <c r="A490" t="inlineStr">
        <is>
          <t>Chaos Daemons</t>
        </is>
      </c>
      <c r="B490" t="inlineStr">
        <is>
          <t>Nurglings</t>
        </is>
      </c>
      <c r="G490">
        <f>IF(F490="","",F490-C490)</f>
        <v/>
      </c>
    </row>
    <row r="491">
      <c r="A491" t="inlineStr">
        <is>
          <t>Chaos Daemons</t>
        </is>
      </c>
      <c r="B491" t="inlineStr">
        <is>
          <t>Pink Horrors</t>
        </is>
      </c>
      <c r="G491">
        <f>IF(F491="","",F491-C491)</f>
        <v/>
      </c>
    </row>
    <row r="492">
      <c r="A492" t="inlineStr">
        <is>
          <t>Chaos Daemons</t>
        </is>
      </c>
      <c r="B492" t="inlineStr">
        <is>
          <t>Plague Drones</t>
        </is>
      </c>
      <c r="G492">
        <f>IF(F492="","",F492-C492)</f>
        <v/>
      </c>
    </row>
    <row r="493">
      <c r="A493" t="inlineStr">
        <is>
          <t>Chaos Daemons</t>
        </is>
      </c>
      <c r="B493" t="inlineStr">
        <is>
          <t>Plaguebearers</t>
        </is>
      </c>
      <c r="G493">
        <f>IF(F493="","",F493-C493)</f>
        <v/>
      </c>
    </row>
    <row r="494">
      <c r="A494" t="inlineStr">
        <is>
          <t>Chaos Daemons</t>
        </is>
      </c>
      <c r="B494" t="inlineStr">
        <is>
          <t>Poxbringer</t>
        </is>
      </c>
      <c r="G494">
        <f>IF(F494="","",F494-C494)</f>
        <v/>
      </c>
    </row>
    <row r="495">
      <c r="A495" t="inlineStr">
        <is>
          <t>Chaos Daemons</t>
        </is>
      </c>
      <c r="B495" t="inlineStr">
        <is>
          <t>Rendmaster on Blood Throne</t>
        </is>
      </c>
      <c r="G495">
        <f>IF(F495="","",F495-C495)</f>
        <v/>
      </c>
    </row>
    <row r="496">
      <c r="A496" t="inlineStr">
        <is>
          <t>Chaos Daemons</t>
        </is>
      </c>
      <c r="B496" t="inlineStr">
        <is>
          <t>Rotigus</t>
        </is>
      </c>
      <c r="G496">
        <f>IF(F496="","",F496-C496)</f>
        <v/>
      </c>
    </row>
    <row r="497">
      <c r="A497" t="inlineStr">
        <is>
          <t>Chaos Daemons</t>
        </is>
      </c>
      <c r="B497" t="inlineStr">
        <is>
          <t>Screamers</t>
        </is>
      </c>
      <c r="G497">
        <f>IF(F497="","",F497-C497)</f>
        <v/>
      </c>
    </row>
    <row r="498">
      <c r="A498" t="inlineStr">
        <is>
          <t>Chaos Daemons</t>
        </is>
      </c>
      <c r="B498" t="inlineStr">
        <is>
          <t>Seekers</t>
        </is>
      </c>
      <c r="G498">
        <f>IF(F498="","",F498-C498)</f>
        <v/>
      </c>
    </row>
    <row r="499">
      <c r="A499" t="inlineStr">
        <is>
          <t>Chaos Daemons</t>
        </is>
      </c>
      <c r="B499" t="inlineStr">
        <is>
          <t>Shalaxi Helbane</t>
        </is>
      </c>
      <c r="G499">
        <f>IF(F499="","",F499-C499)</f>
        <v/>
      </c>
    </row>
    <row r="500">
      <c r="A500" t="inlineStr">
        <is>
          <t>Chaos Daemons</t>
        </is>
      </c>
      <c r="B500" t="inlineStr">
        <is>
          <t>Skull Cannon</t>
        </is>
      </c>
      <c r="G500">
        <f>IF(F500="","",F500-C500)</f>
        <v/>
      </c>
    </row>
    <row r="501">
      <c r="A501" t="inlineStr">
        <is>
          <t>Chaos Daemons</t>
        </is>
      </c>
      <c r="B501" t="inlineStr">
        <is>
          <t>Skullmaster</t>
        </is>
      </c>
      <c r="G501">
        <f>IF(F501="","",F501-C501)</f>
        <v/>
      </c>
    </row>
    <row r="502">
      <c r="A502" t="inlineStr">
        <is>
          <t>Chaos Daemons</t>
        </is>
      </c>
      <c r="B502" t="inlineStr">
        <is>
          <t>Skulltaker</t>
        </is>
      </c>
      <c r="G502">
        <f>IF(F502="","",F502-C502)</f>
        <v/>
      </c>
    </row>
    <row r="503">
      <c r="A503" t="inlineStr">
        <is>
          <t>Chaos Daemons</t>
        </is>
      </c>
      <c r="B503" t="inlineStr">
        <is>
          <t>Sloppity Bilepiper</t>
        </is>
      </c>
      <c r="G503">
        <f>IF(F503="","",F503-C503)</f>
        <v/>
      </c>
    </row>
    <row r="504">
      <c r="A504" t="inlineStr">
        <is>
          <t>Chaos Daemons</t>
        </is>
      </c>
      <c r="B504" t="inlineStr">
        <is>
          <t>Soul Grinder</t>
        </is>
      </c>
      <c r="G504">
        <f>IF(F504="","",F504-C504)</f>
        <v/>
      </c>
    </row>
    <row r="505">
      <c r="A505" t="inlineStr">
        <is>
          <t>Chaos Daemons</t>
        </is>
      </c>
      <c r="B505" t="inlineStr">
        <is>
          <t>Spoilpox Scrivener</t>
        </is>
      </c>
      <c r="G505">
        <f>IF(F505="","",F505-C505)</f>
        <v/>
      </c>
    </row>
    <row r="506">
      <c r="A506" t="inlineStr">
        <is>
          <t>Chaos Daemons</t>
        </is>
      </c>
      <c r="B506" t="inlineStr">
        <is>
          <t>Syll'Esske</t>
        </is>
      </c>
      <c r="G506">
        <f>IF(F506="","",F506-C506)</f>
        <v/>
      </c>
    </row>
    <row r="507">
      <c r="A507" t="inlineStr">
        <is>
          <t>Chaos Daemons</t>
        </is>
      </c>
      <c r="B507" t="inlineStr">
        <is>
          <t>The Blue Scribes</t>
        </is>
      </c>
      <c r="G507">
        <f>IF(F507="","",F507-C507)</f>
        <v/>
      </c>
    </row>
    <row r="508">
      <c r="A508" t="inlineStr">
        <is>
          <t>Chaos Daemons</t>
        </is>
      </c>
      <c r="B508" t="inlineStr">
        <is>
          <t>The Changeling</t>
        </is>
      </c>
      <c r="G508">
        <f>IF(F508="","",F508-C508)</f>
        <v/>
      </c>
    </row>
    <row r="509">
      <c r="A509" t="inlineStr">
        <is>
          <t>Chaos Daemons</t>
        </is>
      </c>
      <c r="B509" t="inlineStr">
        <is>
          <t>Tormentbringer on Exalted Seeker Chariot</t>
        </is>
      </c>
      <c r="G509">
        <f>IF(F509="","",F509-C509)</f>
        <v/>
      </c>
    </row>
    <row r="510">
      <c r="A510" t="inlineStr">
        <is>
          <t>Chaos Daemons</t>
        </is>
      </c>
      <c r="B510" t="inlineStr">
        <is>
          <t>Tranceweaver</t>
        </is>
      </c>
      <c r="G510">
        <f>IF(F510="","",F510-C510)</f>
        <v/>
      </c>
    </row>
    <row r="511">
      <c r="A511" t="inlineStr">
        <is>
          <t>Chaos Knights</t>
        </is>
      </c>
      <c r="B511" t="inlineStr">
        <is>
          <t>Knight Abominant</t>
        </is>
      </c>
      <c r="G511">
        <f>IF(F511="","",F511-C511)</f>
        <v/>
      </c>
    </row>
    <row r="512">
      <c r="A512" t="inlineStr">
        <is>
          <t>Chaos Knights</t>
        </is>
      </c>
      <c r="B512" t="inlineStr">
        <is>
          <t>Knight Desecrator</t>
        </is>
      </c>
      <c r="G512">
        <f>IF(F512="","",F512-C512)</f>
        <v/>
      </c>
    </row>
    <row r="513">
      <c r="A513" t="inlineStr">
        <is>
          <t>Chaos Knights</t>
        </is>
      </c>
      <c r="B513" t="inlineStr">
        <is>
          <t>Knight Despoiler</t>
        </is>
      </c>
      <c r="G513">
        <f>IF(F513="","",F513-C513)</f>
        <v/>
      </c>
    </row>
    <row r="514">
      <c r="A514" t="inlineStr">
        <is>
          <t>Chaos Knights</t>
        </is>
      </c>
      <c r="B514" t="inlineStr">
        <is>
          <t>Knight Rampager</t>
        </is>
      </c>
      <c r="G514">
        <f>IF(F514="","",F514-C514)</f>
        <v/>
      </c>
    </row>
    <row r="515">
      <c r="A515" t="inlineStr">
        <is>
          <t>Chaos Knights</t>
        </is>
      </c>
      <c r="B515" t="inlineStr">
        <is>
          <t>Knight Tyrant</t>
        </is>
      </c>
      <c r="G515">
        <f>IF(F515="","",F515-C515)</f>
        <v/>
      </c>
    </row>
    <row r="516">
      <c r="A516" t="inlineStr">
        <is>
          <t>Chaos Knights</t>
        </is>
      </c>
      <c r="B516" t="inlineStr">
        <is>
          <t>War Dog Brigand</t>
        </is>
      </c>
      <c r="G516">
        <f>IF(F516="","",F516-C516)</f>
        <v/>
      </c>
    </row>
    <row r="517">
      <c r="A517" t="inlineStr">
        <is>
          <t>Chaos Knights</t>
        </is>
      </c>
      <c r="B517" t="inlineStr">
        <is>
          <t>War Dog Executioner</t>
        </is>
      </c>
      <c r="G517">
        <f>IF(F517="","",F517-C517)</f>
        <v/>
      </c>
    </row>
    <row r="518">
      <c r="A518" t="inlineStr">
        <is>
          <t>Chaos Knights</t>
        </is>
      </c>
      <c r="B518" t="inlineStr">
        <is>
          <t>War Dog Huntsman</t>
        </is>
      </c>
      <c r="G518">
        <f>IF(F518="","",F518-C518)</f>
        <v/>
      </c>
    </row>
    <row r="519">
      <c r="A519" t="inlineStr">
        <is>
          <t>Chaos Knights</t>
        </is>
      </c>
      <c r="B519" t="inlineStr">
        <is>
          <t>War Dog Karnivore</t>
        </is>
      </c>
      <c r="G519">
        <f>IF(F519="","",F519-C519)</f>
        <v/>
      </c>
    </row>
    <row r="520">
      <c r="A520" t="inlineStr">
        <is>
          <t>Chaos Knights</t>
        </is>
      </c>
      <c r="B520" t="inlineStr">
        <is>
          <t>War Dog Stalker</t>
        </is>
      </c>
      <c r="G520">
        <f>IF(F520="","",F520-C520)</f>
        <v/>
      </c>
    </row>
    <row r="521">
      <c r="A521" t="inlineStr">
        <is>
          <t>Aeldari</t>
        </is>
      </c>
      <c r="B521" t="inlineStr">
        <is>
          <t>Asurmen</t>
        </is>
      </c>
      <c r="G521">
        <f>IF(F521="","",F521-C521)</f>
        <v/>
      </c>
    </row>
    <row r="522">
      <c r="A522" t="inlineStr">
        <is>
          <t>Aeldari</t>
        </is>
      </c>
      <c r="B522" t="inlineStr">
        <is>
          <t>Autarch</t>
        </is>
      </c>
      <c r="G522">
        <f>IF(F522="","",F522-C522)</f>
        <v/>
      </c>
    </row>
    <row r="523">
      <c r="A523" t="inlineStr">
        <is>
          <t>Aeldari</t>
        </is>
      </c>
      <c r="B523" t="inlineStr">
        <is>
          <t>Autarch Skyrunner</t>
        </is>
      </c>
      <c r="G523">
        <f>IF(F523="","",F523-C523)</f>
        <v/>
      </c>
    </row>
    <row r="524">
      <c r="A524" t="inlineStr">
        <is>
          <t>Aeldari</t>
        </is>
      </c>
      <c r="B524" t="inlineStr">
        <is>
          <t>Autarch Wayleaper</t>
        </is>
      </c>
      <c r="G524">
        <f>IF(F524="","",F524-C524)</f>
        <v/>
      </c>
    </row>
    <row r="525">
      <c r="A525" t="inlineStr">
        <is>
          <t>Aeldari</t>
        </is>
      </c>
      <c r="B525" t="inlineStr">
        <is>
          <t>Avatar of Khaine</t>
        </is>
      </c>
      <c r="G525">
        <f>IF(F525="","",F525-C525)</f>
        <v/>
      </c>
    </row>
    <row r="526">
      <c r="A526" t="inlineStr">
        <is>
          <t>Aeldari</t>
        </is>
      </c>
      <c r="B526" t="inlineStr">
        <is>
          <t>Baharroth</t>
        </is>
      </c>
      <c r="G526">
        <f>IF(F526="","",F526-C526)</f>
        <v/>
      </c>
    </row>
    <row r="527">
      <c r="A527" t="inlineStr">
        <is>
          <t>Aeldari</t>
        </is>
      </c>
      <c r="B527" t="inlineStr">
        <is>
          <t>Corsair Voidreavers</t>
        </is>
      </c>
      <c r="G527">
        <f>IF(F527="","",F527-C527)</f>
        <v/>
      </c>
    </row>
    <row r="528">
      <c r="A528" t="inlineStr">
        <is>
          <t>Aeldari</t>
        </is>
      </c>
      <c r="B528" t="inlineStr">
        <is>
          <t>Corsair Voidscarred</t>
        </is>
      </c>
      <c r="G528">
        <f>IF(F528="","",F528-C528)</f>
        <v/>
      </c>
    </row>
    <row r="529">
      <c r="A529" t="inlineStr">
        <is>
          <t>Aeldari</t>
        </is>
      </c>
      <c r="B529" t="inlineStr">
        <is>
          <t>Crimson Hunter</t>
        </is>
      </c>
      <c r="G529">
        <f>IF(F529="","",F529-C529)</f>
        <v/>
      </c>
    </row>
    <row r="530">
      <c r="A530" t="inlineStr">
        <is>
          <t>Aeldari</t>
        </is>
      </c>
      <c r="B530" t="inlineStr">
        <is>
          <t>Dark Reapers</t>
        </is>
      </c>
      <c r="G530">
        <f>IF(F530="","",F530-C530)</f>
        <v/>
      </c>
    </row>
    <row r="531">
      <c r="A531" t="inlineStr">
        <is>
          <t>Aeldari</t>
        </is>
      </c>
      <c r="B531" t="inlineStr">
        <is>
          <t>Dire Avengers</t>
        </is>
      </c>
      <c r="G531">
        <f>IF(F531="","",F531-C531)</f>
        <v/>
      </c>
    </row>
    <row r="532">
      <c r="A532" t="inlineStr">
        <is>
          <t>Aeldari</t>
        </is>
      </c>
      <c r="B532" t="inlineStr">
        <is>
          <t>Eldrad Ulthran</t>
        </is>
      </c>
      <c r="G532">
        <f>IF(F532="","",F532-C532)</f>
        <v/>
      </c>
    </row>
    <row r="533">
      <c r="A533" t="inlineStr">
        <is>
          <t>Aeldari</t>
        </is>
      </c>
      <c r="B533" t="inlineStr">
        <is>
          <t>Falcon</t>
        </is>
      </c>
      <c r="G533">
        <f>IF(F533="","",F533-C533)</f>
        <v/>
      </c>
    </row>
    <row r="534">
      <c r="A534" t="inlineStr">
        <is>
          <t>Aeldari</t>
        </is>
      </c>
      <c r="B534" t="inlineStr">
        <is>
          <t>Farseer</t>
        </is>
      </c>
      <c r="G534">
        <f>IF(F534="","",F534-C534)</f>
        <v/>
      </c>
    </row>
    <row r="535">
      <c r="A535" t="inlineStr">
        <is>
          <t>Aeldari</t>
        </is>
      </c>
      <c r="B535" t="inlineStr">
        <is>
          <t>Farseer Skyrunner</t>
        </is>
      </c>
      <c r="G535">
        <f>IF(F535="","",F535-C535)</f>
        <v/>
      </c>
    </row>
    <row r="536">
      <c r="A536" t="inlineStr">
        <is>
          <t>Aeldari</t>
        </is>
      </c>
      <c r="B536" t="inlineStr">
        <is>
          <t>Fire Dragons</t>
        </is>
      </c>
      <c r="G536">
        <f>IF(F536="","",F536-C536)</f>
        <v/>
      </c>
    </row>
    <row r="537">
      <c r="A537" t="inlineStr">
        <is>
          <t>Aeldari</t>
        </is>
      </c>
      <c r="B537" t="inlineStr">
        <is>
          <t>Fire Prism</t>
        </is>
      </c>
      <c r="G537">
        <f>IF(F537="","",F537-C537)</f>
        <v/>
      </c>
    </row>
    <row r="538">
      <c r="A538" t="inlineStr">
        <is>
          <t>Aeldari</t>
        </is>
      </c>
      <c r="B538" t="inlineStr">
        <is>
          <t>Fuegan</t>
        </is>
      </c>
      <c r="G538">
        <f>IF(F538="","",F538-C538)</f>
        <v/>
      </c>
    </row>
    <row r="539">
      <c r="A539" t="inlineStr">
        <is>
          <t>Aeldari</t>
        </is>
      </c>
      <c r="B539" t="inlineStr">
        <is>
          <t>Guardian Defenders</t>
        </is>
      </c>
      <c r="G539">
        <f>IF(F539="","",F539-C539)</f>
        <v/>
      </c>
    </row>
    <row r="540">
      <c r="A540" t="inlineStr">
        <is>
          <t>Aeldari</t>
        </is>
      </c>
      <c r="B540" t="inlineStr">
        <is>
          <t>Hemlock Wraithfighter</t>
        </is>
      </c>
      <c r="G540">
        <f>IF(F540="","",F540-C540)</f>
        <v/>
      </c>
    </row>
    <row r="541">
      <c r="A541" t="inlineStr">
        <is>
          <t>Aeldari</t>
        </is>
      </c>
      <c r="B541" t="inlineStr">
        <is>
          <t>Howling Banshees</t>
        </is>
      </c>
      <c r="G541">
        <f>IF(F541="","",F541-C541)</f>
        <v/>
      </c>
    </row>
    <row r="542">
      <c r="A542" t="inlineStr">
        <is>
          <t>Aeldari</t>
        </is>
      </c>
      <c r="B542" t="inlineStr">
        <is>
          <t>Illic Nightspear</t>
        </is>
      </c>
      <c r="G542">
        <f>IF(F542="","",F542-C542)</f>
        <v/>
      </c>
    </row>
    <row r="543">
      <c r="A543" t="inlineStr">
        <is>
          <t>Aeldari</t>
        </is>
      </c>
      <c r="B543" t="inlineStr">
        <is>
          <t>Jain Zar</t>
        </is>
      </c>
      <c r="G543">
        <f>IF(F543="","",F543-C543)</f>
        <v/>
      </c>
    </row>
    <row r="544">
      <c r="A544" t="inlineStr">
        <is>
          <t>Aeldari</t>
        </is>
      </c>
      <c r="B544" t="inlineStr">
        <is>
          <t>Karandras</t>
        </is>
      </c>
      <c r="G544">
        <f>IF(F544="","",F544-C544)</f>
        <v/>
      </c>
    </row>
    <row r="545">
      <c r="A545" t="inlineStr">
        <is>
          <t>Aeldari</t>
        </is>
      </c>
      <c r="B545" t="inlineStr">
        <is>
          <t>Maugan Ra</t>
        </is>
      </c>
      <c r="G545">
        <f>IF(F545="","",F545-C545)</f>
        <v/>
      </c>
    </row>
    <row r="546">
      <c r="A546" t="inlineStr">
        <is>
          <t>Aeldari</t>
        </is>
      </c>
      <c r="B546" t="inlineStr">
        <is>
          <t>Night Spinner</t>
        </is>
      </c>
      <c r="G546">
        <f>IF(F546="","",F546-C546)</f>
        <v/>
      </c>
    </row>
    <row r="547">
      <c r="A547" t="inlineStr">
        <is>
          <t>Aeldari</t>
        </is>
      </c>
      <c r="B547" t="inlineStr">
        <is>
          <t>Prince Yriel</t>
        </is>
      </c>
      <c r="G547">
        <f>IF(F547="","",F547-C547)</f>
        <v/>
      </c>
    </row>
    <row r="548">
      <c r="A548" t="inlineStr">
        <is>
          <t>Aeldari</t>
        </is>
      </c>
      <c r="B548" t="inlineStr">
        <is>
          <t>Rangers</t>
        </is>
      </c>
      <c r="G548">
        <f>IF(F548="","",F548-C548)</f>
        <v/>
      </c>
    </row>
    <row r="549">
      <c r="A549" t="inlineStr">
        <is>
          <t>Aeldari</t>
        </is>
      </c>
      <c r="B549" t="inlineStr">
        <is>
          <t>Shining Spears</t>
        </is>
      </c>
      <c r="G549">
        <f>IF(F549="","",F549-C549)</f>
        <v/>
      </c>
    </row>
    <row r="550">
      <c r="A550" t="inlineStr">
        <is>
          <t>Aeldari</t>
        </is>
      </c>
      <c r="B550" t="inlineStr">
        <is>
          <t>Shroud Runners</t>
        </is>
      </c>
      <c r="G550">
        <f>IF(F550="","",F550-C550)</f>
        <v/>
      </c>
    </row>
    <row r="551">
      <c r="A551" t="inlineStr">
        <is>
          <t>Aeldari</t>
        </is>
      </c>
      <c r="B551" t="inlineStr">
        <is>
          <t>Spiritseer</t>
        </is>
      </c>
      <c r="G551">
        <f>IF(F551="","",F551-C551)</f>
        <v/>
      </c>
    </row>
    <row r="552">
      <c r="A552" t="inlineStr">
        <is>
          <t>Aeldari</t>
        </is>
      </c>
      <c r="B552" t="inlineStr">
        <is>
          <t>Striking Scorpions</t>
        </is>
      </c>
      <c r="G552">
        <f>IF(F552="","",F552-C552)</f>
        <v/>
      </c>
    </row>
    <row r="553">
      <c r="A553" t="inlineStr">
        <is>
          <t>Aeldari</t>
        </is>
      </c>
      <c r="B553" t="inlineStr">
        <is>
          <t>Swooping Hawks</t>
        </is>
      </c>
      <c r="G553">
        <f>IF(F553="","",F553-C553)</f>
        <v/>
      </c>
    </row>
    <row r="554">
      <c r="A554" t="inlineStr">
        <is>
          <t>Aeldari</t>
        </is>
      </c>
      <c r="B554" t="inlineStr">
        <is>
          <t>Support Weapons</t>
        </is>
      </c>
      <c r="G554">
        <f>IF(F554="","",F554-C554)</f>
        <v/>
      </c>
    </row>
    <row r="555">
      <c r="A555" t="inlineStr">
        <is>
          <t>Aeldari</t>
        </is>
      </c>
      <c r="B555" t="inlineStr">
        <is>
          <t>The Visarch</t>
        </is>
      </c>
      <c r="G555">
        <f>IF(F555="","",F555-C555)</f>
        <v/>
      </c>
    </row>
    <row r="556">
      <c r="A556" t="inlineStr">
        <is>
          <t>Aeldari</t>
        </is>
      </c>
      <c r="B556" t="inlineStr">
        <is>
          <t>The Yncarne</t>
        </is>
      </c>
      <c r="G556">
        <f>IF(F556="","",F556-C556)</f>
        <v/>
      </c>
    </row>
    <row r="557">
      <c r="A557" t="inlineStr">
        <is>
          <t>Aeldari</t>
        </is>
      </c>
      <c r="B557" t="inlineStr">
        <is>
          <t>Troupe</t>
        </is>
      </c>
      <c r="G557">
        <f>IF(F557="","",F557-C557)</f>
        <v/>
      </c>
    </row>
    <row r="558">
      <c r="A558" t="inlineStr">
        <is>
          <t>Aeldari</t>
        </is>
      </c>
      <c r="B558" t="inlineStr">
        <is>
          <t>Vypers</t>
        </is>
      </c>
      <c r="G558">
        <f>IF(F558="","",F558-C558)</f>
        <v/>
      </c>
    </row>
    <row r="559">
      <c r="A559" t="inlineStr">
        <is>
          <t>Aeldari</t>
        </is>
      </c>
      <c r="B559" t="inlineStr">
        <is>
          <t>War Walker</t>
        </is>
      </c>
      <c r="G559">
        <f>IF(F559="","",F559-C559)</f>
        <v/>
      </c>
    </row>
    <row r="560">
      <c r="A560" t="inlineStr">
        <is>
          <t>Aeldari</t>
        </is>
      </c>
      <c r="B560" t="inlineStr">
        <is>
          <t>Warlock</t>
        </is>
      </c>
      <c r="G560">
        <f>IF(F560="","",F560-C560)</f>
        <v/>
      </c>
    </row>
    <row r="561">
      <c r="A561" t="inlineStr">
        <is>
          <t>Aeldari</t>
        </is>
      </c>
      <c r="B561" t="inlineStr">
        <is>
          <t>Warlock Conclave</t>
        </is>
      </c>
      <c r="G561">
        <f>IF(F561="","",F561-C561)</f>
        <v/>
      </c>
    </row>
    <row r="562">
      <c r="A562" t="inlineStr">
        <is>
          <t>Aeldari</t>
        </is>
      </c>
      <c r="B562" t="inlineStr">
        <is>
          <t>Warlock Skyrunner</t>
        </is>
      </c>
      <c r="G562">
        <f>IF(F562="","",F562-C562)</f>
        <v/>
      </c>
    </row>
    <row r="563">
      <c r="A563" t="inlineStr">
        <is>
          <t>Aeldari</t>
        </is>
      </c>
      <c r="B563" t="inlineStr">
        <is>
          <t>Warlock Skyrunner Conclave</t>
        </is>
      </c>
      <c r="G563">
        <f>IF(F563="","",F563-C563)</f>
        <v/>
      </c>
    </row>
    <row r="564">
      <c r="A564" t="inlineStr">
        <is>
          <t>Aeldari</t>
        </is>
      </c>
      <c r="B564" t="inlineStr">
        <is>
          <t>Warp Spiders</t>
        </is>
      </c>
      <c r="G564">
        <f>IF(F564="","",F564-C564)</f>
        <v/>
      </c>
    </row>
    <row r="565">
      <c r="A565" t="inlineStr">
        <is>
          <t>Aeldari</t>
        </is>
      </c>
      <c r="B565" t="inlineStr">
        <is>
          <t>Wave Serpent</t>
        </is>
      </c>
      <c r="G565">
        <f>IF(F565="","",F565-C565)</f>
        <v/>
      </c>
    </row>
    <row r="566">
      <c r="A566" t="inlineStr">
        <is>
          <t>Aeldari</t>
        </is>
      </c>
      <c r="B566" t="inlineStr">
        <is>
          <t>Webway Gate</t>
        </is>
      </c>
      <c r="G566">
        <f>IF(F566="","",F566-C566)</f>
        <v/>
      </c>
    </row>
    <row r="567">
      <c r="A567" t="inlineStr">
        <is>
          <t>Aeldari</t>
        </is>
      </c>
      <c r="B567" t="inlineStr">
        <is>
          <t>Windriders</t>
        </is>
      </c>
      <c r="G567">
        <f>IF(F567="","",F567-C567)</f>
        <v/>
      </c>
    </row>
    <row r="568">
      <c r="A568" t="inlineStr">
        <is>
          <t>Aeldari</t>
        </is>
      </c>
      <c r="B568" t="inlineStr">
        <is>
          <t>Wraithblades</t>
        </is>
      </c>
      <c r="G568">
        <f>IF(F568="","",F568-C568)</f>
        <v/>
      </c>
    </row>
    <row r="569">
      <c r="A569" t="inlineStr">
        <is>
          <t>Aeldari</t>
        </is>
      </c>
      <c r="B569" t="inlineStr">
        <is>
          <t>Wraithguard</t>
        </is>
      </c>
      <c r="G569">
        <f>IF(F569="","",F569-C569)</f>
        <v/>
      </c>
    </row>
    <row r="570">
      <c r="A570" t="inlineStr">
        <is>
          <t>Aeldari</t>
        </is>
      </c>
      <c r="B570" t="inlineStr">
        <is>
          <t>Wraithknight</t>
        </is>
      </c>
      <c r="G570">
        <f>IF(F570="","",F570-C570)</f>
        <v/>
      </c>
    </row>
    <row r="571">
      <c r="A571" t="inlineStr">
        <is>
          <t>Aeldari</t>
        </is>
      </c>
      <c r="B571" t="inlineStr">
        <is>
          <t>Wraithlord</t>
        </is>
      </c>
      <c r="G571">
        <f>IF(F571="","",F571-C571)</f>
        <v/>
      </c>
    </row>
    <row r="572">
      <c r="A572" t="inlineStr">
        <is>
          <t>Aeldari</t>
        </is>
      </c>
      <c r="B572" t="inlineStr">
        <is>
          <t>Yvraine</t>
        </is>
      </c>
      <c r="G572">
        <f>IF(F572="","",F572-C572)</f>
        <v/>
      </c>
    </row>
    <row r="573">
      <c r="A573" t="inlineStr">
        <is>
          <t>Drukhari</t>
        </is>
      </c>
      <c r="B573" t="inlineStr">
        <is>
          <t>Archon</t>
        </is>
      </c>
      <c r="G573">
        <f>IF(F573="","",F573-C573)</f>
        <v/>
      </c>
    </row>
    <row r="574">
      <c r="A574" t="inlineStr">
        <is>
          <t>Drukhari</t>
        </is>
      </c>
      <c r="B574" t="inlineStr">
        <is>
          <t>Beastmaster</t>
        </is>
      </c>
      <c r="G574">
        <f>IF(F574="","",F574-C574)</f>
        <v/>
      </c>
    </row>
    <row r="575">
      <c r="A575" t="inlineStr">
        <is>
          <t>Drukhari</t>
        </is>
      </c>
      <c r="B575" t="inlineStr">
        <is>
          <t>Cronos</t>
        </is>
      </c>
      <c r="G575">
        <f>IF(F575="","",F575-C575)</f>
        <v/>
      </c>
    </row>
    <row r="576">
      <c r="A576" t="inlineStr">
        <is>
          <t>Drukhari</t>
        </is>
      </c>
      <c r="B576" t="inlineStr">
        <is>
          <t>Drazhar</t>
        </is>
      </c>
      <c r="G576">
        <f>IF(F576="","",F576-C576)</f>
        <v/>
      </c>
    </row>
    <row r="577">
      <c r="A577" t="inlineStr">
        <is>
          <t>Drukhari</t>
        </is>
      </c>
      <c r="B577" t="inlineStr">
        <is>
          <t>Grotesques</t>
        </is>
      </c>
      <c r="G577">
        <f>IF(F577="","",F577-C577)</f>
        <v/>
      </c>
    </row>
    <row r="578">
      <c r="A578" t="inlineStr">
        <is>
          <t>Drukhari</t>
        </is>
      </c>
      <c r="B578" t="inlineStr">
        <is>
          <t>Haemonculus</t>
        </is>
      </c>
      <c r="G578">
        <f>IF(F578="","",F578-C578)</f>
        <v/>
      </c>
    </row>
    <row r="579">
      <c r="A579" t="inlineStr">
        <is>
          <t>Drukhari</t>
        </is>
      </c>
      <c r="B579" t="inlineStr">
        <is>
          <t>Hellions</t>
        </is>
      </c>
      <c r="G579">
        <f>IF(F579="","",F579-C579)</f>
        <v/>
      </c>
    </row>
    <row r="580">
      <c r="A580" t="inlineStr">
        <is>
          <t>Drukhari</t>
        </is>
      </c>
      <c r="B580" t="inlineStr">
        <is>
          <t>Incubi</t>
        </is>
      </c>
      <c r="G580">
        <f>IF(F580="","",F580-C580)</f>
        <v/>
      </c>
    </row>
    <row r="581">
      <c r="A581" t="inlineStr">
        <is>
          <t>Drukhari</t>
        </is>
      </c>
      <c r="B581" t="inlineStr">
        <is>
          <t>Kabalite Warriors</t>
        </is>
      </c>
      <c r="G581">
        <f>IF(F581="","",F581-C581)</f>
        <v/>
      </c>
    </row>
    <row r="582">
      <c r="A582" t="inlineStr">
        <is>
          <t>Drukhari</t>
        </is>
      </c>
      <c r="B582" t="inlineStr">
        <is>
          <t>Lelith Hesperax</t>
        </is>
      </c>
      <c r="G582">
        <f>IF(F582="","",F582-C582)</f>
        <v/>
      </c>
    </row>
    <row r="583">
      <c r="A583" t="inlineStr">
        <is>
          <t>Drukhari</t>
        </is>
      </c>
      <c r="B583" t="inlineStr">
        <is>
          <t>Mandrakes</t>
        </is>
      </c>
      <c r="G583">
        <f>IF(F583="","",F583-C583)</f>
        <v/>
      </c>
    </row>
    <row r="584">
      <c r="A584" t="inlineStr">
        <is>
          <t>Drukhari</t>
        </is>
      </c>
      <c r="B584" t="inlineStr">
        <is>
          <t>Raider</t>
        </is>
      </c>
      <c r="G584">
        <f>IF(F584="","",F584-C584)</f>
        <v/>
      </c>
    </row>
    <row r="585">
      <c r="A585" t="inlineStr">
        <is>
          <t>Drukhari</t>
        </is>
      </c>
      <c r="B585" t="inlineStr">
        <is>
          <t>Ravager</t>
        </is>
      </c>
      <c r="G585">
        <f>IF(F585="","",F585-C585)</f>
        <v/>
      </c>
    </row>
    <row r="586">
      <c r="A586" t="inlineStr">
        <is>
          <t>Drukhari</t>
        </is>
      </c>
      <c r="B586" t="inlineStr">
        <is>
          <t>Razorwing Jetfighter</t>
        </is>
      </c>
      <c r="G586">
        <f>IF(F586="","",F586-C586)</f>
        <v/>
      </c>
    </row>
    <row r="587">
      <c r="A587" t="inlineStr">
        <is>
          <t>Drukhari</t>
        </is>
      </c>
      <c r="B587" t="inlineStr">
        <is>
          <t>Reavers</t>
        </is>
      </c>
      <c r="G587">
        <f>IF(F587="","",F587-C587)</f>
        <v/>
      </c>
    </row>
    <row r="588">
      <c r="A588" t="inlineStr">
        <is>
          <t>Drukhari</t>
        </is>
      </c>
      <c r="B588" t="inlineStr">
        <is>
          <t>Scourges</t>
        </is>
      </c>
      <c r="G588">
        <f>IF(F588="","",F588-C588)</f>
        <v/>
      </c>
    </row>
    <row r="589">
      <c r="A589" t="inlineStr">
        <is>
          <t>Drukhari</t>
        </is>
      </c>
      <c r="B589" t="inlineStr">
        <is>
          <t>Succubus</t>
        </is>
      </c>
      <c r="G589">
        <f>IF(F589="","",F589-C589)</f>
        <v/>
      </c>
    </row>
    <row r="590">
      <c r="A590" t="inlineStr">
        <is>
          <t>Drukhari</t>
        </is>
      </c>
      <c r="B590" t="inlineStr">
        <is>
          <t>Talos</t>
        </is>
      </c>
      <c r="G590">
        <f>IF(F590="","",F590-C590)</f>
        <v/>
      </c>
    </row>
    <row r="591">
      <c r="A591" t="inlineStr">
        <is>
          <t>Drukhari</t>
        </is>
      </c>
      <c r="B591" t="inlineStr">
        <is>
          <t>Tantalus</t>
        </is>
      </c>
      <c r="G591">
        <f>IF(F591="","",F591-C591)</f>
        <v/>
      </c>
    </row>
    <row r="592">
      <c r="A592" t="inlineStr">
        <is>
          <t>Drukhari</t>
        </is>
      </c>
      <c r="B592" t="inlineStr">
        <is>
          <t>Urien Rakarth</t>
        </is>
      </c>
      <c r="G592">
        <f>IF(F592="","",F592-C592)</f>
        <v/>
      </c>
    </row>
    <row r="593">
      <c r="A593" t="inlineStr">
        <is>
          <t>Drukhari</t>
        </is>
      </c>
      <c r="B593" t="inlineStr">
        <is>
          <t>Venom</t>
        </is>
      </c>
      <c r="G593">
        <f>IF(F593="","",F593-C593)</f>
        <v/>
      </c>
    </row>
    <row r="594">
      <c r="A594" t="inlineStr">
        <is>
          <t>Drukhari</t>
        </is>
      </c>
      <c r="B594" t="inlineStr">
        <is>
          <t>Voidraven Bomber</t>
        </is>
      </c>
      <c r="G594">
        <f>IF(F594="","",F594-C594)</f>
        <v/>
      </c>
    </row>
    <row r="595">
      <c r="A595" t="inlineStr">
        <is>
          <t>Drukhari</t>
        </is>
      </c>
      <c r="B595" t="inlineStr">
        <is>
          <t>Voidweaver</t>
        </is>
      </c>
      <c r="G595">
        <f>IF(F595="","",F595-C595)</f>
        <v/>
      </c>
    </row>
    <row r="596">
      <c r="A596" t="inlineStr">
        <is>
          <t>Drukhari</t>
        </is>
      </c>
      <c r="B596" t="inlineStr">
        <is>
          <t>Warp Beasts</t>
        </is>
      </c>
      <c r="G596">
        <f>IF(F596="","",F596-C596)</f>
        <v/>
      </c>
    </row>
    <row r="597">
      <c r="A597" t="inlineStr">
        <is>
          <t>Drukhari</t>
        </is>
      </c>
      <c r="B597" t="inlineStr">
        <is>
          <t>Wracks</t>
        </is>
      </c>
      <c r="G597">
        <f>IF(F597="","",F597-C597)</f>
        <v/>
      </c>
    </row>
    <row r="598">
      <c r="A598" t="inlineStr">
        <is>
          <t>Drukhari</t>
        </is>
      </c>
      <c r="B598" t="inlineStr">
        <is>
          <t>Wyches</t>
        </is>
      </c>
      <c r="G598">
        <f>IF(F598="","",F598-C598)</f>
        <v/>
      </c>
    </row>
    <row r="599">
      <c r="A599" t="inlineStr">
        <is>
          <t>Harlequins</t>
        </is>
      </c>
      <c r="B599" t="inlineStr">
        <is>
          <t>Death Jester</t>
        </is>
      </c>
      <c r="G599">
        <f>IF(F599="","",F599-C599)</f>
        <v/>
      </c>
    </row>
    <row r="600">
      <c r="A600" t="inlineStr">
        <is>
          <t>Harlequins</t>
        </is>
      </c>
      <c r="B600" t="inlineStr">
        <is>
          <t>Shadowseer</t>
        </is>
      </c>
      <c r="G600">
        <f>IF(F600="","",F600-C600)</f>
        <v/>
      </c>
    </row>
    <row r="601">
      <c r="A601" t="inlineStr">
        <is>
          <t>Harlequins</t>
        </is>
      </c>
      <c r="B601" t="inlineStr">
        <is>
          <t>Skyweavers</t>
        </is>
      </c>
      <c r="G601">
        <f>IF(F601="","",F601-C601)</f>
        <v/>
      </c>
    </row>
    <row r="602">
      <c r="A602" t="inlineStr">
        <is>
          <t>Harlequins</t>
        </is>
      </c>
      <c r="B602" t="inlineStr">
        <is>
          <t>Solitaire</t>
        </is>
      </c>
      <c r="G602">
        <f>IF(F602="","",F602-C602)</f>
        <v/>
      </c>
    </row>
    <row r="603">
      <c r="A603" t="inlineStr">
        <is>
          <t>Harlequins</t>
        </is>
      </c>
      <c r="B603" t="inlineStr">
        <is>
          <t>Starweaver</t>
        </is>
      </c>
      <c r="G603">
        <f>IF(F603="","",F603-C603)</f>
        <v/>
      </c>
    </row>
    <row r="604">
      <c r="A604" t="inlineStr">
        <is>
          <t>Harlequins</t>
        </is>
      </c>
      <c r="B604" t="inlineStr">
        <is>
          <t>Troupe</t>
        </is>
      </c>
      <c r="G604">
        <f>IF(F604="","",F604-C604)</f>
        <v/>
      </c>
    </row>
    <row r="605">
      <c r="A605" t="inlineStr">
        <is>
          <t>Harlequins</t>
        </is>
      </c>
      <c r="B605" t="inlineStr">
        <is>
          <t>Troupe Master</t>
        </is>
      </c>
      <c r="G605">
        <f>IF(F605="","",F605-C605)</f>
        <v/>
      </c>
    </row>
    <row r="606">
      <c r="A606" t="inlineStr">
        <is>
          <t>Harlequins</t>
        </is>
      </c>
      <c r="B606" t="inlineStr">
        <is>
          <t>Voidweaver</t>
        </is>
      </c>
      <c r="G606">
        <f>IF(F606="","",F606-C606)</f>
        <v/>
      </c>
    </row>
    <row r="607">
      <c r="A607" t="inlineStr">
        <is>
          <t>Necrons</t>
        </is>
      </c>
      <c r="B607" t="inlineStr">
        <is>
          <t>Annihilation Barge</t>
        </is>
      </c>
      <c r="G607">
        <f>IF(F607="","",F607-C607)</f>
        <v/>
      </c>
    </row>
    <row r="608">
      <c r="A608" t="inlineStr">
        <is>
          <t>Necrons</t>
        </is>
      </c>
      <c r="B608" t="inlineStr">
        <is>
          <t>Anrakyr the Traveller</t>
        </is>
      </c>
      <c r="G608">
        <f>IF(F608="","",F608-C608)</f>
        <v/>
      </c>
    </row>
    <row r="609">
      <c r="A609" t="inlineStr">
        <is>
          <t>Necrons</t>
        </is>
      </c>
      <c r="B609" t="inlineStr">
        <is>
          <t>Canoptek Acanthrites</t>
        </is>
      </c>
      <c r="G609">
        <f>IF(F609="","",F609-C609)</f>
        <v/>
      </c>
    </row>
    <row r="610">
      <c r="A610" t="inlineStr">
        <is>
          <t>Necrons</t>
        </is>
      </c>
      <c r="B610" t="inlineStr">
        <is>
          <t>Canoptek Doomstalker</t>
        </is>
      </c>
      <c r="G610">
        <f>IF(F610="","",F610-C610)</f>
        <v/>
      </c>
    </row>
    <row r="611">
      <c r="A611" t="inlineStr">
        <is>
          <t>Necrons</t>
        </is>
      </c>
      <c r="B611" t="inlineStr">
        <is>
          <t>Canoptek Reanimator</t>
        </is>
      </c>
      <c r="G611">
        <f>IF(F611="","",F611-C611)</f>
        <v/>
      </c>
    </row>
    <row r="612">
      <c r="A612" t="inlineStr">
        <is>
          <t>Necrons</t>
        </is>
      </c>
      <c r="B612" t="inlineStr">
        <is>
          <t>Canoptek Scarab Swarms</t>
        </is>
      </c>
      <c r="G612">
        <f>IF(F612="","",F612-C612)</f>
        <v/>
      </c>
    </row>
    <row r="613">
      <c r="A613" t="inlineStr">
        <is>
          <t>Necrons</t>
        </is>
      </c>
      <c r="B613" t="inlineStr">
        <is>
          <t>Canoptek Spyders</t>
        </is>
      </c>
      <c r="G613">
        <f>IF(F613="","",F613-C613)</f>
        <v/>
      </c>
    </row>
    <row r="614">
      <c r="A614" t="inlineStr">
        <is>
          <t>Necrons</t>
        </is>
      </c>
      <c r="B614" t="inlineStr">
        <is>
          <t>Canoptek Wraiths</t>
        </is>
      </c>
      <c r="G614">
        <f>IF(F614="","",F614-C614)</f>
        <v/>
      </c>
    </row>
    <row r="615">
      <c r="A615" t="inlineStr">
        <is>
          <t>Necrons</t>
        </is>
      </c>
      <c r="B615" t="inlineStr">
        <is>
          <t>Catacomb Command Barge</t>
        </is>
      </c>
      <c r="G615">
        <f>IF(F615="","",F615-C615)</f>
        <v/>
      </c>
    </row>
    <row r="616">
      <c r="A616" t="inlineStr">
        <is>
          <t>Necrons</t>
        </is>
      </c>
      <c r="B616" t="inlineStr">
        <is>
          <t>Chronomancer</t>
        </is>
      </c>
      <c r="G616">
        <f>IF(F616="","",F616-C616)</f>
        <v/>
      </c>
    </row>
    <row r="617">
      <c r="A617" t="inlineStr">
        <is>
          <t>Necrons</t>
        </is>
      </c>
      <c r="B617" t="inlineStr">
        <is>
          <t>Convergence of Dominion</t>
        </is>
      </c>
      <c r="G617">
        <f>IF(F617="","",F617-C617)</f>
        <v/>
      </c>
    </row>
    <row r="618">
      <c r="A618" t="inlineStr">
        <is>
          <t>Necrons</t>
        </is>
      </c>
      <c r="B618" t="inlineStr">
        <is>
          <t>C'tan Shard of the Deceiver</t>
        </is>
      </c>
      <c r="G618">
        <f>IF(F618="","",F618-C618)</f>
        <v/>
      </c>
    </row>
    <row r="619">
      <c r="A619" t="inlineStr">
        <is>
          <t>Necrons</t>
        </is>
      </c>
      <c r="B619" t="inlineStr">
        <is>
          <t>C'tan Shard of the Nightbringer</t>
        </is>
      </c>
      <c r="G619">
        <f>IF(F619="","",F619-C619)</f>
        <v/>
      </c>
    </row>
    <row r="620">
      <c r="A620" t="inlineStr">
        <is>
          <t>Necrons</t>
        </is>
      </c>
      <c r="B620" t="inlineStr">
        <is>
          <t>C'tan Shard of the Void Dragon</t>
        </is>
      </c>
      <c r="G620">
        <f>IF(F620="","",F620-C620)</f>
        <v/>
      </c>
    </row>
    <row r="621">
      <c r="A621" t="inlineStr">
        <is>
          <t>Necrons</t>
        </is>
      </c>
      <c r="B621" t="inlineStr">
        <is>
          <t>Deathmarks</t>
        </is>
      </c>
      <c r="G621">
        <f>IF(F621="","",F621-C621)</f>
        <v/>
      </c>
    </row>
    <row r="622">
      <c r="A622" t="inlineStr">
        <is>
          <t>Necrons</t>
        </is>
      </c>
      <c r="B622" t="inlineStr">
        <is>
          <t>Doom Scythe</t>
        </is>
      </c>
      <c r="G622">
        <f>IF(F622="","",F622-C622)</f>
        <v/>
      </c>
    </row>
    <row r="623">
      <c r="A623" t="inlineStr">
        <is>
          <t>Necrons</t>
        </is>
      </c>
      <c r="B623" t="inlineStr">
        <is>
          <t>Doomsday Ark</t>
        </is>
      </c>
      <c r="G623">
        <f>IF(F623="","",F623-C623)</f>
        <v/>
      </c>
    </row>
    <row r="624">
      <c r="A624" t="inlineStr">
        <is>
          <t>Necrons</t>
        </is>
      </c>
      <c r="B624" t="inlineStr">
        <is>
          <t>Flayed Ones</t>
        </is>
      </c>
      <c r="G624">
        <f>IF(F624="","",F624-C624)</f>
        <v/>
      </c>
    </row>
    <row r="625">
      <c r="A625" t="inlineStr">
        <is>
          <t>Necrons</t>
        </is>
      </c>
      <c r="B625" t="inlineStr">
        <is>
          <t>Ghost Ark</t>
        </is>
      </c>
      <c r="G625">
        <f>IF(F625="","",F625-C625)</f>
        <v/>
      </c>
    </row>
    <row r="626">
      <c r="A626" t="inlineStr">
        <is>
          <t>Necrons</t>
        </is>
      </c>
      <c r="B626" t="inlineStr">
        <is>
          <t>Hexmark Destroyer</t>
        </is>
      </c>
      <c r="G626">
        <f>IF(F626="","",F626-C626)</f>
        <v/>
      </c>
    </row>
    <row r="627">
      <c r="A627" t="inlineStr">
        <is>
          <t>Necrons</t>
        </is>
      </c>
      <c r="B627" t="inlineStr">
        <is>
          <t>Illuminor Szeras</t>
        </is>
      </c>
      <c r="G627">
        <f>IF(F627="","",F627-C627)</f>
        <v/>
      </c>
    </row>
    <row r="628">
      <c r="A628" t="inlineStr">
        <is>
          <t>Necrons</t>
        </is>
      </c>
      <c r="B628" t="inlineStr">
        <is>
          <t>Immortals</t>
        </is>
      </c>
      <c r="G628">
        <f>IF(F628="","",F628-C628)</f>
        <v/>
      </c>
    </row>
    <row r="629">
      <c r="A629" t="inlineStr">
        <is>
          <t>Necrons</t>
        </is>
      </c>
      <c r="B629" t="inlineStr">
        <is>
          <t>Imotekh the Stormlord</t>
        </is>
      </c>
      <c r="G629">
        <f>IF(F629="","",F629-C629)</f>
        <v/>
      </c>
    </row>
    <row r="630">
      <c r="A630" t="inlineStr">
        <is>
          <t>Necrons</t>
        </is>
      </c>
      <c r="B630" t="inlineStr">
        <is>
          <t>Lokhust Destroyers</t>
        </is>
      </c>
      <c r="G630">
        <f>IF(F630="","",F630-C630)</f>
        <v/>
      </c>
    </row>
    <row r="631">
      <c r="A631" t="inlineStr">
        <is>
          <t>Necrons</t>
        </is>
      </c>
      <c r="B631" t="inlineStr">
        <is>
          <t>Lokhust Heavy Destroyers</t>
        </is>
      </c>
      <c r="G631">
        <f>IF(F631="","",F631-C631)</f>
        <v/>
      </c>
    </row>
    <row r="632">
      <c r="A632" t="inlineStr">
        <is>
          <t>Necrons</t>
        </is>
      </c>
      <c r="B632" t="inlineStr">
        <is>
          <t>Lokhust Lord</t>
        </is>
      </c>
      <c r="G632">
        <f>IF(F632="","",F632-C632)</f>
        <v/>
      </c>
    </row>
    <row r="633">
      <c r="A633" t="inlineStr">
        <is>
          <t>Necrons</t>
        </is>
      </c>
      <c r="B633" t="inlineStr">
        <is>
          <t>Lychguard</t>
        </is>
      </c>
      <c r="G633">
        <f>IF(F633="","",F633-C633)</f>
        <v/>
      </c>
    </row>
    <row r="634">
      <c r="A634" t="inlineStr">
        <is>
          <t>Necrons</t>
        </is>
      </c>
      <c r="B634" t="inlineStr">
        <is>
          <t>Monolith</t>
        </is>
      </c>
      <c r="G634">
        <f>IF(F634="","",F634-C634)</f>
        <v/>
      </c>
    </row>
    <row r="635">
      <c r="A635" t="inlineStr">
        <is>
          <t>Necrons</t>
        </is>
      </c>
      <c r="B635" t="inlineStr">
        <is>
          <t>Necron Warriors</t>
        </is>
      </c>
      <c r="G635">
        <f>IF(F635="","",F635-C635)</f>
        <v/>
      </c>
    </row>
    <row r="636">
      <c r="A636" t="inlineStr">
        <is>
          <t>Necrons</t>
        </is>
      </c>
      <c r="B636" t="inlineStr">
        <is>
          <t>Night Scythe</t>
        </is>
      </c>
      <c r="G636">
        <f>IF(F636="","",F636-C636)</f>
        <v/>
      </c>
    </row>
    <row r="637">
      <c r="A637" t="inlineStr">
        <is>
          <t>Necrons</t>
        </is>
      </c>
      <c r="B637" t="inlineStr">
        <is>
          <t>Obelisk</t>
        </is>
      </c>
      <c r="G637">
        <f>IF(F637="","",F637-C637)</f>
        <v/>
      </c>
    </row>
    <row r="638">
      <c r="A638" t="inlineStr">
        <is>
          <t>Necrons</t>
        </is>
      </c>
      <c r="B638" t="inlineStr">
        <is>
          <t>Ophydian Destroyers</t>
        </is>
      </c>
      <c r="G638">
        <f>IF(F638="","",F638-C638)</f>
        <v/>
      </c>
    </row>
    <row r="639">
      <c r="A639" t="inlineStr">
        <is>
          <t>Necrons</t>
        </is>
      </c>
      <c r="B639" t="inlineStr">
        <is>
          <t>Orikan the Diviner</t>
        </is>
      </c>
      <c r="G639">
        <f>IF(F639="","",F639-C639)</f>
        <v/>
      </c>
    </row>
    <row r="640">
      <c r="A640" t="inlineStr">
        <is>
          <t>Necrons</t>
        </is>
      </c>
      <c r="B640" t="inlineStr">
        <is>
          <t>Overlord</t>
        </is>
      </c>
      <c r="G640">
        <f>IF(F640="","",F640-C640)</f>
        <v/>
      </c>
    </row>
    <row r="641">
      <c r="A641" t="inlineStr">
        <is>
          <t>Necrons</t>
        </is>
      </c>
      <c r="B641" t="inlineStr">
        <is>
          <t>Overlord with Translocation Shroud</t>
        </is>
      </c>
      <c r="G641">
        <f>IF(F641="","",F641-C641)</f>
        <v/>
      </c>
    </row>
    <row r="642">
      <c r="A642" t="inlineStr">
        <is>
          <t>Necrons</t>
        </is>
      </c>
      <c r="B642" t="inlineStr">
        <is>
          <t>Plasmancer</t>
        </is>
      </c>
      <c r="G642">
        <f>IF(F642="","",F642-C642)</f>
        <v/>
      </c>
    </row>
    <row r="643">
      <c r="A643" t="inlineStr">
        <is>
          <t>Necrons</t>
        </is>
      </c>
      <c r="B643" t="inlineStr">
        <is>
          <t>Psychomancer</t>
        </is>
      </c>
      <c r="G643">
        <f>IF(F643="","",F643-C643)</f>
        <v/>
      </c>
    </row>
    <row r="644">
      <c r="A644" t="inlineStr">
        <is>
          <t>Necrons</t>
        </is>
      </c>
      <c r="B644" t="inlineStr">
        <is>
          <t>Royal Warden</t>
        </is>
      </c>
      <c r="G644">
        <f>IF(F644="","",F644-C644)</f>
        <v/>
      </c>
    </row>
    <row r="645">
      <c r="A645" t="inlineStr">
        <is>
          <t>Necrons</t>
        </is>
      </c>
      <c r="B645" t="inlineStr">
        <is>
          <t>Skorpekh Destroyers</t>
        </is>
      </c>
      <c r="G645">
        <f>IF(F645="","",F645-C645)</f>
        <v/>
      </c>
    </row>
    <row r="646">
      <c r="A646" t="inlineStr">
        <is>
          <t>Necrons</t>
        </is>
      </c>
      <c r="B646" t="inlineStr">
        <is>
          <t>Skorpekh Lord</t>
        </is>
      </c>
      <c r="G646">
        <f>IF(F646="","",F646-C646)</f>
        <v/>
      </c>
    </row>
    <row r="647">
      <c r="A647" t="inlineStr">
        <is>
          <t>Necrons</t>
        </is>
      </c>
      <c r="B647" t="inlineStr">
        <is>
          <t>Technomancer</t>
        </is>
      </c>
      <c r="G647">
        <f>IF(F647="","",F647-C647)</f>
        <v/>
      </c>
    </row>
    <row r="648">
      <c r="A648" t="inlineStr">
        <is>
          <t>Necrons</t>
        </is>
      </c>
      <c r="B648" t="inlineStr">
        <is>
          <t>Tesseract Vault</t>
        </is>
      </c>
      <c r="G648">
        <f>IF(F648="","",F648-C648)</f>
        <v/>
      </c>
    </row>
    <row r="649">
      <c r="A649" t="inlineStr">
        <is>
          <t>Necrons</t>
        </is>
      </c>
      <c r="B649" t="inlineStr">
        <is>
          <t>The Silent King</t>
        </is>
      </c>
      <c r="G649">
        <f>IF(F649="","",F649-C649)</f>
        <v/>
      </c>
    </row>
    <row r="650">
      <c r="A650" t="inlineStr">
        <is>
          <t>Necrons</t>
        </is>
      </c>
      <c r="B650" t="inlineStr">
        <is>
          <t>Tomb Blades</t>
        </is>
      </c>
      <c r="G650">
        <f>IF(F650="","",F650-C650)</f>
        <v/>
      </c>
    </row>
    <row r="651">
      <c r="A651" t="inlineStr">
        <is>
          <t>Necrons</t>
        </is>
      </c>
      <c r="B651" t="inlineStr">
        <is>
          <t>Transcendent C'tan</t>
        </is>
      </c>
      <c r="G651">
        <f>IF(F651="","",F651-C651)</f>
        <v/>
      </c>
    </row>
    <row r="652">
      <c r="A652" t="inlineStr">
        <is>
          <t>Necrons</t>
        </is>
      </c>
      <c r="B652" t="inlineStr">
        <is>
          <t>Triarch Praetorians</t>
        </is>
      </c>
      <c r="G652">
        <f>IF(F652="","",F652-C652)</f>
        <v/>
      </c>
    </row>
    <row r="653">
      <c r="A653" t="inlineStr">
        <is>
          <t>Necrons</t>
        </is>
      </c>
      <c r="B653" t="inlineStr">
        <is>
          <t>Triarch Stalker</t>
        </is>
      </c>
      <c r="G653">
        <f>IF(F653="","",F653-C653)</f>
        <v/>
      </c>
    </row>
    <row r="654">
      <c r="A654" t="inlineStr">
        <is>
          <t>Necrons</t>
        </is>
      </c>
      <c r="B654" t="inlineStr">
        <is>
          <t>Trazyn the Infinite</t>
        </is>
      </c>
      <c r="G654">
        <f>IF(F654="","",F654-C654)</f>
        <v/>
      </c>
    </row>
    <row r="655">
      <c r="A655" t="inlineStr">
        <is>
          <t>Orks</t>
        </is>
      </c>
      <c r="B655" t="inlineStr">
        <is>
          <t>Battlewagon</t>
        </is>
      </c>
      <c r="G655">
        <f>IF(F655="","",F655-C655)</f>
        <v/>
      </c>
    </row>
    <row r="656">
      <c r="A656" t="inlineStr">
        <is>
          <t>Orks</t>
        </is>
      </c>
      <c r="B656" t="inlineStr">
        <is>
          <t>Beast Snagga Boyz</t>
        </is>
      </c>
      <c r="G656">
        <f>IF(F656="","",F656-C656)</f>
        <v/>
      </c>
    </row>
    <row r="657">
      <c r="A657" t="inlineStr">
        <is>
          <t>Orks</t>
        </is>
      </c>
      <c r="B657" t="inlineStr">
        <is>
          <t>Beastboss</t>
        </is>
      </c>
      <c r="G657">
        <f>IF(F657="","",F657-C657)</f>
        <v/>
      </c>
    </row>
    <row r="658">
      <c r="A658" t="inlineStr">
        <is>
          <t>Orks</t>
        </is>
      </c>
      <c r="B658" t="inlineStr">
        <is>
          <t>Beastboss on Squigosaur</t>
        </is>
      </c>
      <c r="G658">
        <f>IF(F658="","",F658-C658)</f>
        <v/>
      </c>
    </row>
    <row r="659">
      <c r="A659" t="inlineStr">
        <is>
          <t>Orks</t>
        </is>
      </c>
      <c r="B659" t="inlineStr">
        <is>
          <t>Big Mek</t>
        </is>
      </c>
      <c r="G659">
        <f>IF(F659="","",F659-C659)</f>
        <v/>
      </c>
    </row>
    <row r="660">
      <c r="A660" t="inlineStr">
        <is>
          <t>Orks</t>
        </is>
      </c>
      <c r="B660" t="inlineStr">
        <is>
          <t>Big Mek in Mega Armour</t>
        </is>
      </c>
      <c r="G660">
        <f>IF(F660="","",F660-C660)</f>
        <v/>
      </c>
    </row>
    <row r="661">
      <c r="A661" t="inlineStr">
        <is>
          <t>Orks</t>
        </is>
      </c>
      <c r="B661" t="inlineStr">
        <is>
          <t>Big Mek with Shokk Attack Gun</t>
        </is>
      </c>
      <c r="G661">
        <f>IF(F661="","",F661-C661)</f>
        <v/>
      </c>
    </row>
    <row r="662">
      <c r="A662" t="inlineStr">
        <is>
          <t>Orks</t>
        </is>
      </c>
      <c r="B662" t="inlineStr">
        <is>
          <t>Blitza-bommer</t>
        </is>
      </c>
      <c r="G662">
        <f>IF(F662="","",F662-C662)</f>
        <v/>
      </c>
    </row>
    <row r="663">
      <c r="A663" t="inlineStr">
        <is>
          <t>Orks</t>
        </is>
      </c>
      <c r="B663" t="inlineStr">
        <is>
          <t>Boomdakka Snazzwagon</t>
        </is>
      </c>
      <c r="G663">
        <f>IF(F663="","",F663-C663)</f>
        <v/>
      </c>
    </row>
    <row r="664">
      <c r="A664" t="inlineStr">
        <is>
          <t>Orks</t>
        </is>
      </c>
      <c r="B664" t="inlineStr">
        <is>
          <t>Boss Snikrot</t>
        </is>
      </c>
      <c r="G664">
        <f>IF(F664="","",F664-C664)</f>
        <v/>
      </c>
    </row>
    <row r="665">
      <c r="A665" t="inlineStr">
        <is>
          <t>Orks</t>
        </is>
      </c>
      <c r="B665" t="inlineStr">
        <is>
          <t>Boss Zagstruk</t>
        </is>
      </c>
      <c r="G665">
        <f>IF(F665="","",F665-C665)</f>
        <v/>
      </c>
    </row>
    <row r="666">
      <c r="A666" t="inlineStr">
        <is>
          <t>Orks</t>
        </is>
      </c>
      <c r="B666" t="inlineStr">
        <is>
          <t>Boyz</t>
        </is>
      </c>
      <c r="G666">
        <f>IF(F666="","",F666-C666)</f>
        <v/>
      </c>
    </row>
    <row r="667">
      <c r="A667" t="inlineStr">
        <is>
          <t>Orks</t>
        </is>
      </c>
      <c r="B667" t="inlineStr">
        <is>
          <t>Burna Boyz</t>
        </is>
      </c>
      <c r="G667">
        <f>IF(F667="","",F667-C667)</f>
        <v/>
      </c>
    </row>
    <row r="668">
      <c r="A668" t="inlineStr">
        <is>
          <t>Orks</t>
        </is>
      </c>
      <c r="B668" t="inlineStr">
        <is>
          <t>Burna-bommer</t>
        </is>
      </c>
      <c r="G668">
        <f>IF(F668="","",F668-C668)</f>
        <v/>
      </c>
    </row>
    <row r="669">
      <c r="A669" t="inlineStr">
        <is>
          <t>Orks</t>
        </is>
      </c>
      <c r="B669" t="inlineStr">
        <is>
          <t>Dakkajet</t>
        </is>
      </c>
      <c r="G669">
        <f>IF(F669="","",F669-C669)</f>
        <v/>
      </c>
    </row>
    <row r="670">
      <c r="A670" t="inlineStr">
        <is>
          <t>Orks</t>
        </is>
      </c>
      <c r="B670" t="inlineStr">
        <is>
          <t>Deff Dread</t>
        </is>
      </c>
      <c r="G670">
        <f>IF(F670="","",F670-C670)</f>
        <v/>
      </c>
    </row>
    <row r="671">
      <c r="A671" t="inlineStr">
        <is>
          <t>Orks</t>
        </is>
      </c>
      <c r="B671" t="inlineStr">
        <is>
          <t>Deffkilla Wartrike</t>
        </is>
      </c>
      <c r="G671">
        <f>IF(F671="","",F671-C671)</f>
        <v/>
      </c>
    </row>
    <row r="672">
      <c r="A672" t="inlineStr">
        <is>
          <t>Orks</t>
        </is>
      </c>
      <c r="B672" t="inlineStr">
        <is>
          <t>Deffkoptas</t>
        </is>
      </c>
      <c r="G672">
        <f>IF(F672="","",F672-C672)</f>
        <v/>
      </c>
    </row>
    <row r="673">
      <c r="A673" t="inlineStr">
        <is>
          <t>Orks</t>
        </is>
      </c>
      <c r="B673" t="inlineStr">
        <is>
          <t>Flash Gitz</t>
        </is>
      </c>
      <c r="G673">
        <f>IF(F673="","",F673-C673)</f>
        <v/>
      </c>
    </row>
    <row r="674">
      <c r="A674" t="inlineStr">
        <is>
          <t>Orks</t>
        </is>
      </c>
      <c r="B674" t="inlineStr">
        <is>
          <t>Ghazghkull Thraka</t>
        </is>
      </c>
      <c r="G674">
        <f>IF(F674="","",F674-C674)</f>
        <v/>
      </c>
    </row>
    <row r="675">
      <c r="A675" t="inlineStr">
        <is>
          <t>Orks</t>
        </is>
      </c>
      <c r="B675" t="inlineStr">
        <is>
          <t>Gorkanaut</t>
        </is>
      </c>
      <c r="G675">
        <f>IF(F675="","",F675-C675)</f>
        <v/>
      </c>
    </row>
    <row r="676">
      <c r="A676" t="inlineStr">
        <is>
          <t>Orks</t>
        </is>
      </c>
      <c r="B676" t="inlineStr">
        <is>
          <t>Gretchin</t>
        </is>
      </c>
      <c r="G676">
        <f>IF(F676="","",F676-C676)</f>
        <v/>
      </c>
    </row>
    <row r="677">
      <c r="A677" t="inlineStr">
        <is>
          <t>Orks</t>
        </is>
      </c>
      <c r="B677" t="inlineStr">
        <is>
          <t>Hunta Rig</t>
        </is>
      </c>
      <c r="G677">
        <f>IF(F677="","",F677-C677)</f>
        <v/>
      </c>
    </row>
    <row r="678">
      <c r="A678" t="inlineStr">
        <is>
          <t>Orks</t>
        </is>
      </c>
      <c r="B678" t="inlineStr">
        <is>
          <t>Kaptin Badrukk</t>
        </is>
      </c>
      <c r="G678">
        <f>IF(F678="","",F678-C678)</f>
        <v/>
      </c>
    </row>
    <row r="679">
      <c r="A679" t="inlineStr">
        <is>
          <t>Orks</t>
        </is>
      </c>
      <c r="B679" t="inlineStr">
        <is>
          <t>Kill Rig</t>
        </is>
      </c>
      <c r="G679">
        <f>IF(F679="","",F679-C679)</f>
        <v/>
      </c>
    </row>
    <row r="680">
      <c r="A680" t="inlineStr">
        <is>
          <t>Orks</t>
        </is>
      </c>
      <c r="B680" t="inlineStr">
        <is>
          <t>Killa Kans</t>
        </is>
      </c>
      <c r="G680">
        <f>IF(F680="","",F680-C680)</f>
        <v/>
      </c>
    </row>
    <row r="681">
      <c r="A681" t="inlineStr">
        <is>
          <t>Orks</t>
        </is>
      </c>
      <c r="B681" t="inlineStr">
        <is>
          <t>Kommandos</t>
        </is>
      </c>
      <c r="G681">
        <f>IF(F681="","",F681-C681)</f>
        <v/>
      </c>
    </row>
    <row r="682">
      <c r="A682" t="inlineStr">
        <is>
          <t>Orks</t>
        </is>
      </c>
      <c r="B682" t="inlineStr">
        <is>
          <t>Lootas</t>
        </is>
      </c>
      <c r="G682">
        <f>IF(F682="","",F682-C682)</f>
        <v/>
      </c>
    </row>
    <row r="683">
      <c r="A683" t="inlineStr">
        <is>
          <t>Orks</t>
        </is>
      </c>
      <c r="B683" t="inlineStr">
        <is>
          <t>Meganobz</t>
        </is>
      </c>
      <c r="G683">
        <f>IF(F683="","",F683-C683)</f>
        <v/>
      </c>
    </row>
    <row r="684">
      <c r="A684" t="inlineStr">
        <is>
          <t>Orks</t>
        </is>
      </c>
      <c r="B684" t="inlineStr">
        <is>
          <t>Megatrakk Scrapjet</t>
        </is>
      </c>
      <c r="G684">
        <f>IF(F684="","",F684-C684)</f>
        <v/>
      </c>
    </row>
    <row r="685">
      <c r="A685" t="inlineStr">
        <is>
          <t>Orks</t>
        </is>
      </c>
      <c r="B685" t="inlineStr">
        <is>
          <t>Mek</t>
        </is>
      </c>
      <c r="G685">
        <f>IF(F685="","",F685-C685)</f>
        <v/>
      </c>
    </row>
    <row r="686">
      <c r="A686" t="inlineStr">
        <is>
          <t>Orks</t>
        </is>
      </c>
      <c r="B686" t="inlineStr">
        <is>
          <t>Mek Gunz</t>
        </is>
      </c>
      <c r="G686">
        <f>IF(F686="","",F686-C686)</f>
        <v/>
      </c>
    </row>
    <row r="687">
      <c r="A687" t="inlineStr">
        <is>
          <t>Orks</t>
        </is>
      </c>
      <c r="B687" t="inlineStr">
        <is>
          <t>Morkanaut</t>
        </is>
      </c>
      <c r="G687">
        <f>IF(F687="","",F687-C687)</f>
        <v/>
      </c>
    </row>
    <row r="688">
      <c r="A688" t="inlineStr">
        <is>
          <t>Orks</t>
        </is>
      </c>
      <c r="B688" t="inlineStr">
        <is>
          <t>Mozrog Skragbad</t>
        </is>
      </c>
      <c r="G688">
        <f>IF(F688="","",F688-C688)</f>
        <v/>
      </c>
    </row>
    <row r="689">
      <c r="A689" t="inlineStr">
        <is>
          <t>Orks</t>
        </is>
      </c>
      <c r="B689" t="inlineStr">
        <is>
          <t>Nob on Smasha Squig</t>
        </is>
      </c>
      <c r="G689">
        <f>IF(F689="","",F689-C689)</f>
        <v/>
      </c>
    </row>
    <row r="690">
      <c r="A690" t="inlineStr">
        <is>
          <t>Orks</t>
        </is>
      </c>
      <c r="B690" t="inlineStr">
        <is>
          <t>Nob with Waaagh! Banner</t>
        </is>
      </c>
      <c r="G690">
        <f>IF(F690="","",F690-C690)</f>
        <v/>
      </c>
    </row>
    <row r="691">
      <c r="A691" t="inlineStr">
        <is>
          <t>Orks</t>
        </is>
      </c>
      <c r="B691" t="inlineStr">
        <is>
          <t>Nobz</t>
        </is>
      </c>
      <c r="G691">
        <f>IF(F691="","",F691-C691)</f>
        <v/>
      </c>
    </row>
    <row r="692">
      <c r="A692" t="inlineStr">
        <is>
          <t>Orks</t>
        </is>
      </c>
      <c r="B692" t="inlineStr">
        <is>
          <t>Painboy</t>
        </is>
      </c>
      <c r="G692">
        <f>IF(F692="","",F692-C692)</f>
        <v/>
      </c>
    </row>
    <row r="693">
      <c r="A693" t="inlineStr">
        <is>
          <t>Orks</t>
        </is>
      </c>
      <c r="B693" t="inlineStr">
        <is>
          <t>Painboss</t>
        </is>
      </c>
      <c r="G693">
        <f>IF(F693="","",F693-C693)</f>
        <v/>
      </c>
    </row>
    <row r="694">
      <c r="A694" t="inlineStr">
        <is>
          <t>Orks</t>
        </is>
      </c>
      <c r="B694" t="inlineStr">
        <is>
          <t>Rukkatrukk Squigbuggy</t>
        </is>
      </c>
      <c r="G694">
        <f>IF(F694="","",F694-C694)</f>
        <v/>
      </c>
    </row>
    <row r="695">
      <c r="A695" t="inlineStr">
        <is>
          <t>Orks</t>
        </is>
      </c>
      <c r="B695" t="inlineStr">
        <is>
          <t>Shokkjump Dragsta</t>
        </is>
      </c>
      <c r="G695">
        <f>IF(F695="","",F695-C695)</f>
        <v/>
      </c>
    </row>
    <row r="696">
      <c r="A696" t="inlineStr">
        <is>
          <t>Orks</t>
        </is>
      </c>
      <c r="B696" t="inlineStr">
        <is>
          <t>Squighog Boyz</t>
        </is>
      </c>
      <c r="G696">
        <f>IF(F696="","",F696-C696)</f>
        <v/>
      </c>
    </row>
    <row r="697">
      <c r="A697" t="inlineStr">
        <is>
          <t>Orks</t>
        </is>
      </c>
      <c r="B697" t="inlineStr">
        <is>
          <t>Stompa</t>
        </is>
      </c>
      <c r="G697">
        <f>IF(F697="","",F697-C697)</f>
        <v/>
      </c>
    </row>
    <row r="698">
      <c r="A698" t="inlineStr">
        <is>
          <t>Orks</t>
        </is>
      </c>
      <c r="B698" t="inlineStr">
        <is>
          <t>Stormboyz</t>
        </is>
      </c>
      <c r="G698">
        <f>IF(F698="","",F698-C698)</f>
        <v/>
      </c>
    </row>
    <row r="699">
      <c r="A699" t="inlineStr">
        <is>
          <t>Orks</t>
        </is>
      </c>
      <c r="B699" t="inlineStr">
        <is>
          <t>Tankbustas</t>
        </is>
      </c>
      <c r="G699">
        <f>IF(F699="","",F699-C699)</f>
        <v/>
      </c>
    </row>
    <row r="700">
      <c r="A700" t="inlineStr">
        <is>
          <t>Orks</t>
        </is>
      </c>
      <c r="B700" t="inlineStr">
        <is>
          <t>Trukk</t>
        </is>
      </c>
      <c r="G700">
        <f>IF(F700="","",F700-C700)</f>
        <v/>
      </c>
    </row>
    <row r="701">
      <c r="A701" t="inlineStr">
        <is>
          <t>Orks</t>
        </is>
      </c>
      <c r="B701" t="inlineStr">
        <is>
          <t>Warbikers</t>
        </is>
      </c>
      <c r="G701">
        <f>IF(F701="","",F701-C701)</f>
        <v/>
      </c>
    </row>
    <row r="702">
      <c r="A702" t="inlineStr">
        <is>
          <t>Orks</t>
        </is>
      </c>
      <c r="B702" t="inlineStr">
        <is>
          <t>Warboss</t>
        </is>
      </c>
      <c r="G702">
        <f>IF(F702="","",F702-C702)</f>
        <v/>
      </c>
    </row>
    <row r="703">
      <c r="A703" t="inlineStr">
        <is>
          <t>Orks</t>
        </is>
      </c>
      <c r="B703" t="inlineStr">
        <is>
          <t>Warboss in Mega Armour</t>
        </is>
      </c>
      <c r="G703">
        <f>IF(F703="","",F703-C703)</f>
        <v/>
      </c>
    </row>
    <row r="704">
      <c r="A704" t="inlineStr">
        <is>
          <t>Orks</t>
        </is>
      </c>
      <c r="B704" t="inlineStr">
        <is>
          <t>Weirdboy</t>
        </is>
      </c>
      <c r="G704">
        <f>IF(F704="","",F704-C704)</f>
        <v/>
      </c>
    </row>
    <row r="705">
      <c r="A705" t="inlineStr">
        <is>
          <t>Orks</t>
        </is>
      </c>
      <c r="B705" t="inlineStr">
        <is>
          <t>Wazbom Blastajet</t>
        </is>
      </c>
      <c r="G705">
        <f>IF(F705="","",F705-C705)</f>
        <v/>
      </c>
    </row>
    <row r="706">
      <c r="A706" t="inlineStr">
        <is>
          <t>Orks</t>
        </is>
      </c>
      <c r="B706" t="inlineStr">
        <is>
          <t>Zodgrod Wortsnagga</t>
        </is>
      </c>
      <c r="G706">
        <f>IF(F706="","",F706-C706)</f>
        <v/>
      </c>
    </row>
    <row r="707">
      <c r="A707" t="inlineStr">
        <is>
          <t>T'au Empire</t>
        </is>
      </c>
      <c r="B707" t="inlineStr">
        <is>
          <t>Aun'Shi</t>
        </is>
      </c>
      <c r="G707">
        <f>IF(F707="","",F707-C707)</f>
        <v/>
      </c>
    </row>
    <row r="708">
      <c r="A708" t="inlineStr">
        <is>
          <t>T'au Empire</t>
        </is>
      </c>
      <c r="B708" t="inlineStr">
        <is>
          <t>Aun'Va</t>
        </is>
      </c>
      <c r="G708">
        <f>IF(F708="","",F708-C708)</f>
        <v/>
      </c>
    </row>
    <row r="709">
      <c r="A709" t="inlineStr">
        <is>
          <t>T'au Empire</t>
        </is>
      </c>
      <c r="B709" t="inlineStr">
        <is>
          <t>Broadside Battlesuits</t>
        </is>
      </c>
      <c r="G709">
        <f>IF(F709="","",F709-C709)</f>
        <v/>
      </c>
    </row>
    <row r="710">
      <c r="A710" t="inlineStr">
        <is>
          <t>T'au Empire</t>
        </is>
      </c>
      <c r="B710" t="inlineStr">
        <is>
          <t>Cadre Fireblade</t>
        </is>
      </c>
      <c r="G710">
        <f>IF(F710="","",F710-C710)</f>
        <v/>
      </c>
    </row>
    <row r="711">
      <c r="A711" t="inlineStr">
        <is>
          <t>T'au Empire</t>
        </is>
      </c>
      <c r="B711" t="inlineStr">
        <is>
          <t>Commander Farsight</t>
        </is>
      </c>
      <c r="G711">
        <f>IF(F711="","",F711-C711)</f>
        <v/>
      </c>
    </row>
    <row r="712">
      <c r="A712" t="inlineStr">
        <is>
          <t>T'au Empire</t>
        </is>
      </c>
      <c r="B712" t="inlineStr">
        <is>
          <t>Commander in Coldstar Battlesuit</t>
        </is>
      </c>
      <c r="G712">
        <f>IF(F712="","",F712-C712)</f>
        <v/>
      </c>
    </row>
    <row r="713">
      <c r="A713" t="inlineStr">
        <is>
          <t>T'au Empire</t>
        </is>
      </c>
      <c r="B713" t="inlineStr">
        <is>
          <t>Commander in Enforcer Battlesuit</t>
        </is>
      </c>
      <c r="G713">
        <f>IF(F713="","",F713-C713)</f>
        <v/>
      </c>
    </row>
    <row r="714">
      <c r="A714" t="inlineStr">
        <is>
          <t>T'au Empire</t>
        </is>
      </c>
      <c r="B714" t="inlineStr">
        <is>
          <t>Commander Shadowsun</t>
        </is>
      </c>
      <c r="G714">
        <f>IF(F714="","",F714-C714)</f>
        <v/>
      </c>
    </row>
    <row r="715">
      <c r="A715" t="inlineStr">
        <is>
          <t>T'au Empire</t>
        </is>
      </c>
      <c r="B715" t="inlineStr">
        <is>
          <t>Crisis Fireknife Battlesuits</t>
        </is>
      </c>
      <c r="G715">
        <f>IF(F715="","",F715-C715)</f>
        <v/>
      </c>
    </row>
    <row r="716">
      <c r="A716" t="inlineStr">
        <is>
          <t>T'au Empire</t>
        </is>
      </c>
      <c r="B716" t="inlineStr">
        <is>
          <t>Crisis Starscythe Battlesuits</t>
        </is>
      </c>
      <c r="G716">
        <f>IF(F716="","",F716-C716)</f>
        <v/>
      </c>
    </row>
    <row r="717">
      <c r="A717" t="inlineStr">
        <is>
          <t>T'au Empire</t>
        </is>
      </c>
      <c r="B717" t="inlineStr">
        <is>
          <t>Crisis Sunforge Battlesuits</t>
        </is>
      </c>
      <c r="G717">
        <f>IF(F717="","",F717-C717)</f>
        <v/>
      </c>
    </row>
    <row r="718">
      <c r="A718" t="inlineStr">
        <is>
          <t>T'au Empire</t>
        </is>
      </c>
      <c r="B718" t="inlineStr">
        <is>
          <t>Darkstrider</t>
        </is>
      </c>
      <c r="G718">
        <f>IF(F718="","",F718-C718)</f>
        <v/>
      </c>
    </row>
    <row r="719">
      <c r="A719" t="inlineStr">
        <is>
          <t>T'au Empire</t>
        </is>
      </c>
      <c r="B719" t="inlineStr">
        <is>
          <t>Devilfish</t>
        </is>
      </c>
      <c r="G719">
        <f>IF(F719="","",F719-C719)</f>
        <v/>
      </c>
    </row>
    <row r="720">
      <c r="A720" t="inlineStr">
        <is>
          <t>T'au Empire</t>
        </is>
      </c>
      <c r="B720" t="inlineStr">
        <is>
          <t>Ethereal</t>
        </is>
      </c>
      <c r="G720">
        <f>IF(F720="","",F720-C720)</f>
        <v/>
      </c>
    </row>
    <row r="721">
      <c r="A721" t="inlineStr">
        <is>
          <t>T'au Empire</t>
        </is>
      </c>
      <c r="B721" t="inlineStr">
        <is>
          <t>Firesight Team</t>
        </is>
      </c>
      <c r="G721">
        <f>IF(F721="","",F721-C721)</f>
        <v/>
      </c>
    </row>
    <row r="722">
      <c r="A722" t="inlineStr">
        <is>
          <t>T'au Empire</t>
        </is>
      </c>
      <c r="B722" t="inlineStr">
        <is>
          <t>Ghostkeel Battlesuit</t>
        </is>
      </c>
      <c r="G722">
        <f>IF(F722="","",F722-C722)</f>
        <v/>
      </c>
    </row>
    <row r="723">
      <c r="A723" t="inlineStr">
        <is>
          <t>T'au Empire</t>
        </is>
      </c>
      <c r="B723" t="inlineStr">
        <is>
          <t>Hammerhead Gunship</t>
        </is>
      </c>
      <c r="G723">
        <f>IF(F723="","",F723-C723)</f>
        <v/>
      </c>
    </row>
    <row r="724">
      <c r="A724" t="inlineStr">
        <is>
          <t>T'au Empire</t>
        </is>
      </c>
      <c r="B724" t="inlineStr">
        <is>
          <t>Kroot Carnivores</t>
        </is>
      </c>
      <c r="G724">
        <f>IF(F724="","",F724-C724)</f>
        <v/>
      </c>
    </row>
    <row r="725">
      <c r="A725" t="inlineStr">
        <is>
          <t>T'au Empire</t>
        </is>
      </c>
      <c r="B725" t="inlineStr">
        <is>
          <t>Kroot Farstalkers</t>
        </is>
      </c>
      <c r="G725">
        <f>IF(F725="","",F725-C725)</f>
        <v/>
      </c>
    </row>
    <row r="726">
      <c r="A726" t="inlineStr">
        <is>
          <t>T'au Empire</t>
        </is>
      </c>
      <c r="B726" t="inlineStr">
        <is>
          <t>Kroot Hounds</t>
        </is>
      </c>
      <c r="G726">
        <f>IF(F726="","",F726-C726)</f>
        <v/>
      </c>
    </row>
    <row r="727">
      <c r="A727" t="inlineStr">
        <is>
          <t>T'au Empire</t>
        </is>
      </c>
      <c r="B727" t="inlineStr">
        <is>
          <t>Kroot Lone-spear</t>
        </is>
      </c>
      <c r="G727">
        <f>IF(F727="","",F727-C727)</f>
        <v/>
      </c>
    </row>
    <row r="728">
      <c r="A728" t="inlineStr">
        <is>
          <t>T'au Empire</t>
        </is>
      </c>
      <c r="B728" t="inlineStr">
        <is>
          <t>Krootox Rampagers</t>
        </is>
      </c>
      <c r="G728">
        <f>IF(F728="","",F728-C728)</f>
        <v/>
      </c>
    </row>
    <row r="729">
      <c r="A729" t="inlineStr">
        <is>
          <t>T'au Empire</t>
        </is>
      </c>
      <c r="B729" t="inlineStr">
        <is>
          <t>Krootox Riders</t>
        </is>
      </c>
      <c r="G729">
        <f>IF(F729="","",F729-C729)</f>
        <v/>
      </c>
    </row>
    <row r="730">
      <c r="A730" t="inlineStr">
        <is>
          <t>T'au Empire</t>
        </is>
      </c>
      <c r="B730" t="inlineStr">
        <is>
          <t>Pathfinder Team</t>
        </is>
      </c>
      <c r="G730">
        <f>IF(F730="","",F730-C730)</f>
        <v/>
      </c>
    </row>
    <row r="731">
      <c r="A731" t="inlineStr">
        <is>
          <t>T'au Empire</t>
        </is>
      </c>
      <c r="B731" t="inlineStr">
        <is>
          <t>Piranhas</t>
        </is>
      </c>
      <c r="G731">
        <f>IF(F731="","",F731-C731)</f>
        <v/>
      </c>
    </row>
    <row r="732">
      <c r="A732" t="inlineStr">
        <is>
          <t>T'au Empire</t>
        </is>
      </c>
      <c r="B732" t="inlineStr">
        <is>
          <t>Razorshark Strike Fighter</t>
        </is>
      </c>
      <c r="G732">
        <f>IF(F732="","",F732-C732)</f>
        <v/>
      </c>
    </row>
    <row r="733">
      <c r="A733" t="inlineStr">
        <is>
          <t>T'au Empire</t>
        </is>
      </c>
      <c r="B733" t="inlineStr">
        <is>
          <t>Riptide Battlesuit</t>
        </is>
      </c>
      <c r="G733">
        <f>IF(F733="","",F733-C733)</f>
        <v/>
      </c>
    </row>
    <row r="734">
      <c r="A734" t="inlineStr">
        <is>
          <t>T'au Empire</t>
        </is>
      </c>
      <c r="B734" t="inlineStr">
        <is>
          <t>Sky Ray Gunship</t>
        </is>
      </c>
      <c r="G734">
        <f>IF(F734="","",F734-C734)</f>
        <v/>
      </c>
    </row>
    <row r="735">
      <c r="A735" t="inlineStr">
        <is>
          <t>T'au Empire</t>
        </is>
      </c>
      <c r="B735" t="inlineStr">
        <is>
          <t>Stealth Battlesuits</t>
        </is>
      </c>
      <c r="G735">
        <f>IF(F735="","",F735-C735)</f>
        <v/>
      </c>
    </row>
    <row r="736">
      <c r="A736" t="inlineStr">
        <is>
          <t>T'au Empire</t>
        </is>
      </c>
      <c r="B736" t="inlineStr">
        <is>
          <t>Stormsurge</t>
        </is>
      </c>
      <c r="G736">
        <f>IF(F736="","",F736-C736)</f>
        <v/>
      </c>
    </row>
    <row r="737">
      <c r="A737" t="inlineStr">
        <is>
          <t>T'au Empire</t>
        </is>
      </c>
      <c r="B737" t="inlineStr">
        <is>
          <t>Strike Team</t>
        </is>
      </c>
      <c r="G737">
        <f>IF(F737="","",F737-C737)</f>
        <v/>
      </c>
    </row>
    <row r="738">
      <c r="A738" t="inlineStr">
        <is>
          <t>T'au Empire</t>
        </is>
      </c>
      <c r="B738" t="inlineStr">
        <is>
          <t>Sun Shark Bomber</t>
        </is>
      </c>
      <c r="G738">
        <f>IF(F738="","",F738-C738)</f>
        <v/>
      </c>
    </row>
    <row r="739">
      <c r="A739" t="inlineStr">
        <is>
          <t>T'au Empire</t>
        </is>
      </c>
      <c r="B739" t="inlineStr">
        <is>
          <t>Vespid Stingwings</t>
        </is>
      </c>
      <c r="G739">
        <f>IF(F739="","",F739-C739)</f>
        <v/>
      </c>
    </row>
    <row r="740">
      <c r="A740" t="inlineStr">
        <is>
          <t>Tyranids</t>
        </is>
      </c>
      <c r="B740" t="inlineStr">
        <is>
          <t>Barbgaunts</t>
        </is>
      </c>
      <c r="G740">
        <f>IF(F740="","",F740-C740)</f>
        <v/>
      </c>
    </row>
    <row r="741">
      <c r="A741" t="inlineStr">
        <is>
          <t>Tyranids</t>
        </is>
      </c>
      <c r="B741" t="inlineStr">
        <is>
          <t>Biovores</t>
        </is>
      </c>
      <c r="G741">
        <f>IF(F741="","",F741-C741)</f>
        <v/>
      </c>
    </row>
    <row r="742">
      <c r="A742" t="inlineStr">
        <is>
          <t>Tyranids</t>
        </is>
      </c>
      <c r="B742" t="inlineStr">
        <is>
          <t>Broodlord</t>
        </is>
      </c>
      <c r="G742">
        <f>IF(F742="","",F742-C742)</f>
        <v/>
      </c>
    </row>
    <row r="743">
      <c r="A743" t="inlineStr">
        <is>
          <t>Tyranids</t>
        </is>
      </c>
      <c r="B743" t="inlineStr">
        <is>
          <t>Carnifexes</t>
        </is>
      </c>
      <c r="G743">
        <f>IF(F743="","",F743-C743)</f>
        <v/>
      </c>
    </row>
    <row r="744">
      <c r="A744" t="inlineStr">
        <is>
          <t>Tyranids</t>
        </is>
      </c>
      <c r="B744" t="inlineStr">
        <is>
          <t>Deathleaper</t>
        </is>
      </c>
      <c r="G744">
        <f>IF(F744="","",F744-C744)</f>
        <v/>
      </c>
    </row>
    <row r="745">
      <c r="A745" t="inlineStr">
        <is>
          <t>Tyranids</t>
        </is>
      </c>
      <c r="B745" t="inlineStr">
        <is>
          <t>Exocrine</t>
        </is>
      </c>
      <c r="G745">
        <f>IF(F745="","",F745-C745)</f>
        <v/>
      </c>
    </row>
    <row r="746">
      <c r="A746" t="inlineStr">
        <is>
          <t>Tyranids</t>
        </is>
      </c>
      <c r="B746" t="inlineStr">
        <is>
          <t>Genestealers</t>
        </is>
      </c>
      <c r="G746">
        <f>IF(F746="","",F746-C746)</f>
        <v/>
      </c>
    </row>
    <row r="747">
      <c r="A747" t="inlineStr">
        <is>
          <t>Tyranids</t>
        </is>
      </c>
      <c r="B747" t="inlineStr">
        <is>
          <t>Gargoyles</t>
        </is>
      </c>
      <c r="G747">
        <f>IF(F747="","",F747-C747)</f>
        <v/>
      </c>
    </row>
    <row r="748">
      <c r="A748" t="inlineStr">
        <is>
          <t>Tyranids</t>
        </is>
      </c>
      <c r="B748" t="inlineStr">
        <is>
          <t>Harpy</t>
        </is>
      </c>
      <c r="G748">
        <f>IF(F748="","",F748-C748)</f>
        <v/>
      </c>
    </row>
    <row r="749">
      <c r="A749" t="inlineStr">
        <is>
          <t>Tyranids</t>
        </is>
      </c>
      <c r="B749" t="inlineStr">
        <is>
          <t>Haruspex</t>
        </is>
      </c>
      <c r="G749">
        <f>IF(F749="","",F749-C749)</f>
        <v/>
      </c>
    </row>
    <row r="750">
      <c r="A750" t="inlineStr">
        <is>
          <t>Tyranids</t>
        </is>
      </c>
      <c r="B750" t="inlineStr">
        <is>
          <t>Hive Crone</t>
        </is>
      </c>
      <c r="G750">
        <f>IF(F750="","",F750-C750)</f>
        <v/>
      </c>
    </row>
    <row r="751">
      <c r="A751" t="inlineStr">
        <is>
          <t>Tyranids</t>
        </is>
      </c>
      <c r="B751" t="inlineStr">
        <is>
          <t>Hive Guard</t>
        </is>
      </c>
      <c r="G751">
        <f>IF(F751="","",F751-C751)</f>
        <v/>
      </c>
    </row>
    <row r="752">
      <c r="A752" t="inlineStr">
        <is>
          <t>Tyranids</t>
        </is>
      </c>
      <c r="B752" t="inlineStr">
        <is>
          <t>Hive Tyrant</t>
        </is>
      </c>
      <c r="G752">
        <f>IF(F752="","",F752-C752)</f>
        <v/>
      </c>
    </row>
    <row r="753">
      <c r="A753" t="inlineStr">
        <is>
          <t>Tyranids</t>
        </is>
      </c>
      <c r="B753" t="inlineStr">
        <is>
          <t>Hormagaunts</t>
        </is>
      </c>
      <c r="G753">
        <f>IF(F753="","",F753-C753)</f>
        <v/>
      </c>
    </row>
    <row r="754">
      <c r="A754" t="inlineStr">
        <is>
          <t>Tyranids</t>
        </is>
      </c>
      <c r="B754" t="inlineStr">
        <is>
          <t>Lictor</t>
        </is>
      </c>
      <c r="G754">
        <f>IF(F754="","",F754-C754)</f>
        <v/>
      </c>
    </row>
    <row r="755">
      <c r="A755" t="inlineStr">
        <is>
          <t>Tyranids</t>
        </is>
      </c>
      <c r="B755" t="inlineStr">
        <is>
          <t>Maleceptor</t>
        </is>
      </c>
      <c r="G755">
        <f>IF(F755="","",F755-C755)</f>
        <v/>
      </c>
    </row>
    <row r="756">
      <c r="A756" t="inlineStr">
        <is>
          <t>Tyranids</t>
        </is>
      </c>
      <c r="B756" t="inlineStr">
        <is>
          <t>Mawloc</t>
        </is>
      </c>
      <c r="G756">
        <f>IF(F756="","",F756-C756)</f>
        <v/>
      </c>
    </row>
    <row r="757">
      <c r="A757" t="inlineStr">
        <is>
          <t>Tyranids</t>
        </is>
      </c>
      <c r="B757" t="inlineStr">
        <is>
          <t>Mucolid Spores</t>
        </is>
      </c>
      <c r="G757">
        <f>IF(F757="","",F757-C757)</f>
        <v/>
      </c>
    </row>
    <row r="758">
      <c r="A758" t="inlineStr">
        <is>
          <t>Tyranids</t>
        </is>
      </c>
      <c r="B758" t="inlineStr">
        <is>
          <t>Neurogaunts</t>
        </is>
      </c>
      <c r="G758">
        <f>IF(F758="","",F758-C758)</f>
        <v/>
      </c>
    </row>
    <row r="759">
      <c r="A759" t="inlineStr">
        <is>
          <t>Tyranids</t>
        </is>
      </c>
      <c r="B759" t="inlineStr">
        <is>
          <t>Neurolictor</t>
        </is>
      </c>
      <c r="G759">
        <f>IF(F759="","",F759-C759)</f>
        <v/>
      </c>
    </row>
    <row r="760">
      <c r="A760" t="inlineStr">
        <is>
          <t>Tyranids</t>
        </is>
      </c>
      <c r="B760" t="inlineStr">
        <is>
          <t>Neurotyrant</t>
        </is>
      </c>
      <c r="G760">
        <f>IF(F760="","",F760-C760)</f>
        <v/>
      </c>
    </row>
    <row r="761">
      <c r="A761" t="inlineStr">
        <is>
          <t>Tyranids</t>
        </is>
      </c>
      <c r="B761" t="inlineStr">
        <is>
          <t>Norn Assimilator</t>
        </is>
      </c>
      <c r="G761">
        <f>IF(F761="","",F761-C761)</f>
        <v/>
      </c>
    </row>
    <row r="762">
      <c r="A762" t="inlineStr">
        <is>
          <t>Tyranids</t>
        </is>
      </c>
      <c r="B762" t="inlineStr">
        <is>
          <t>Norn Emissary</t>
        </is>
      </c>
      <c r="G762">
        <f>IF(F762="","",F762-C762)</f>
        <v/>
      </c>
    </row>
    <row r="763">
      <c r="A763" t="inlineStr">
        <is>
          <t>Tyranids</t>
        </is>
      </c>
      <c r="B763" t="inlineStr">
        <is>
          <t>Old One Eye</t>
        </is>
      </c>
      <c r="G763">
        <f>IF(F763="","",F763-C763)</f>
        <v/>
      </c>
    </row>
    <row r="764">
      <c r="A764" t="inlineStr">
        <is>
          <t>Tyranids</t>
        </is>
      </c>
      <c r="B764" t="inlineStr">
        <is>
          <t>Parasite of Mortrex</t>
        </is>
      </c>
      <c r="G764">
        <f>IF(F764="","",F764-C764)</f>
        <v/>
      </c>
    </row>
    <row r="765">
      <c r="A765" t="inlineStr">
        <is>
          <t>Tyranids</t>
        </is>
      </c>
      <c r="B765" t="inlineStr">
        <is>
          <t>Psychophage</t>
        </is>
      </c>
      <c r="G765">
        <f>IF(F765="","",F765-C765)</f>
        <v/>
      </c>
    </row>
    <row r="766">
      <c r="A766" t="inlineStr">
        <is>
          <t>Tyranids</t>
        </is>
      </c>
      <c r="B766" t="inlineStr">
        <is>
          <t>Pyrovores</t>
        </is>
      </c>
      <c r="G766">
        <f>IF(F766="","",F766-C766)</f>
        <v/>
      </c>
    </row>
    <row r="767">
      <c r="A767" t="inlineStr">
        <is>
          <t>Tyranids</t>
        </is>
      </c>
      <c r="B767" t="inlineStr">
        <is>
          <t>Raveners</t>
        </is>
      </c>
      <c r="G767">
        <f>IF(F767="","",F767-C767)</f>
        <v/>
      </c>
    </row>
    <row r="768">
      <c r="A768" t="inlineStr">
        <is>
          <t>Tyranids</t>
        </is>
      </c>
      <c r="B768" t="inlineStr">
        <is>
          <t>Ripper Swarms</t>
        </is>
      </c>
      <c r="G768">
        <f>IF(F768="","",F768-C768)</f>
        <v/>
      </c>
    </row>
    <row r="769">
      <c r="A769" t="inlineStr">
        <is>
          <t>Tyranids</t>
        </is>
      </c>
      <c r="B769" t="inlineStr">
        <is>
          <t>Screamer-Killer</t>
        </is>
      </c>
      <c r="G769">
        <f>IF(F769="","",F769-C769)</f>
        <v/>
      </c>
    </row>
    <row r="770">
      <c r="A770" t="inlineStr">
        <is>
          <t>Tyranids</t>
        </is>
      </c>
      <c r="B770" t="inlineStr">
        <is>
          <t>Spore Mines</t>
        </is>
      </c>
      <c r="G770">
        <f>IF(F770="","",F770-C770)</f>
        <v/>
      </c>
    </row>
    <row r="771">
      <c r="A771" t="inlineStr">
        <is>
          <t>Tyranids</t>
        </is>
      </c>
      <c r="B771" t="inlineStr">
        <is>
          <t>Sporocyst</t>
        </is>
      </c>
      <c r="G771">
        <f>IF(F771="","",F771-C771)</f>
        <v/>
      </c>
    </row>
    <row r="772">
      <c r="A772" t="inlineStr">
        <is>
          <t>Tyranids</t>
        </is>
      </c>
      <c r="B772" t="inlineStr">
        <is>
          <t>Termagants</t>
        </is>
      </c>
      <c r="G772">
        <f>IF(F772="","",F772-C772)</f>
        <v/>
      </c>
    </row>
    <row r="773">
      <c r="A773" t="inlineStr">
        <is>
          <t>Tyranids</t>
        </is>
      </c>
      <c r="B773" t="inlineStr">
        <is>
          <t>Tervigon</t>
        </is>
      </c>
      <c r="G773">
        <f>IF(F773="","",F773-C773)</f>
        <v/>
      </c>
    </row>
    <row r="774">
      <c r="A774" t="inlineStr">
        <is>
          <t>Tyranids</t>
        </is>
      </c>
      <c r="B774" t="inlineStr">
        <is>
          <t>The Swarmlord</t>
        </is>
      </c>
      <c r="G774">
        <f>IF(F774="","",F774-C774)</f>
        <v/>
      </c>
    </row>
    <row r="775">
      <c r="A775" t="inlineStr">
        <is>
          <t>Tyranids</t>
        </is>
      </c>
      <c r="B775" t="inlineStr">
        <is>
          <t>Toxicrene</t>
        </is>
      </c>
      <c r="G775">
        <f>IF(F775="","",F775-C775)</f>
        <v/>
      </c>
    </row>
    <row r="776">
      <c r="A776" t="inlineStr">
        <is>
          <t>Tyranids</t>
        </is>
      </c>
      <c r="B776" t="inlineStr">
        <is>
          <t>Trygon</t>
        </is>
      </c>
      <c r="G776">
        <f>IF(F776="","",F776-C776)</f>
        <v/>
      </c>
    </row>
    <row r="777">
      <c r="A777" t="inlineStr">
        <is>
          <t>Tyranids</t>
        </is>
      </c>
      <c r="B777" t="inlineStr">
        <is>
          <t>Tyranid Warriors with Melee Bio-weapons</t>
        </is>
      </c>
      <c r="G777">
        <f>IF(F777="","",F777-C777)</f>
        <v/>
      </c>
    </row>
    <row r="778">
      <c r="A778" t="inlineStr">
        <is>
          <t>Tyranids</t>
        </is>
      </c>
      <c r="B778" t="inlineStr">
        <is>
          <t>Tyranid Warriors with Ranged Bio-weapons</t>
        </is>
      </c>
      <c r="G778">
        <f>IF(F778="","",F778-C778)</f>
        <v/>
      </c>
    </row>
    <row r="779">
      <c r="A779" t="inlineStr">
        <is>
          <t>Tyranids</t>
        </is>
      </c>
      <c r="B779" t="inlineStr">
        <is>
          <t>Tyrannocyte</t>
        </is>
      </c>
      <c r="G779">
        <f>IF(F779="","",F779-C779)</f>
        <v/>
      </c>
    </row>
    <row r="780">
      <c r="A780" t="inlineStr">
        <is>
          <t>Tyranids</t>
        </is>
      </c>
      <c r="B780" t="inlineStr">
        <is>
          <t>Tyrannofex</t>
        </is>
      </c>
      <c r="G780">
        <f>IF(F780="","",F780-C780)</f>
        <v/>
      </c>
    </row>
    <row r="781">
      <c r="A781" t="inlineStr">
        <is>
          <t>Tyranids</t>
        </is>
      </c>
      <c r="B781" t="inlineStr">
        <is>
          <t>Tyrant Guard</t>
        </is>
      </c>
      <c r="G781">
        <f>IF(F781="","",F781-C781)</f>
        <v/>
      </c>
    </row>
    <row r="782">
      <c r="A782" t="inlineStr">
        <is>
          <t>Tyranids</t>
        </is>
      </c>
      <c r="B782" t="inlineStr">
        <is>
          <t>Von Ryan's Leapers</t>
        </is>
      </c>
      <c r="G782">
        <f>IF(F782="","",F782-C782)</f>
        <v/>
      </c>
    </row>
    <row r="783">
      <c r="A783" t="inlineStr">
        <is>
          <t>Tyranids</t>
        </is>
      </c>
      <c r="B783" t="inlineStr">
        <is>
          <t>Winged Hive Tyrant</t>
        </is>
      </c>
      <c r="G783">
        <f>IF(F783="","",F783-C783)</f>
        <v/>
      </c>
    </row>
    <row r="784">
      <c r="A784" t="inlineStr">
        <is>
          <t>Tyranids</t>
        </is>
      </c>
      <c r="B784" t="inlineStr">
        <is>
          <t>Winged Tyranid Prime</t>
        </is>
      </c>
      <c r="G784">
        <f>IF(F784="","",F784-C784)</f>
        <v/>
      </c>
    </row>
    <row r="785">
      <c r="A785" t="inlineStr">
        <is>
          <t>Tyranids</t>
        </is>
      </c>
      <c r="B785" t="inlineStr">
        <is>
          <t>Zoanthropes</t>
        </is>
      </c>
      <c r="G785">
        <f>IF(F785="","",F785-C785)</f>
        <v/>
      </c>
    </row>
    <row r="786">
      <c r="A786" t="inlineStr">
        <is>
          <t>Genestealer Cults</t>
        </is>
      </c>
      <c r="B786" t="inlineStr">
        <is>
          <t>Abominant</t>
        </is>
      </c>
      <c r="G786">
        <f>IF(F786="","",F786-C786)</f>
        <v/>
      </c>
    </row>
    <row r="787">
      <c r="A787" t="inlineStr">
        <is>
          <t>Genestealer Cults</t>
        </is>
      </c>
      <c r="B787" t="inlineStr">
        <is>
          <t>Aberrants</t>
        </is>
      </c>
      <c r="G787">
        <f>IF(F787="","",F787-C787)</f>
        <v/>
      </c>
    </row>
    <row r="788">
      <c r="A788" t="inlineStr">
        <is>
          <t>Genestealer Cults</t>
        </is>
      </c>
      <c r="B788" t="inlineStr">
        <is>
          <t>Achilles Ridgerunners</t>
        </is>
      </c>
      <c r="G788">
        <f>IF(F788="","",F788-C788)</f>
        <v/>
      </c>
    </row>
    <row r="789">
      <c r="A789" t="inlineStr">
        <is>
          <t>Genestealer Cults</t>
        </is>
      </c>
      <c r="B789" t="inlineStr">
        <is>
          <t>Acolyte Hybrids with Autopistols</t>
        </is>
      </c>
      <c r="G789">
        <f>IF(F789="","",F789-C789)</f>
        <v/>
      </c>
    </row>
    <row r="790">
      <c r="A790" t="inlineStr">
        <is>
          <t>Genestealer Cults</t>
        </is>
      </c>
      <c r="B790" t="inlineStr">
        <is>
          <t>Acolyte Hybrids with Hand Flamers</t>
        </is>
      </c>
      <c r="G790">
        <f>IF(F790="","",F790-C790)</f>
        <v/>
      </c>
    </row>
    <row r="791">
      <c r="A791" t="inlineStr">
        <is>
          <t>Genestealer Cults</t>
        </is>
      </c>
      <c r="B791" t="inlineStr">
        <is>
          <t>Atalan Jackals</t>
        </is>
      </c>
      <c r="G791">
        <f>IF(F791="","",F791-C791)</f>
        <v/>
      </c>
    </row>
    <row r="792">
      <c r="A792" t="inlineStr">
        <is>
          <t>Genestealer Cults</t>
        </is>
      </c>
      <c r="B792" t="inlineStr">
        <is>
          <t>Biophagus</t>
        </is>
      </c>
      <c r="G792">
        <f>IF(F792="","",F792-C792)</f>
        <v/>
      </c>
    </row>
    <row r="793">
      <c r="A793" t="inlineStr">
        <is>
          <t>Genestealer Cults</t>
        </is>
      </c>
      <c r="B793" t="inlineStr">
        <is>
          <t>Clamavus</t>
        </is>
      </c>
      <c r="G793">
        <f>IF(F793="","",F793-C793)</f>
        <v/>
      </c>
    </row>
    <row r="794">
      <c r="A794" t="inlineStr">
        <is>
          <t>Genestealer Cults</t>
        </is>
      </c>
      <c r="B794" t="inlineStr">
        <is>
          <t>Goliath Rockgrinder</t>
        </is>
      </c>
      <c r="G794">
        <f>IF(F794="","",F794-C794)</f>
        <v/>
      </c>
    </row>
    <row r="795">
      <c r="A795" t="inlineStr">
        <is>
          <t>Genestealer Cults</t>
        </is>
      </c>
      <c r="B795" t="inlineStr">
        <is>
          <t>Goliath Truck</t>
        </is>
      </c>
      <c r="G795">
        <f>IF(F795="","",F795-C795)</f>
        <v/>
      </c>
    </row>
    <row r="796">
      <c r="A796" t="inlineStr">
        <is>
          <t>Genestealer Cults</t>
        </is>
      </c>
      <c r="B796" t="inlineStr">
        <is>
          <t>Hybrid Metamorphs</t>
        </is>
      </c>
      <c r="G796">
        <f>IF(F796="","",F796-C796)</f>
        <v/>
      </c>
    </row>
    <row r="797">
      <c r="A797" t="inlineStr">
        <is>
          <t>Genestealer Cults</t>
        </is>
      </c>
      <c r="B797" t="inlineStr">
        <is>
          <t>Jackal Alphus</t>
        </is>
      </c>
      <c r="G797">
        <f>IF(F797="","",F797-C797)</f>
        <v/>
      </c>
    </row>
    <row r="798">
      <c r="A798" t="inlineStr">
        <is>
          <t>Genestealer Cults</t>
        </is>
      </c>
      <c r="B798" t="inlineStr">
        <is>
          <t>Kelermorph</t>
        </is>
      </c>
      <c r="G798">
        <f>IF(F798="","",F798-C798)</f>
        <v/>
      </c>
    </row>
    <row r="799">
      <c r="A799" t="inlineStr">
        <is>
          <t>Genestealer Cults</t>
        </is>
      </c>
      <c r="B799" t="inlineStr">
        <is>
          <t>Locus</t>
        </is>
      </c>
      <c r="G799">
        <f>IF(F799="","",F799-C799)</f>
        <v/>
      </c>
    </row>
    <row r="800">
      <c r="A800" t="inlineStr">
        <is>
          <t>Genestealer Cults</t>
        </is>
      </c>
      <c r="B800" t="inlineStr">
        <is>
          <t>Magus</t>
        </is>
      </c>
      <c r="G800">
        <f>IF(F800="","",F800-C800)</f>
        <v/>
      </c>
    </row>
    <row r="801">
      <c r="A801" t="inlineStr">
        <is>
          <t>Genestealer Cults</t>
        </is>
      </c>
      <c r="B801" t="inlineStr">
        <is>
          <t>Nexos</t>
        </is>
      </c>
      <c r="G801">
        <f>IF(F801="","",F801-C801)</f>
        <v/>
      </c>
    </row>
    <row r="802">
      <c r="A802" t="inlineStr">
        <is>
          <t>Genestealer Cults</t>
        </is>
      </c>
      <c r="B802" t="inlineStr">
        <is>
          <t>Neophyte Hybrids</t>
        </is>
      </c>
      <c r="G802">
        <f>IF(F802="","",F802-C802)</f>
        <v/>
      </c>
    </row>
    <row r="803">
      <c r="A803" t="inlineStr">
        <is>
          <t>Genestealer Cults</t>
        </is>
      </c>
      <c r="B803" t="inlineStr">
        <is>
          <t>Patriarch</t>
        </is>
      </c>
      <c r="G803">
        <f>IF(F803="","",F803-C803)</f>
        <v/>
      </c>
    </row>
    <row r="804">
      <c r="A804" t="inlineStr">
        <is>
          <t>Genestealer Cults</t>
        </is>
      </c>
      <c r="B804" t="inlineStr">
        <is>
          <t>Primus</t>
        </is>
      </c>
      <c r="G804">
        <f>IF(F804="","",F804-C804)</f>
        <v/>
      </c>
    </row>
    <row r="805">
      <c r="A805" t="inlineStr">
        <is>
          <t>Genestealer Cults</t>
        </is>
      </c>
      <c r="B805" t="inlineStr">
        <is>
          <t>Purestrain Genestealers</t>
        </is>
      </c>
      <c r="G805">
        <f>IF(F805="","",F805-C805)</f>
        <v/>
      </c>
    </row>
    <row r="806">
      <c r="A806" t="inlineStr">
        <is>
          <t>Genestealer Cults</t>
        </is>
      </c>
      <c r="B806" t="inlineStr">
        <is>
          <t>Reductus Saboteur</t>
        </is>
      </c>
      <c r="G806">
        <f>IF(F806="","",F806-C806)</f>
        <v/>
      </c>
    </row>
    <row r="807">
      <c r="A807" t="inlineStr">
        <is>
          <t>Genestealer Cults</t>
        </is>
      </c>
      <c r="B807" t="inlineStr">
        <is>
          <t>Sanctus</t>
        </is>
      </c>
      <c r="G807">
        <f>IF(F807="","",F807-C807)</f>
        <v/>
      </c>
    </row>
    <row r="808">
      <c r="A808" t="inlineStr">
        <is>
          <t>Leagues of Votann</t>
        </is>
      </c>
      <c r="B808" t="inlineStr">
        <is>
          <t>Brôkhyr Iron-master</t>
        </is>
      </c>
      <c r="G808">
        <f>IF(F808="","",F808-C808)</f>
        <v/>
      </c>
    </row>
    <row r="809">
      <c r="A809" t="inlineStr">
        <is>
          <t>Leagues of Votann</t>
        </is>
      </c>
      <c r="B809" t="inlineStr">
        <is>
          <t>Brôkhyr Thunderkyn</t>
        </is>
      </c>
      <c r="G809">
        <f>IF(F809="","",F809-C809)</f>
        <v/>
      </c>
    </row>
    <row r="810">
      <c r="A810" t="inlineStr">
        <is>
          <t>Leagues of Votann</t>
        </is>
      </c>
      <c r="B810" t="inlineStr">
        <is>
          <t>Cthonian Beserks</t>
        </is>
      </c>
      <c r="G810">
        <f>IF(F810="","",F810-C810)</f>
        <v/>
      </c>
    </row>
    <row r="811">
      <c r="A811" t="inlineStr">
        <is>
          <t>Leagues of Votann</t>
        </is>
      </c>
      <c r="B811" t="inlineStr">
        <is>
          <t>Einhyr Champion</t>
        </is>
      </c>
      <c r="G811">
        <f>IF(F811="","",F811-C811)</f>
        <v/>
      </c>
    </row>
    <row r="812">
      <c r="A812" t="inlineStr">
        <is>
          <t>Leagues of Votann</t>
        </is>
      </c>
      <c r="B812" t="inlineStr">
        <is>
          <t>Einhyr Hearthguard</t>
        </is>
      </c>
      <c r="G812">
        <f>IF(F812="","",F812-C812)</f>
        <v/>
      </c>
    </row>
    <row r="813">
      <c r="A813" t="inlineStr">
        <is>
          <t>Leagues of Votann</t>
        </is>
      </c>
      <c r="B813" t="inlineStr">
        <is>
          <t>Grimnyr</t>
        </is>
      </c>
      <c r="G813">
        <f>IF(F813="","",F813-C813)</f>
        <v/>
      </c>
    </row>
    <row r="814">
      <c r="A814" t="inlineStr">
        <is>
          <t>Leagues of Votann</t>
        </is>
      </c>
      <c r="B814" t="inlineStr">
        <is>
          <t>Hekaton Land Fortress</t>
        </is>
      </c>
      <c r="G814">
        <f>IF(F814="","",F814-C814)</f>
        <v/>
      </c>
    </row>
    <row r="815">
      <c r="A815" t="inlineStr">
        <is>
          <t>Leagues of Votann</t>
        </is>
      </c>
      <c r="B815" t="inlineStr">
        <is>
          <t>Hernkyn Pioneers</t>
        </is>
      </c>
      <c r="G815">
        <f>IF(F815="","",F815-C815)</f>
        <v/>
      </c>
    </row>
    <row r="816">
      <c r="A816" t="inlineStr">
        <is>
          <t>Leagues of Votann</t>
        </is>
      </c>
      <c r="B816" t="inlineStr">
        <is>
          <t>Hernkyn Yaegirs</t>
        </is>
      </c>
      <c r="G816">
        <f>IF(F816="","",F816-C816)</f>
        <v/>
      </c>
    </row>
    <row r="817">
      <c r="A817" t="inlineStr">
        <is>
          <t>Leagues of Votann</t>
        </is>
      </c>
      <c r="B817" t="inlineStr">
        <is>
          <t>Hearthkyn Warriors</t>
        </is>
      </c>
      <c r="G817">
        <f>IF(F817="","",F817-C817)</f>
        <v/>
      </c>
    </row>
    <row r="818">
      <c r="A818" t="inlineStr">
        <is>
          <t>Leagues of Votann</t>
        </is>
      </c>
      <c r="B818" t="inlineStr">
        <is>
          <t>Kâhl</t>
        </is>
      </c>
      <c r="G818">
        <f>IF(F818="","",F818-C818)</f>
        <v/>
      </c>
    </row>
    <row r="819">
      <c r="A819" t="inlineStr">
        <is>
          <t>Leagues of Votann</t>
        </is>
      </c>
      <c r="B819" t="inlineStr">
        <is>
          <t>Sagitaur</t>
        </is>
      </c>
      <c r="G819">
        <f>IF(F819="","",F819-C819)</f>
        <v/>
      </c>
    </row>
    <row r="820">
      <c r="A820" t="inlineStr">
        <is>
          <t>Leagues of Votann</t>
        </is>
      </c>
      <c r="B820" t="inlineStr">
        <is>
          <t>Ûthar the Destined</t>
        </is>
      </c>
      <c r="G820">
        <f>IF(F820="","",F820-C820)</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Adepta Sororitas</t>
        </is>
      </c>
      <c r="C2" t="inlineStr">
        <is>
          <t>Infantry / Other</t>
        </is>
      </c>
      <c r="D2" t="inlineStr">
        <is>
          <t>Infantry</t>
        </is>
      </c>
      <c r="E2" t="inlineStr">
        <is>
          <t>Aestred Thurga and Agathae Dolan</t>
        </is>
      </c>
      <c r="F2" t="inlineStr">
        <is>
          <t>2 models</t>
        </is>
      </c>
      <c r="G2" t="inlineStr">
        <is>
          <t>Infantry</t>
        </is>
      </c>
      <c r="L2" s="60" t="n">
        <v>85</v>
      </c>
      <c r="M2" s="54" t="str"/>
      <c r="N2" s="54" t="inlineStr">
        <is>
          <t>Matched to Munitorum Field Manual v2.3</t>
        </is>
      </c>
      <c r="O2" s="54" t="inlineStr">
        <is>
          <t>Uploaded PDF: Munitorum Field Manual v2.3 / March 2025, p.2</t>
        </is>
      </c>
    </row>
    <row r="3">
      <c r="A3" t="inlineStr">
        <is>
          <t>Adepta Sororitas</t>
        </is>
      </c>
      <c r="C3" t="inlineStr">
        <is>
          <t>Infantry / Other</t>
        </is>
      </c>
      <c r="D3" t="inlineStr">
        <is>
          <t>Infantry</t>
        </is>
      </c>
      <c r="E3" t="inlineStr">
        <is>
          <t>Arco-flagellants</t>
        </is>
      </c>
      <c r="F3" t="inlineStr">
        <is>
          <t>3 models</t>
        </is>
      </c>
      <c r="G3" t="inlineStr">
        <is>
          <t>Infantry</t>
        </is>
      </c>
      <c r="L3" s="60" t="n">
        <v>45</v>
      </c>
      <c r="M3" s="54" t="inlineStr">
        <is>
          <t>Points options: 3 models = 45 pts; 10 models = 140 pts</t>
        </is>
      </c>
      <c r="N3" s="54" t="inlineStr">
        <is>
          <t>Matched to Munitorum Field Manual v2.3</t>
        </is>
      </c>
      <c r="O3" s="54" t="inlineStr">
        <is>
          <t>Uploaded PDF: Munitorum Field Manual v2.3 / March 2025, p.2</t>
        </is>
      </c>
    </row>
    <row r="4">
      <c r="A4" t="inlineStr">
        <is>
          <t>Adepta Sororitas</t>
        </is>
      </c>
      <c r="C4" t="inlineStr">
        <is>
          <t>Battleline / Core</t>
        </is>
      </c>
      <c r="D4" t="inlineStr">
        <is>
          <t>Infantry</t>
        </is>
      </c>
      <c r="E4" t="inlineStr">
        <is>
          <t>Battle Sisters Squad</t>
        </is>
      </c>
      <c r="F4" t="inlineStr">
        <is>
          <t>10 models</t>
        </is>
      </c>
      <c r="G4" t="inlineStr">
        <is>
          <t>Infantry</t>
        </is>
      </c>
      <c r="L4" s="60" t="n">
        <v>105</v>
      </c>
      <c r="M4" s="54" t="str"/>
      <c r="N4" s="54" t="inlineStr">
        <is>
          <t>Matched to Munitorum Field Manual v2.3</t>
        </is>
      </c>
      <c r="O4" s="54" t="inlineStr">
        <is>
          <t>Uploaded PDF: Munitorum Field Manual v2.3 / March 2025, p.2</t>
        </is>
      </c>
    </row>
    <row r="5">
      <c r="A5" t="inlineStr">
        <is>
          <t>Adepta Sororitas</t>
        </is>
      </c>
      <c r="C5" t="inlineStr">
        <is>
          <t>Character</t>
        </is>
      </c>
      <c r="D5" t="inlineStr">
        <is>
          <t>Character</t>
        </is>
      </c>
      <c r="E5" t="inlineStr">
        <is>
          <t>Canoness</t>
        </is>
      </c>
      <c r="F5" t="inlineStr">
        <is>
          <t>1 model</t>
        </is>
      </c>
      <c r="G5" t="inlineStr">
        <is>
          <t>Character</t>
        </is>
      </c>
      <c r="L5" s="60" t="n">
        <v>50</v>
      </c>
      <c r="M5" s="54" t="str"/>
      <c r="N5" s="54" t="inlineStr">
        <is>
          <t>Matched to Munitorum Field Manual v2.3</t>
        </is>
      </c>
      <c r="O5" s="54" t="inlineStr">
        <is>
          <t>Uploaded PDF: Munitorum Field Manual v2.3 / March 2025, p.2</t>
        </is>
      </c>
    </row>
    <row r="6">
      <c r="A6" t="inlineStr">
        <is>
          <t>Adepta Sororitas</t>
        </is>
      </c>
      <c r="C6" t="inlineStr">
        <is>
          <t>Vehicle / Support</t>
        </is>
      </c>
      <c r="D6" t="inlineStr">
        <is>
          <t>Vehicle</t>
        </is>
      </c>
      <c r="E6" t="inlineStr">
        <is>
          <t>Castigator</t>
        </is>
      </c>
      <c r="F6" t="inlineStr">
        <is>
          <t>1 model</t>
        </is>
      </c>
      <c r="G6" t="inlineStr">
        <is>
          <t>Vehicle</t>
        </is>
      </c>
      <c r="L6" s="60" t="n">
        <v>170</v>
      </c>
      <c r="M6" s="54" t="str"/>
      <c r="N6" s="54" t="inlineStr">
        <is>
          <t>Matched to Munitorum Field Manual v2.3</t>
        </is>
      </c>
      <c r="O6" s="54" t="inlineStr">
        <is>
          <t>Uploaded PDF: Munitorum Field Manual v2.3 / March 2025, p.2</t>
        </is>
      </c>
    </row>
    <row r="7">
      <c r="A7" t="inlineStr">
        <is>
          <t>Adepta Sororitas</t>
        </is>
      </c>
      <c r="C7" t="inlineStr">
        <is>
          <t>Infantry / Other</t>
        </is>
      </c>
      <c r="D7" t="inlineStr">
        <is>
          <t>Infantry</t>
        </is>
      </c>
      <c r="E7" t="inlineStr">
        <is>
          <t>Celestian Sacresants</t>
        </is>
      </c>
      <c r="F7" t="inlineStr">
        <is>
          <t>5 models</t>
        </is>
      </c>
      <c r="G7" t="inlineStr">
        <is>
          <t>Infantry</t>
        </is>
      </c>
      <c r="L7" s="60" t="n">
        <v>70</v>
      </c>
      <c r="M7" s="54" t="inlineStr">
        <is>
          <t>Points options: 5 models = 70 pts; 10 models = 130 pts</t>
        </is>
      </c>
      <c r="N7" s="54" t="inlineStr">
        <is>
          <t>Matched to Munitorum Field Manual v2.3</t>
        </is>
      </c>
      <c r="O7" s="54" t="inlineStr">
        <is>
          <t>Uploaded PDF: Munitorum Field Manual v2.3 / March 2025, p.2</t>
        </is>
      </c>
    </row>
    <row r="8">
      <c r="A8" t="inlineStr">
        <is>
          <t>Adepta Sororitas</t>
        </is>
      </c>
      <c r="C8" t="inlineStr">
        <is>
          <t>Infantry / Other</t>
        </is>
      </c>
      <c r="D8" t="inlineStr">
        <is>
          <t>Infantry</t>
        </is>
      </c>
      <c r="E8" t="inlineStr">
        <is>
          <t>Daemonifuge</t>
        </is>
      </c>
      <c r="F8" t="inlineStr">
        <is>
          <t>2 models</t>
        </is>
      </c>
      <c r="G8" t="inlineStr">
        <is>
          <t>Infantry</t>
        </is>
      </c>
      <c r="L8" s="60" t="n">
        <v>85</v>
      </c>
      <c r="M8" s="54" t="str"/>
      <c r="N8" s="54" t="inlineStr">
        <is>
          <t>Matched to Munitorum Field Manual v2.3</t>
        </is>
      </c>
      <c r="O8" s="54" t="inlineStr">
        <is>
          <t>Uploaded PDF: Munitorum Field Manual v2.3 / March 2025, p.2</t>
        </is>
      </c>
    </row>
    <row r="9">
      <c r="A9" t="inlineStr">
        <is>
          <t>Adepta Sororitas</t>
        </is>
      </c>
      <c r="C9" t="inlineStr">
        <is>
          <t>Character</t>
        </is>
      </c>
      <c r="D9" t="inlineStr">
        <is>
          <t>Character</t>
        </is>
      </c>
      <c r="E9" t="inlineStr">
        <is>
          <t>Death Cult Assassins</t>
        </is>
      </c>
      <c r="G9" t="inlineStr">
        <is>
          <t>Character</t>
        </is>
      </c>
      <c r="L9" s="60" t="n"/>
      <c r="M9" s="54" t="inlineStr">
        <is>
          <t>No matching points entry found in uploaded PDF; verify unit name/current support.</t>
        </is>
      </c>
      <c r="N9" s="54" t="inlineStr">
        <is>
          <t>Not found in uploaded PDF</t>
        </is>
      </c>
      <c r="O9" s="54" t="inlineStr">
        <is>
          <t>Uploaded PDF: Munitorum Field Manual v2.3 / March 2025</t>
        </is>
      </c>
    </row>
    <row r="10">
      <c r="A10" t="inlineStr">
        <is>
          <t>Adepta Sororitas</t>
        </is>
      </c>
      <c r="C10" t="inlineStr">
        <is>
          <t>Infantry / Other</t>
        </is>
      </c>
      <c r="D10" t="inlineStr">
        <is>
          <t>Infantry</t>
        </is>
      </c>
      <c r="E10" t="inlineStr">
        <is>
          <t>Dialogus</t>
        </is>
      </c>
      <c r="F10" t="inlineStr">
        <is>
          <t>1 model</t>
        </is>
      </c>
      <c r="G10" t="inlineStr">
        <is>
          <t>Infantry</t>
        </is>
      </c>
      <c r="L10" s="60" t="n">
        <v>40</v>
      </c>
      <c r="M10" s="54" t="str"/>
      <c r="N10" s="54" t="inlineStr">
        <is>
          <t>Matched to Munitorum Field Manual v2.3</t>
        </is>
      </c>
      <c r="O10" s="54" t="inlineStr">
        <is>
          <t>Uploaded PDF: Munitorum Field Manual v2.3 / March 2025, p.2</t>
        </is>
      </c>
    </row>
    <row r="11">
      <c r="A11" t="inlineStr">
        <is>
          <t>Adepta Sororitas</t>
        </is>
      </c>
      <c r="C11" t="inlineStr">
        <is>
          <t>Infantry / Other</t>
        </is>
      </c>
      <c r="D11" t="inlineStr">
        <is>
          <t>Infantry</t>
        </is>
      </c>
      <c r="E11" t="inlineStr">
        <is>
          <t>Dogmata</t>
        </is>
      </c>
      <c r="F11" t="inlineStr">
        <is>
          <t>1 model</t>
        </is>
      </c>
      <c r="G11" t="inlineStr">
        <is>
          <t>Infantry</t>
        </is>
      </c>
      <c r="L11" s="60" t="n">
        <v>45</v>
      </c>
      <c r="M11" s="54" t="str"/>
      <c r="N11" s="54" t="inlineStr">
        <is>
          <t>Matched to Munitorum Field Manual v2.3</t>
        </is>
      </c>
      <c r="O11" s="54" t="inlineStr">
        <is>
          <t>Uploaded PDF: Munitorum Field Manual v2.3 / March 2025, p.2</t>
        </is>
      </c>
    </row>
    <row r="12">
      <c r="A12" t="inlineStr">
        <is>
          <t>Adepta Sororitas</t>
        </is>
      </c>
      <c r="C12" t="inlineStr">
        <is>
          <t>Infantry / Other</t>
        </is>
      </c>
      <c r="D12" t="inlineStr">
        <is>
          <t>Infantry</t>
        </is>
      </c>
      <c r="E12" t="inlineStr">
        <is>
          <t>Dominion Squad</t>
        </is>
      </c>
      <c r="F12" t="inlineStr">
        <is>
          <t>10 models</t>
        </is>
      </c>
      <c r="G12" t="inlineStr">
        <is>
          <t>Infantry</t>
        </is>
      </c>
      <c r="L12" s="60" t="n">
        <v>115</v>
      </c>
      <c r="M12" s="54" t="str"/>
      <c r="N12" s="54" t="inlineStr">
        <is>
          <t>Matched to Munitorum Field Manual v2.3</t>
        </is>
      </c>
      <c r="O12" s="54" t="inlineStr">
        <is>
          <t>Uploaded PDF: Munitorum Field Manual v2.3 / March 2025, p.2</t>
        </is>
      </c>
    </row>
    <row r="13">
      <c r="A13" t="inlineStr">
        <is>
          <t>Adepta Sororitas</t>
        </is>
      </c>
      <c r="C13" t="inlineStr">
        <is>
          <t>Vehicle / Support</t>
        </is>
      </c>
      <c r="D13" t="inlineStr">
        <is>
          <t>Vehicle</t>
        </is>
      </c>
      <c r="E13" t="inlineStr">
        <is>
          <t>Exorcist</t>
        </is>
      </c>
      <c r="F13" t="inlineStr">
        <is>
          <t>1 model</t>
        </is>
      </c>
      <c r="G13" t="inlineStr">
        <is>
          <t>Vehicle</t>
        </is>
      </c>
      <c r="L13" s="60" t="n">
        <v>210</v>
      </c>
      <c r="M13" s="54" t="str"/>
      <c r="N13" s="54" t="inlineStr">
        <is>
          <t>Matched to Munitorum Field Manual v2.3</t>
        </is>
      </c>
      <c r="O13" s="54" t="inlineStr">
        <is>
          <t>Uploaded PDF: Munitorum Field Manual v2.3 / March 2025, p.2</t>
        </is>
      </c>
    </row>
    <row r="14">
      <c r="A14" t="inlineStr">
        <is>
          <t>Adepta Sororitas</t>
        </is>
      </c>
      <c r="C14" t="inlineStr">
        <is>
          <t>Infantry / Other</t>
        </is>
      </c>
      <c r="D14" t="inlineStr">
        <is>
          <t>Infantry</t>
        </is>
      </c>
      <c r="E14" t="inlineStr">
        <is>
          <t>Hospitaller</t>
        </is>
      </c>
      <c r="F14" t="inlineStr">
        <is>
          <t>1 model</t>
        </is>
      </c>
      <c r="G14" t="inlineStr">
        <is>
          <t>Infantry</t>
        </is>
      </c>
      <c r="L14" s="60" t="n">
        <v>50</v>
      </c>
      <c r="M14" s="54" t="str"/>
      <c r="N14" s="54" t="inlineStr">
        <is>
          <t>Matched to Munitorum Field Manual v2.3</t>
        </is>
      </c>
      <c r="O14" s="54" t="inlineStr">
        <is>
          <t>Uploaded PDF: Munitorum Field Manual v2.3 / March 2025, p.2</t>
        </is>
      </c>
    </row>
    <row r="15">
      <c r="A15" t="inlineStr">
        <is>
          <t>Adepta Sororitas</t>
        </is>
      </c>
      <c r="C15" t="inlineStr">
        <is>
          <t>Infantry / Other</t>
        </is>
      </c>
      <c r="D15" t="inlineStr">
        <is>
          <t>Infantry</t>
        </is>
      </c>
      <c r="E15" t="inlineStr">
        <is>
          <t>Imagifier</t>
        </is>
      </c>
      <c r="F15" t="inlineStr">
        <is>
          <t>1 model</t>
        </is>
      </c>
      <c r="G15" t="inlineStr">
        <is>
          <t>Infantry</t>
        </is>
      </c>
      <c r="L15" s="60" t="n">
        <v>65</v>
      </c>
      <c r="M15" s="54" t="str"/>
      <c r="N15" s="54" t="inlineStr">
        <is>
          <t>Matched to Munitorum Field Manual v2.3</t>
        </is>
      </c>
      <c r="O15" s="54" t="inlineStr">
        <is>
          <t>Uploaded PDF: Munitorum Field Manual v2.3 / March 2025, p.2</t>
        </is>
      </c>
    </row>
    <row r="16">
      <c r="A16" t="inlineStr">
        <is>
          <t>Adepta Sororitas</t>
        </is>
      </c>
      <c r="C16" t="inlineStr">
        <is>
          <t>Vehicle / Support</t>
        </is>
      </c>
      <c r="D16" t="inlineStr">
        <is>
          <t>Vehicle</t>
        </is>
      </c>
      <c r="E16" t="inlineStr">
        <is>
          <t>Immolator</t>
        </is>
      </c>
      <c r="F16" t="inlineStr">
        <is>
          <t>1 model</t>
        </is>
      </c>
      <c r="G16" t="inlineStr">
        <is>
          <t>Vehicle</t>
        </is>
      </c>
      <c r="L16" s="60" t="n">
        <v>125</v>
      </c>
      <c r="M16" s="54" t="str"/>
      <c r="N16" s="54" t="inlineStr">
        <is>
          <t>Matched to Munitorum Field Manual v2.3</t>
        </is>
      </c>
      <c r="O16" s="54" t="inlineStr">
        <is>
          <t>Uploaded PDF: Munitorum Field Manual v2.3 / March 2025, p.2</t>
        </is>
      </c>
    </row>
    <row r="17">
      <c r="A17" t="inlineStr">
        <is>
          <t>Adepta Sororitas</t>
        </is>
      </c>
      <c r="C17" t="inlineStr">
        <is>
          <t>Infantry / Other</t>
        </is>
      </c>
      <c r="D17" t="inlineStr">
        <is>
          <t>Infantry</t>
        </is>
      </c>
      <c r="E17" t="inlineStr">
        <is>
          <t>Junith Eruita</t>
        </is>
      </c>
      <c r="F17" t="inlineStr">
        <is>
          <t>1 model</t>
        </is>
      </c>
      <c r="G17" t="inlineStr">
        <is>
          <t>Infantry</t>
        </is>
      </c>
      <c r="L17" s="60" t="n">
        <v>90</v>
      </c>
      <c r="M17" s="54" t="str"/>
      <c r="N17" s="54" t="inlineStr">
        <is>
          <t>Matched to Munitorum Field Manual v2.3</t>
        </is>
      </c>
      <c r="O17" s="54" t="inlineStr">
        <is>
          <t>Uploaded PDF: Munitorum Field Manual v2.3 / March 2025, p.2</t>
        </is>
      </c>
    </row>
    <row r="18">
      <c r="A18" t="inlineStr">
        <is>
          <t>Adepta Sororitas</t>
        </is>
      </c>
      <c r="C18" t="inlineStr">
        <is>
          <t>Character</t>
        </is>
      </c>
      <c r="D18" t="inlineStr">
        <is>
          <t>Character</t>
        </is>
      </c>
      <c r="E18" t="inlineStr">
        <is>
          <t>Ministorum Priest</t>
        </is>
      </c>
      <c r="F18" t="inlineStr">
        <is>
          <t>1 model</t>
        </is>
      </c>
      <c r="G18" t="inlineStr">
        <is>
          <t>Character</t>
        </is>
      </c>
      <c r="L18" s="60" t="n">
        <v>50</v>
      </c>
      <c r="M18" s="54" t="str"/>
      <c r="N18" s="54" t="inlineStr">
        <is>
          <t>Matched to Munitorum Field Manual v2.3</t>
        </is>
      </c>
      <c r="O18" s="54" t="inlineStr">
        <is>
          <t>Uploaded PDF: Munitorum Field Manual v2.3 / March 2025, p.2</t>
        </is>
      </c>
    </row>
    <row r="19">
      <c r="A19" t="inlineStr">
        <is>
          <t>Adepta Sororitas</t>
        </is>
      </c>
      <c r="C19" t="inlineStr">
        <is>
          <t>Infantry / Other</t>
        </is>
      </c>
      <c r="D19" t="inlineStr">
        <is>
          <t>Infantry</t>
        </is>
      </c>
      <c r="E19" t="inlineStr">
        <is>
          <t>Missionary</t>
        </is>
      </c>
      <c r="G19" t="inlineStr">
        <is>
          <t>Infantry</t>
        </is>
      </c>
      <c r="L19" s="60" t="n"/>
      <c r="M19" s="54" t="inlineStr">
        <is>
          <t>No matching points entry found in uploaded PDF; verify unit name/current support.</t>
        </is>
      </c>
      <c r="N19" s="54" t="inlineStr">
        <is>
          <t>Not found in uploaded PDF</t>
        </is>
      </c>
      <c r="O19" s="54" t="inlineStr">
        <is>
          <t>Uploaded PDF: Munitorum Field Manual v2.3 / March 2025</t>
        </is>
      </c>
    </row>
    <row r="20">
      <c r="A20" t="inlineStr">
        <is>
          <t>Adepta Sororitas</t>
        </is>
      </c>
      <c r="C20" t="inlineStr">
        <is>
          <t>Infantry / Other</t>
        </is>
      </c>
      <c r="D20" t="inlineStr">
        <is>
          <t>Infantry</t>
        </is>
      </c>
      <c r="E20" t="inlineStr">
        <is>
          <t>Mortifiers</t>
        </is>
      </c>
      <c r="F20" t="inlineStr">
        <is>
          <t>1 model</t>
        </is>
      </c>
      <c r="G20" t="inlineStr">
        <is>
          <t>Infantry</t>
        </is>
      </c>
      <c r="L20" s="60" t="n">
        <v>70</v>
      </c>
      <c r="M20" s="54" t="inlineStr">
        <is>
          <t>Points options: 1 model = 70 pts; 2 models = 140 pts</t>
        </is>
      </c>
      <c r="N20" s="54" t="inlineStr">
        <is>
          <t>Matched to Munitorum Field Manual v2.3</t>
        </is>
      </c>
      <c r="O20" s="54" t="inlineStr">
        <is>
          <t>Uploaded PDF: Munitorum Field Manual v2.3 / March 2025, p.2</t>
        </is>
      </c>
    </row>
    <row r="21">
      <c r="A21" t="inlineStr">
        <is>
          <t>Adepta Sororitas</t>
        </is>
      </c>
      <c r="C21" t="inlineStr">
        <is>
          <t>Infantry / Other</t>
        </is>
      </c>
      <c r="D21" t="inlineStr">
        <is>
          <t>Infantry</t>
        </is>
      </c>
      <c r="E21" t="inlineStr">
        <is>
          <t>Morvenn Vahl</t>
        </is>
      </c>
      <c r="F21" t="inlineStr">
        <is>
          <t>1 model</t>
        </is>
      </c>
      <c r="G21" t="inlineStr">
        <is>
          <t>Infantry, Epic Hero</t>
        </is>
      </c>
      <c r="L21" s="60" t="n">
        <v>170</v>
      </c>
      <c r="M21" s="54" t="str"/>
      <c r="N21" s="54" t="inlineStr">
        <is>
          <t>Matched to Munitorum Field Manual v2.3</t>
        </is>
      </c>
      <c r="O21" s="54" t="inlineStr">
        <is>
          <t>Uploaded PDF: Munitorum Field Manual v2.3 / March 2025, p.2</t>
        </is>
      </c>
    </row>
    <row r="22">
      <c r="A22" t="inlineStr">
        <is>
          <t>Adepta Sororitas</t>
        </is>
      </c>
      <c r="C22" t="inlineStr">
        <is>
          <t>Character</t>
        </is>
      </c>
      <c r="D22" t="inlineStr">
        <is>
          <t>Character</t>
        </is>
      </c>
      <c r="E22" t="inlineStr">
        <is>
          <t>Palatine</t>
        </is>
      </c>
      <c r="F22" t="inlineStr">
        <is>
          <t>1 model</t>
        </is>
      </c>
      <c r="G22" t="inlineStr">
        <is>
          <t>Character</t>
        </is>
      </c>
      <c r="L22" s="60" t="n">
        <v>50</v>
      </c>
      <c r="M22" s="54" t="str"/>
      <c r="N22" s="54" t="inlineStr">
        <is>
          <t>Matched to Munitorum Field Manual v2.3</t>
        </is>
      </c>
      <c r="O22" s="54" t="inlineStr">
        <is>
          <t>Uploaded PDF: Munitorum Field Manual v2.3 / March 2025, p.2</t>
        </is>
      </c>
    </row>
    <row r="23">
      <c r="A23" t="inlineStr">
        <is>
          <t>Adepta Sororitas</t>
        </is>
      </c>
      <c r="C23" t="inlineStr">
        <is>
          <t>Vehicle / Support</t>
        </is>
      </c>
      <c r="D23" t="inlineStr">
        <is>
          <t>Walker / Battlesuit</t>
        </is>
      </c>
      <c r="E23" t="inlineStr">
        <is>
          <t>Paragon Warsuits</t>
        </is>
      </c>
      <c r="F23" t="inlineStr">
        <is>
          <t>3 models</t>
        </is>
      </c>
      <c r="G23" t="inlineStr">
        <is>
          <t>Walker / Battlesuit</t>
        </is>
      </c>
      <c r="L23" s="60" t="n">
        <v>220</v>
      </c>
      <c r="M23" s="54" t="str"/>
      <c r="N23" s="54" t="inlineStr">
        <is>
          <t>Matched to Munitorum Field Manual v2.3</t>
        </is>
      </c>
      <c r="O23" s="54" t="inlineStr">
        <is>
          <t>Uploaded PDF: Munitorum Field Manual v2.3 / March 2025, p.2</t>
        </is>
      </c>
    </row>
    <row r="24">
      <c r="A24" t="inlineStr">
        <is>
          <t>Adepta Sororitas</t>
        </is>
      </c>
      <c r="C24" t="inlineStr">
        <is>
          <t>Infantry / Other</t>
        </is>
      </c>
      <c r="D24" t="inlineStr">
        <is>
          <t>Infantry</t>
        </is>
      </c>
      <c r="E24" t="inlineStr">
        <is>
          <t>Penitent Engines</t>
        </is>
      </c>
      <c r="F24" t="inlineStr">
        <is>
          <t>1 model</t>
        </is>
      </c>
      <c r="G24" t="inlineStr">
        <is>
          <t>Infantry</t>
        </is>
      </c>
      <c r="L24" s="60" t="n">
        <v>75</v>
      </c>
      <c r="M24" s="54" t="inlineStr">
        <is>
          <t>Points options: 1 model = 75 pts; 2 models = 150 pts</t>
        </is>
      </c>
      <c r="N24" s="54" t="inlineStr">
        <is>
          <t>Matched to Munitorum Field Manual v2.3</t>
        </is>
      </c>
      <c r="O24" s="54" t="inlineStr">
        <is>
          <t>Uploaded PDF: Munitorum Field Manual v2.3 / March 2025, p.2</t>
        </is>
      </c>
    </row>
    <row r="25">
      <c r="A25" t="inlineStr">
        <is>
          <t>Adepta Sororitas</t>
        </is>
      </c>
      <c r="C25" t="inlineStr">
        <is>
          <t>Character</t>
        </is>
      </c>
      <c r="D25" t="inlineStr">
        <is>
          <t>Character</t>
        </is>
      </c>
      <c r="E25" t="inlineStr">
        <is>
          <t>Preacher</t>
        </is>
      </c>
      <c r="G25" t="inlineStr">
        <is>
          <t>Character</t>
        </is>
      </c>
      <c r="L25" s="60" t="n"/>
      <c r="M25" s="54" t="inlineStr">
        <is>
          <t>No matching points entry found in uploaded PDF; verify unit name/current support.</t>
        </is>
      </c>
      <c r="N25" s="54" t="inlineStr">
        <is>
          <t>Not found in uploaded PDF</t>
        </is>
      </c>
      <c r="O25" s="54" t="inlineStr">
        <is>
          <t>Uploaded PDF: Munitorum Field Manual v2.3 / March 2025</t>
        </is>
      </c>
    </row>
    <row r="26">
      <c r="A26" t="inlineStr">
        <is>
          <t>Adepta Sororitas</t>
        </is>
      </c>
      <c r="C26" t="inlineStr">
        <is>
          <t>Infantry / Other</t>
        </is>
      </c>
      <c r="D26" t="inlineStr">
        <is>
          <t>Infantry</t>
        </is>
      </c>
      <c r="E26" t="inlineStr">
        <is>
          <t>Retributor Squad</t>
        </is>
      </c>
      <c r="F26" t="inlineStr">
        <is>
          <t>5 models</t>
        </is>
      </c>
      <c r="G26" t="inlineStr">
        <is>
          <t>Infantry</t>
        </is>
      </c>
      <c r="L26" s="60" t="n">
        <v>125</v>
      </c>
      <c r="M26" s="54" t="str"/>
      <c r="N26" s="54" t="inlineStr">
        <is>
          <t>Matched to Munitorum Field Manual v2.3</t>
        </is>
      </c>
      <c r="O26" s="54" t="inlineStr">
        <is>
          <t>Uploaded PDF: Munitorum Field Manual v2.3 / March 2025, p.2</t>
        </is>
      </c>
    </row>
    <row r="27">
      <c r="A27" t="inlineStr">
        <is>
          <t>Adepta Sororitas</t>
        </is>
      </c>
      <c r="C27" t="inlineStr">
        <is>
          <t>Vehicle / Support</t>
        </is>
      </c>
      <c r="D27" t="inlineStr">
        <is>
          <t>Vehicle</t>
        </is>
      </c>
      <c r="E27" t="inlineStr">
        <is>
          <t>Rhino</t>
        </is>
      </c>
      <c r="G27" t="inlineStr">
        <is>
          <t>Vehicle</t>
        </is>
      </c>
      <c r="L27" s="60" t="n"/>
      <c r="M27" s="54" t="inlineStr">
        <is>
          <t>No matching points entry found in uploaded PDF; verify unit name/current support.</t>
        </is>
      </c>
      <c r="N27" s="54" t="inlineStr">
        <is>
          <t>Not found in uploaded PDF</t>
        </is>
      </c>
      <c r="O27" s="54" t="inlineStr">
        <is>
          <t>Uploaded PDF: Munitorum Field Manual v2.3 / March 2025</t>
        </is>
      </c>
    </row>
    <row r="28">
      <c r="A28" t="inlineStr">
        <is>
          <t>Adepta Sororitas</t>
        </is>
      </c>
      <c r="C28" t="inlineStr">
        <is>
          <t>Infantry / Other</t>
        </is>
      </c>
      <c r="D28" t="inlineStr">
        <is>
          <t>Infantry</t>
        </is>
      </c>
      <c r="E28" t="inlineStr">
        <is>
          <t>Saint Celestine</t>
        </is>
      </c>
      <c r="F28" t="inlineStr">
        <is>
          <t>3 models</t>
        </is>
      </c>
      <c r="G28" t="inlineStr">
        <is>
          <t>Infantry, Epic Hero</t>
        </is>
      </c>
      <c r="L28" s="60" t="n">
        <v>160</v>
      </c>
      <c r="M28" s="54" t="str"/>
      <c r="N28" s="54" t="inlineStr">
        <is>
          <t>Matched to Munitorum Field Manual v2.3</t>
        </is>
      </c>
      <c r="O28" s="54" t="inlineStr">
        <is>
          <t>Uploaded PDF: Munitorum Field Manual v2.3 / March 2025, p.2</t>
        </is>
      </c>
    </row>
    <row r="29">
      <c r="A29" t="inlineStr">
        <is>
          <t>Adepta Sororitas</t>
        </is>
      </c>
      <c r="C29" t="inlineStr">
        <is>
          <t>Infantry / Other</t>
        </is>
      </c>
      <c r="D29" t="inlineStr">
        <is>
          <t>Infantry</t>
        </is>
      </c>
      <c r="E29" t="inlineStr">
        <is>
          <t>Seraphim Squad</t>
        </is>
      </c>
      <c r="F29" t="inlineStr">
        <is>
          <t>5 models</t>
        </is>
      </c>
      <c r="G29" t="inlineStr">
        <is>
          <t>Infantry</t>
        </is>
      </c>
      <c r="L29" s="60" t="n">
        <v>85</v>
      </c>
      <c r="M29" s="54" t="inlineStr">
        <is>
          <t>Points options: 5 models = 85 pts; 10 models = 170 pts</t>
        </is>
      </c>
      <c r="N29" s="54" t="inlineStr">
        <is>
          <t>Matched to Munitorum Field Manual v2.3</t>
        </is>
      </c>
      <c r="O29" s="54" t="inlineStr">
        <is>
          <t>Uploaded PDF: Munitorum Field Manual v2.3 / March 2025, p.2</t>
        </is>
      </c>
    </row>
    <row r="30">
      <c r="A30" t="inlineStr">
        <is>
          <t>Adepta Sororitas</t>
        </is>
      </c>
      <c r="C30" t="inlineStr">
        <is>
          <t>Infantry / Other</t>
        </is>
      </c>
      <c r="D30" t="inlineStr">
        <is>
          <t>Infantry</t>
        </is>
      </c>
      <c r="E30" t="inlineStr">
        <is>
          <t>Triumph of Saint Katherine</t>
        </is>
      </c>
      <c r="F30" t="inlineStr">
        <is>
          <t>1 model</t>
        </is>
      </c>
      <c r="G30" t="inlineStr">
        <is>
          <t>Infantry</t>
        </is>
      </c>
      <c r="L30" s="60" t="n">
        <v>250</v>
      </c>
      <c r="M30" s="54" t="str"/>
      <c r="N30" s="54" t="inlineStr">
        <is>
          <t>Matched to Munitorum Field Manual v2.3</t>
        </is>
      </c>
      <c r="O30" s="54" t="inlineStr">
        <is>
          <t>Uploaded PDF: Munitorum Field Manual v2.3 / March 2025, p.2</t>
        </is>
      </c>
    </row>
    <row r="31">
      <c r="A31" t="inlineStr">
        <is>
          <t>Adepta Sororitas</t>
        </is>
      </c>
      <c r="C31" t="inlineStr">
        <is>
          <t>Infantry / Other</t>
        </is>
      </c>
      <c r="D31" t="inlineStr">
        <is>
          <t>Infantry</t>
        </is>
      </c>
      <c r="E31" t="inlineStr">
        <is>
          <t>Zephyrim Squad</t>
        </is>
      </c>
      <c r="F31" t="inlineStr">
        <is>
          <t>5 models</t>
        </is>
      </c>
      <c r="G31" t="inlineStr">
        <is>
          <t>Infantry</t>
        </is>
      </c>
      <c r="L31" s="60" t="n">
        <v>80</v>
      </c>
      <c r="M31" s="54" t="inlineStr">
        <is>
          <t>Points options: 5 models = 80 pts; 10 models = 160 pts</t>
        </is>
      </c>
      <c r="N31" s="54" t="inlineStr">
        <is>
          <t>Matched to Munitorum Field Manual v2.3</t>
        </is>
      </c>
      <c r="O31" s="54" t="inlineStr">
        <is>
          <t>Uploaded PDF: Munitorum Field Manual v2.3 / March 2025, p.2</t>
        </is>
      </c>
    </row>
    <row r="32">
      <c r="A32" t="inlineStr">
        <is>
          <t>Adepta Sororitas</t>
        </is>
      </c>
      <c r="C32" t="inlineStr">
        <is>
          <t>Character</t>
        </is>
      </c>
      <c r="D32" t="inlineStr">
        <is>
          <t>Character</t>
        </is>
      </c>
      <c r="E32" t="inlineStr">
        <is>
          <t>Canoness With Jump Pack</t>
        </is>
      </c>
      <c r="F32" t="inlineStr">
        <is>
          <t>1 model</t>
        </is>
      </c>
      <c r="G32" t="inlineStr">
        <is>
          <t>Character</t>
        </is>
      </c>
      <c r="L32" t="n">
        <v>75</v>
      </c>
      <c r="N32" t="inlineStr">
        <is>
          <t>Added from current Munitorum Field Manual v4.1 (non-Legends)</t>
        </is>
      </c>
      <c r="O32" t="inlineStr">
        <is>
          <t>https://www.warhammer-community.com/en-gb/downloads/warhammer-40000/</t>
        </is>
      </c>
    </row>
    <row r="33">
      <c r="A33" t="inlineStr">
        <is>
          <t>Adepta Sororitas</t>
        </is>
      </c>
      <c r="C33" t="inlineStr">
        <is>
          <t>Infantry / Other</t>
        </is>
      </c>
      <c r="D33" t="inlineStr">
        <is>
          <t>Infantry</t>
        </is>
      </c>
      <c r="E33" t="inlineStr">
        <is>
          <t>Celestian Insidiants</t>
        </is>
      </c>
      <c r="F33" t="inlineStr">
        <is>
          <t>10 models</t>
        </is>
      </c>
      <c r="G33" t="inlineStr">
        <is>
          <t>Infantry</t>
        </is>
      </c>
      <c r="L33" t="n">
        <v>120</v>
      </c>
      <c r="N33" t="inlineStr">
        <is>
          <t>Added from current Munitorum Field Manual v4.1 (non-Legends)</t>
        </is>
      </c>
      <c r="O33" t="inlineStr">
        <is>
          <t>https://www.warhammer-community.com/en-gb/downloads/warhammer-40000/</t>
        </is>
      </c>
    </row>
    <row r="34">
      <c r="A34" t="inlineStr">
        <is>
          <t>Adepta Sororitas</t>
        </is>
      </c>
      <c r="C34" t="inlineStr">
        <is>
          <t>Character</t>
        </is>
      </c>
      <c r="D34" t="inlineStr">
        <is>
          <t>Character</t>
        </is>
      </c>
      <c r="E34" t="inlineStr">
        <is>
          <t>Intranzia Fraye</t>
        </is>
      </c>
      <c r="F34" t="inlineStr">
        <is>
          <t>1 model</t>
        </is>
      </c>
      <c r="G34" t="inlineStr">
        <is>
          <t>Character</t>
        </is>
      </c>
      <c r="L34" t="n">
        <v>150</v>
      </c>
      <c r="N34" t="inlineStr">
        <is>
          <t>Added from current Munitorum Field Manual v4.1 (non-Legends)</t>
        </is>
      </c>
      <c r="O34" t="inlineStr">
        <is>
          <t>https://www.warhammer-community.com/en-gb/downloads/warhammer-40000/</t>
        </is>
      </c>
    </row>
    <row r="35">
      <c r="A35" t="inlineStr">
        <is>
          <t>Adepta Sororitas</t>
        </is>
      </c>
      <c r="C35" t="inlineStr">
        <is>
          <t>Infantry / Other</t>
        </is>
      </c>
      <c r="D35" t="inlineStr">
        <is>
          <t>Infantry</t>
        </is>
      </c>
      <c r="E35" t="inlineStr">
        <is>
          <t>Repentia Squad</t>
        </is>
      </c>
      <c r="F35" t="inlineStr">
        <is>
          <t>5 models</t>
        </is>
      </c>
      <c r="G35" t="inlineStr">
        <is>
          <t>Infantry</t>
        </is>
      </c>
      <c r="L35" t="n">
        <v>75</v>
      </c>
      <c r="N35" t="inlineStr">
        <is>
          <t>Added from current Munitorum Field Manual v4.1 (non-Legends)</t>
        </is>
      </c>
      <c r="O35" t="inlineStr">
        <is>
          <t>https://www.warhammer-community.com/en-gb/downloads/warhammer-40000/</t>
        </is>
      </c>
    </row>
    <row r="36">
      <c r="A36" t="inlineStr">
        <is>
          <t>Adepta Sororitas</t>
        </is>
      </c>
      <c r="C36" t="inlineStr">
        <is>
          <t>Infantry / Other</t>
        </is>
      </c>
      <c r="D36" t="inlineStr">
        <is>
          <t>Infantry</t>
        </is>
      </c>
      <c r="E36" t="inlineStr">
        <is>
          <t>Sanctifiers</t>
        </is>
      </c>
      <c r="F36" t="inlineStr">
        <is>
          <t>9 models</t>
        </is>
      </c>
      <c r="G36" t="inlineStr">
        <is>
          <t>Infantry</t>
        </is>
      </c>
      <c r="L36" t="n">
        <v>110</v>
      </c>
      <c r="N36" t="inlineStr">
        <is>
          <t>Added from current Munitorum Field Manual v4.1 (non-Legends)</t>
        </is>
      </c>
      <c r="O36" t="inlineStr">
        <is>
          <t>https://www.warhammer-community.com/en-gb/downloads/warhammer-40000/</t>
        </is>
      </c>
    </row>
    <row r="37">
      <c r="A37" t="inlineStr">
        <is>
          <t>Adepta Sororitas</t>
        </is>
      </c>
      <c r="C37" t="inlineStr">
        <is>
          <t>Infantry / Other</t>
        </is>
      </c>
      <c r="D37" t="inlineStr">
        <is>
          <t>Infantry</t>
        </is>
      </c>
      <c r="E37" t="inlineStr">
        <is>
          <t>Sisters Novitiate Squad</t>
        </is>
      </c>
      <c r="F37" t="inlineStr">
        <is>
          <t>10 models</t>
        </is>
      </c>
      <c r="G37" t="inlineStr">
        <is>
          <t>Infantry</t>
        </is>
      </c>
      <c r="L37" t="n">
        <v>100</v>
      </c>
      <c r="N37" t="inlineStr">
        <is>
          <t>Added from current Munitorum Field Manual v4.1 (non-Legends)</t>
        </is>
      </c>
      <c r="O37"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Adeptus Custodes</t>
        </is>
      </c>
      <c r="C2" t="inlineStr">
        <is>
          <t>Infantry / Other</t>
        </is>
      </c>
      <c r="D2" t="inlineStr">
        <is>
          <t>Infantry</t>
        </is>
      </c>
      <c r="E2" t="inlineStr">
        <is>
          <t>Aleya</t>
        </is>
      </c>
      <c r="F2" t="inlineStr">
        <is>
          <t>1 model</t>
        </is>
      </c>
      <c r="G2" t="inlineStr">
        <is>
          <t>Infantry</t>
        </is>
      </c>
      <c r="L2" s="60" t="n">
        <v>65</v>
      </c>
      <c r="M2" s="54" t="str"/>
      <c r="N2" s="54" t="inlineStr">
        <is>
          <t>Matched to Munitorum Field Manual v2.3</t>
        </is>
      </c>
      <c r="O2" s="54" t="inlineStr">
        <is>
          <t>Uploaded PDF: Munitorum Field Manual v2.3 / March 2025, p.3</t>
        </is>
      </c>
    </row>
    <row r="3">
      <c r="A3" t="inlineStr">
        <is>
          <t>Adeptus Custodes</t>
        </is>
      </c>
      <c r="C3" t="inlineStr">
        <is>
          <t>Infantry / Other</t>
        </is>
      </c>
      <c r="D3" t="inlineStr">
        <is>
          <t>Infantry</t>
        </is>
      </c>
      <c r="E3" t="inlineStr">
        <is>
          <t>Allarus Custodians</t>
        </is>
      </c>
      <c r="F3" t="inlineStr">
        <is>
          <t>2 models</t>
        </is>
      </c>
      <c r="G3" t="inlineStr">
        <is>
          <t>Infantry</t>
        </is>
      </c>
      <c r="L3" s="60" t="n">
        <v>130</v>
      </c>
      <c r="M3" s="54" t="inlineStr">
        <is>
          <t>Points options: 2 models = 130 pts; 3 models = 195 pts; 5 models = 325 pts; 6 models = 390 pts</t>
        </is>
      </c>
      <c r="N3" s="54" t="inlineStr">
        <is>
          <t>Matched to Munitorum Field Manual v2.3</t>
        </is>
      </c>
      <c r="O3" s="54" t="inlineStr">
        <is>
          <t>Uploaded PDF: Munitorum Field Manual v2.3 / March 2025, p.3</t>
        </is>
      </c>
    </row>
    <row r="4">
      <c r="A4" t="inlineStr">
        <is>
          <t>Adeptus Custodes</t>
        </is>
      </c>
      <c r="C4" t="inlineStr">
        <is>
          <t>Character</t>
        </is>
      </c>
      <c r="D4" t="inlineStr">
        <is>
          <t>Character</t>
        </is>
      </c>
      <c r="E4" t="inlineStr">
        <is>
          <t>Blade Champion</t>
        </is>
      </c>
      <c r="F4" t="inlineStr">
        <is>
          <t>1 model</t>
        </is>
      </c>
      <c r="G4" t="inlineStr">
        <is>
          <t>Character</t>
        </is>
      </c>
      <c r="L4" s="60" t="n">
        <v>120</v>
      </c>
      <c r="M4" s="54" t="str"/>
      <c r="N4" s="54" t="inlineStr">
        <is>
          <t>Matched to Munitorum Field Manual v2.3</t>
        </is>
      </c>
      <c r="O4" s="54" t="inlineStr">
        <is>
          <t>Uploaded PDF: Munitorum Field Manual v2.3 / March 2025, p.3</t>
        </is>
      </c>
    </row>
    <row r="5">
      <c r="A5" t="inlineStr">
        <is>
          <t>Adeptus Custodes</t>
        </is>
      </c>
      <c r="C5" t="inlineStr">
        <is>
          <t>Infantry / Other</t>
        </is>
      </c>
      <c r="D5" t="inlineStr">
        <is>
          <t>Infantry</t>
        </is>
      </c>
      <c r="E5" t="inlineStr">
        <is>
          <t>Custodian Guard</t>
        </is>
      </c>
      <c r="F5" t="inlineStr">
        <is>
          <t>4 models</t>
        </is>
      </c>
      <c r="G5" t="inlineStr">
        <is>
          <t>Infantry</t>
        </is>
      </c>
      <c r="L5" s="60" t="n">
        <v>170</v>
      </c>
      <c r="M5" s="54" t="inlineStr">
        <is>
          <t>Points options: 4 models = 170 pts; 5 models = 215 pts</t>
        </is>
      </c>
      <c r="N5" s="54" t="inlineStr">
        <is>
          <t>Matched to Munitorum Field Manual v2.3</t>
        </is>
      </c>
      <c r="O5" s="54" t="inlineStr">
        <is>
          <t>Uploaded PDF: Munitorum Field Manual v2.3 / March 2025, p.3</t>
        </is>
      </c>
    </row>
    <row r="6">
      <c r="A6" t="inlineStr">
        <is>
          <t>Adeptus Custodes</t>
        </is>
      </c>
      <c r="C6" t="inlineStr">
        <is>
          <t>Infantry / Other</t>
        </is>
      </c>
      <c r="D6" t="inlineStr">
        <is>
          <t>Infantry</t>
        </is>
      </c>
      <c r="E6" t="inlineStr">
        <is>
          <t>Custodian Wardens</t>
        </is>
      </c>
      <c r="F6" t="inlineStr">
        <is>
          <t>4 models</t>
        </is>
      </c>
      <c r="G6" t="inlineStr">
        <is>
          <t>Infantry</t>
        </is>
      </c>
      <c r="L6" s="60" t="n">
        <v>210</v>
      </c>
      <c r="M6" s="54" t="inlineStr">
        <is>
          <t>Points options: 4 models = 210 pts; 5 models = 260 pts</t>
        </is>
      </c>
      <c r="N6" s="54" t="inlineStr">
        <is>
          <t>Matched to Munitorum Field Manual v2.3</t>
        </is>
      </c>
      <c r="O6" s="54" t="inlineStr">
        <is>
          <t>Uploaded PDF: Munitorum Field Manual v2.3 / March 2025, p.3</t>
        </is>
      </c>
    </row>
    <row r="7">
      <c r="A7" t="inlineStr">
        <is>
          <t>Adeptus Custodes</t>
        </is>
      </c>
      <c r="C7" t="inlineStr">
        <is>
          <t>Vehicle / Support</t>
        </is>
      </c>
      <c r="D7" t="inlineStr">
        <is>
          <t>Super-heavy Vehicle/Monster</t>
        </is>
      </c>
      <c r="E7" t="inlineStr">
        <is>
          <t>Knight-Centura</t>
        </is>
      </c>
      <c r="F7" t="inlineStr">
        <is>
          <t>1 model</t>
        </is>
      </c>
      <c r="G7" t="inlineStr">
        <is>
          <t>Super-heavy Vehicle/Monster</t>
        </is>
      </c>
      <c r="L7" s="60" t="n">
        <v>55</v>
      </c>
      <c r="M7" s="54" t="str"/>
      <c r="N7" s="54" t="inlineStr">
        <is>
          <t>Matched to Munitorum Field Manual v2.3</t>
        </is>
      </c>
      <c r="O7" s="54" t="inlineStr">
        <is>
          <t>Uploaded PDF: Munitorum Field Manual v2.3 / March 2025, p.3</t>
        </is>
      </c>
    </row>
    <row r="8">
      <c r="A8" t="inlineStr">
        <is>
          <t>Adeptus Custodes</t>
        </is>
      </c>
      <c r="C8" t="inlineStr">
        <is>
          <t>Infantry / Other</t>
        </is>
      </c>
      <c r="D8" t="inlineStr">
        <is>
          <t>Infantry</t>
        </is>
      </c>
      <c r="E8" t="inlineStr">
        <is>
          <t>Prosecutors</t>
        </is>
      </c>
      <c r="F8" t="inlineStr">
        <is>
          <t>4 models</t>
        </is>
      </c>
      <c r="G8" t="inlineStr">
        <is>
          <t>Infantry</t>
        </is>
      </c>
      <c r="L8" s="60" t="n">
        <v>40</v>
      </c>
      <c r="M8" s="54" t="inlineStr">
        <is>
          <t>Points options: 4 models = 40 pts; 5 models = 50 pts; 9 models = 90 pts; 10 models = 100 pts</t>
        </is>
      </c>
      <c r="N8" s="54" t="inlineStr">
        <is>
          <t>Matched to Munitorum Field Manual v2.3</t>
        </is>
      </c>
      <c r="O8" s="54" t="inlineStr">
        <is>
          <t>Uploaded PDF: Munitorum Field Manual v2.3 / March 2025, p.3</t>
        </is>
      </c>
    </row>
    <row r="9">
      <c r="A9" t="inlineStr">
        <is>
          <t>Adeptus Custodes</t>
        </is>
      </c>
      <c r="C9" t="inlineStr">
        <is>
          <t>Character</t>
        </is>
      </c>
      <c r="D9" t="inlineStr">
        <is>
          <t>Character</t>
        </is>
      </c>
      <c r="E9" t="inlineStr">
        <is>
          <t>Shield-Captain</t>
        </is>
      </c>
      <c r="F9" t="inlineStr">
        <is>
          <t>1 model</t>
        </is>
      </c>
      <c r="G9" t="inlineStr">
        <is>
          <t>Character</t>
        </is>
      </c>
      <c r="L9" s="60" t="n">
        <v>130</v>
      </c>
      <c r="M9" s="54" t="str"/>
      <c r="N9" s="54" t="inlineStr">
        <is>
          <t>Matched to Munitorum Field Manual v2.3</t>
        </is>
      </c>
      <c r="O9" s="54" t="inlineStr">
        <is>
          <t>Uploaded PDF: Munitorum Field Manual v2.3 / March 2025, p.3</t>
        </is>
      </c>
    </row>
    <row r="10">
      <c r="A10" t="inlineStr">
        <is>
          <t>Adeptus Custodes</t>
        </is>
      </c>
      <c r="C10" t="inlineStr">
        <is>
          <t>Character</t>
        </is>
      </c>
      <c r="D10" t="inlineStr">
        <is>
          <t>Character</t>
        </is>
      </c>
      <c r="E10" t="inlineStr">
        <is>
          <t>Shield-Captain in Allarus Terminator Armour</t>
        </is>
      </c>
      <c r="F10" t="inlineStr">
        <is>
          <t>1 model</t>
        </is>
      </c>
      <c r="G10" t="inlineStr">
        <is>
          <t>Character</t>
        </is>
      </c>
      <c r="L10" s="60" t="n">
        <v>130</v>
      </c>
      <c r="M10" s="54" t="str"/>
      <c r="N10" s="54" t="inlineStr">
        <is>
          <t>Matched to Munitorum Field Manual v2.3</t>
        </is>
      </c>
      <c r="O10" s="54" t="inlineStr">
        <is>
          <t>Uploaded PDF: Munitorum Field Manual v2.3 / March 2025, p.3</t>
        </is>
      </c>
    </row>
    <row r="11">
      <c r="A11" t="inlineStr">
        <is>
          <t>Adeptus Custodes</t>
        </is>
      </c>
      <c r="C11" t="inlineStr">
        <is>
          <t>Character</t>
        </is>
      </c>
      <c r="D11" t="inlineStr">
        <is>
          <t>Character</t>
        </is>
      </c>
      <c r="E11" t="inlineStr">
        <is>
          <t>Shield-Captain on Dawneagle Jetbike</t>
        </is>
      </c>
      <c r="F11" t="inlineStr">
        <is>
          <t>1 model</t>
        </is>
      </c>
      <c r="G11" t="inlineStr">
        <is>
          <t>Character</t>
        </is>
      </c>
      <c r="L11" s="60" t="n">
        <v>150</v>
      </c>
      <c r="M11" s="54" t="str"/>
      <c r="N11" s="54" t="inlineStr">
        <is>
          <t>Matched to Munitorum Field Manual v2.3</t>
        </is>
      </c>
      <c r="O11" s="54" t="inlineStr">
        <is>
          <t>Uploaded PDF: Munitorum Field Manual v2.3 / March 2025, p.3</t>
        </is>
      </c>
    </row>
    <row r="12">
      <c r="A12" t="inlineStr">
        <is>
          <t>Adeptus Custodes</t>
        </is>
      </c>
      <c r="C12" t="inlineStr">
        <is>
          <t>Infantry / Other</t>
        </is>
      </c>
      <c r="D12" t="inlineStr">
        <is>
          <t>Infantry</t>
        </is>
      </c>
      <c r="E12" t="inlineStr">
        <is>
          <t>Trajann Valoris</t>
        </is>
      </c>
      <c r="F12" t="inlineStr">
        <is>
          <t>1 model</t>
        </is>
      </c>
      <c r="G12" t="inlineStr">
        <is>
          <t>Infantry, Epic Hero</t>
        </is>
      </c>
      <c r="L12" s="60" t="n">
        <v>140</v>
      </c>
      <c r="M12" s="54" t="str"/>
      <c r="N12" s="54" t="inlineStr">
        <is>
          <t>Matched to Munitorum Field Manual v2.3</t>
        </is>
      </c>
      <c r="O12" s="54" t="inlineStr">
        <is>
          <t>Uploaded PDF: Munitorum Field Manual v2.3 / March 2025, p.3</t>
        </is>
      </c>
    </row>
    <row r="13">
      <c r="A13" t="inlineStr">
        <is>
          <t>Adeptus Custodes</t>
        </is>
      </c>
      <c r="C13" t="inlineStr">
        <is>
          <t>Infantry / Other</t>
        </is>
      </c>
      <c r="D13" t="inlineStr">
        <is>
          <t>Infantry</t>
        </is>
      </c>
      <c r="E13" t="inlineStr">
        <is>
          <t>Valerian</t>
        </is>
      </c>
      <c r="F13" t="inlineStr">
        <is>
          <t>1 model</t>
        </is>
      </c>
      <c r="G13" t="inlineStr">
        <is>
          <t>Infantry</t>
        </is>
      </c>
      <c r="L13" s="60" t="n">
        <v>110</v>
      </c>
      <c r="M13" s="54" t="str"/>
      <c r="N13" s="54" t="inlineStr">
        <is>
          <t>Matched to Munitorum Field Manual v2.3</t>
        </is>
      </c>
      <c r="O13" s="54" t="inlineStr">
        <is>
          <t>Uploaded PDF: Munitorum Field Manual v2.3 / March 2025, p.3</t>
        </is>
      </c>
    </row>
    <row r="14">
      <c r="A14" t="inlineStr">
        <is>
          <t>Adeptus Custodes</t>
        </is>
      </c>
      <c r="C14" t="inlineStr">
        <is>
          <t>Infantry / Other</t>
        </is>
      </c>
      <c r="D14" t="inlineStr">
        <is>
          <t>Mounted / Bike</t>
        </is>
      </c>
      <c r="E14" t="inlineStr">
        <is>
          <t>Vertus Praetors</t>
        </is>
      </c>
      <c r="F14" t="inlineStr">
        <is>
          <t>2 models</t>
        </is>
      </c>
      <c r="G14" t="inlineStr">
        <is>
          <t>Mounted / Bike</t>
        </is>
      </c>
      <c r="L14" s="60" t="n">
        <v>150</v>
      </c>
      <c r="M14" s="54" t="inlineStr">
        <is>
          <t>Points options: 2 models = 150 pts; 3 models = 225 pts</t>
        </is>
      </c>
      <c r="N14" s="54" t="inlineStr">
        <is>
          <t>Matched to Munitorum Field Manual v2.3</t>
        </is>
      </c>
      <c r="O14" s="54" t="inlineStr">
        <is>
          <t>Uploaded PDF: Munitorum Field Manual v2.3 / March 2025, p.3</t>
        </is>
      </c>
    </row>
    <row r="15">
      <c r="A15" t="inlineStr">
        <is>
          <t>Adeptus Custodes</t>
        </is>
      </c>
      <c r="C15" t="inlineStr">
        <is>
          <t>Infantry / Other</t>
        </is>
      </c>
      <c r="D15" t="inlineStr">
        <is>
          <t>Infantry</t>
        </is>
      </c>
      <c r="E15" t="inlineStr">
        <is>
          <t>Vigilators</t>
        </is>
      </c>
      <c r="F15" t="inlineStr">
        <is>
          <t>4 models</t>
        </is>
      </c>
      <c r="G15" t="inlineStr">
        <is>
          <t>Infantry</t>
        </is>
      </c>
      <c r="L15" s="60" t="n">
        <v>50</v>
      </c>
      <c r="M15" s="54" t="inlineStr">
        <is>
          <t>Points options: 4 models = 50 pts; 5 models = 65 pts; 9 models = 115 pts; 10 models = 125 pts</t>
        </is>
      </c>
      <c r="N15" s="54" t="inlineStr">
        <is>
          <t>Matched to Munitorum Field Manual v2.3</t>
        </is>
      </c>
      <c r="O15" s="54" t="inlineStr">
        <is>
          <t>Uploaded PDF: Munitorum Field Manual v2.3 / March 2025, p.3</t>
        </is>
      </c>
    </row>
    <row r="16">
      <c r="A16" t="inlineStr">
        <is>
          <t>Adeptus Custodes</t>
        </is>
      </c>
      <c r="C16" t="inlineStr">
        <is>
          <t>Infantry / Other</t>
        </is>
      </c>
      <c r="D16" t="inlineStr">
        <is>
          <t>Infantry</t>
        </is>
      </c>
      <c r="E16" t="inlineStr">
        <is>
          <t>Witchseekers</t>
        </is>
      </c>
      <c r="F16" t="inlineStr">
        <is>
          <t>4 models</t>
        </is>
      </c>
      <c r="G16" t="inlineStr">
        <is>
          <t>Infantry</t>
        </is>
      </c>
      <c r="L16" s="60" t="n">
        <v>50</v>
      </c>
      <c r="M16" s="54" t="inlineStr">
        <is>
          <t>Points options: 4 models = 50 pts; 5 models = 65 pts; 9 models = 115 pts; 10 models = 125 pts</t>
        </is>
      </c>
      <c r="N16" s="54" t="inlineStr">
        <is>
          <t>Matched to Munitorum Field Manual v2.3</t>
        </is>
      </c>
      <c r="O16" s="54" t="inlineStr">
        <is>
          <t>Uploaded PDF: Munitorum Field Manual v2.3 / March 2025, p.3</t>
        </is>
      </c>
    </row>
    <row r="17">
      <c r="A17" t="inlineStr">
        <is>
          <t>Adeptus Custodes</t>
        </is>
      </c>
      <c r="C17" t="inlineStr">
        <is>
          <t>Vehicle / Support</t>
        </is>
      </c>
      <c r="D17" t="inlineStr">
        <is>
          <t>Walker / Battlesuit</t>
        </is>
      </c>
      <c r="E17" t="inlineStr">
        <is>
          <t>Venerable Contemptor Dreadnought</t>
        </is>
      </c>
      <c r="F17" t="inlineStr">
        <is>
          <t>1 model</t>
        </is>
      </c>
      <c r="G17" t="inlineStr">
        <is>
          <t>Walker / Battlesuit</t>
        </is>
      </c>
      <c r="L17" s="60" t="n">
        <v>170</v>
      </c>
      <c r="M17" s="54" t="str"/>
      <c r="N17" s="54" t="inlineStr">
        <is>
          <t>Matched to Munitorum Field Manual v2.3</t>
        </is>
      </c>
      <c r="O17" s="54" t="inlineStr">
        <is>
          <t>Uploaded PDF: Munitorum Field Manual v2.3 / March 2025, p.3</t>
        </is>
      </c>
    </row>
    <row r="18">
      <c r="A18" t="inlineStr">
        <is>
          <t>Adeptus Custodes</t>
        </is>
      </c>
      <c r="C18" t="inlineStr">
        <is>
          <t>Vehicle / Support</t>
        </is>
      </c>
      <c r="D18" t="inlineStr">
        <is>
          <t>Vehicle</t>
        </is>
      </c>
      <c r="E18" t="inlineStr">
        <is>
          <t>Venerable Land Raider</t>
        </is>
      </c>
      <c r="F18" t="inlineStr">
        <is>
          <t>1 model</t>
        </is>
      </c>
      <c r="G18" t="inlineStr">
        <is>
          <t>Vehicle</t>
        </is>
      </c>
      <c r="L18" s="60" t="n">
        <v>240</v>
      </c>
      <c r="M18" s="54" t="str"/>
      <c r="N18" s="54" t="inlineStr">
        <is>
          <t>Matched to Munitorum Field Manual v2.3</t>
        </is>
      </c>
      <c r="O18" s="54" t="inlineStr">
        <is>
          <t>Uploaded PDF: Munitorum Field Manual v2.3 / March 2025, p.3</t>
        </is>
      </c>
    </row>
    <row r="19">
      <c r="A19" t="inlineStr">
        <is>
          <t>Adeptus Custodes</t>
        </is>
      </c>
      <c r="C19" t="inlineStr">
        <is>
          <t>Infantry / Other</t>
        </is>
      </c>
      <c r="D19" t="inlineStr">
        <is>
          <t>Infantry</t>
        </is>
      </c>
      <c r="E19" t="inlineStr">
        <is>
          <t>Agamatus Custodians</t>
        </is>
      </c>
      <c r="F19" t="inlineStr">
        <is>
          <t>3 models</t>
        </is>
      </c>
      <c r="G19" t="inlineStr">
        <is>
          <t>Infantry</t>
        </is>
      </c>
      <c r="L19" t="n">
        <v>225</v>
      </c>
      <c r="N19" t="inlineStr">
        <is>
          <t>Added from current Munitorum Field Manual v4.1 (non-Legends)</t>
        </is>
      </c>
      <c r="O19" t="inlineStr">
        <is>
          <t>https://www.warhammer-community.com/en-gb/downloads/warhammer-40000/</t>
        </is>
      </c>
    </row>
    <row r="20">
      <c r="A20" t="inlineStr">
        <is>
          <t>Adeptus Custodes</t>
        </is>
      </c>
      <c r="C20" t="inlineStr">
        <is>
          <t>Vehicle / Support</t>
        </is>
      </c>
      <c r="D20" t="inlineStr">
        <is>
          <t>Vehicle</t>
        </is>
      </c>
      <c r="E20" t="inlineStr">
        <is>
          <t>Anathema Psykana Rhino</t>
        </is>
      </c>
      <c r="F20" t="inlineStr">
        <is>
          <t>1 model</t>
        </is>
      </c>
      <c r="G20" t="inlineStr">
        <is>
          <t>Vehicle</t>
        </is>
      </c>
      <c r="L20" t="n">
        <v>75</v>
      </c>
      <c r="N20" t="inlineStr">
        <is>
          <t>Added from current Munitorum Field Manual v4.1 (non-Legends)</t>
        </is>
      </c>
      <c r="O20" t="inlineStr">
        <is>
          <t>https://www.warhammer-community.com/en-gb/downloads/warhammer-40000/</t>
        </is>
      </c>
    </row>
    <row r="21">
      <c r="A21" t="inlineStr">
        <is>
          <t>Adeptus Custodes</t>
        </is>
      </c>
      <c r="C21" t="inlineStr">
        <is>
          <t>Infantry / Other</t>
        </is>
      </c>
      <c r="D21" t="inlineStr">
        <is>
          <t>Infantry</t>
        </is>
      </c>
      <c r="E21" t="inlineStr">
        <is>
          <t>Aquilon Custodians</t>
        </is>
      </c>
      <c r="F21" t="inlineStr">
        <is>
          <t>3 models</t>
        </is>
      </c>
      <c r="G21" t="inlineStr">
        <is>
          <t>Infantry</t>
        </is>
      </c>
      <c r="L21" t="n">
        <v>195</v>
      </c>
      <c r="N21" t="inlineStr">
        <is>
          <t>Added from current Munitorum Field Manual v4.1 (non-Legends)</t>
        </is>
      </c>
      <c r="O21" t="inlineStr">
        <is>
          <t>https://www.warhammer-community.com/en-gb/downloads/warhammer-40000/</t>
        </is>
      </c>
    </row>
    <row r="22">
      <c r="A22" t="inlineStr">
        <is>
          <t>Adeptus Custodes</t>
        </is>
      </c>
      <c r="C22" t="inlineStr">
        <is>
          <t>Vehicle / Support</t>
        </is>
      </c>
      <c r="D22" t="inlineStr">
        <is>
          <t>Vehicle</t>
        </is>
      </c>
      <c r="E22" t="inlineStr">
        <is>
          <t>Ares Gunship</t>
        </is>
      </c>
      <c r="F22" t="inlineStr">
        <is>
          <t>1 model</t>
        </is>
      </c>
      <c r="G22" t="inlineStr">
        <is>
          <t>Vehicle</t>
        </is>
      </c>
      <c r="L22" t="n">
        <v>580</v>
      </c>
      <c r="M22" t="inlineStr">
        <is>
          <t>Your 1st Unit Costs: 1 models = 580 pts | Your 2nd + Unit Costs: 1 models = 610 pts</t>
        </is>
      </c>
      <c r="N22" t="inlineStr">
        <is>
          <t>Added from current Munitorum Field Manual v4.1 (non-Legends)</t>
        </is>
      </c>
      <c r="O22" t="inlineStr">
        <is>
          <t>https://www.warhammer-community.com/en-gb/downloads/warhammer-40000/</t>
        </is>
      </c>
    </row>
    <row r="23">
      <c r="A23" t="inlineStr">
        <is>
          <t>Adeptus Custodes</t>
        </is>
      </c>
      <c r="C23" t="inlineStr">
        <is>
          <t>Vehicle / Support</t>
        </is>
      </c>
      <c r="D23" t="inlineStr">
        <is>
          <t>Vehicle</t>
        </is>
      </c>
      <c r="E23" t="inlineStr">
        <is>
          <t>Caladius Grav-Tank</t>
        </is>
      </c>
      <c r="F23" t="inlineStr">
        <is>
          <t>1 model</t>
        </is>
      </c>
      <c r="G23" t="inlineStr">
        <is>
          <t>Vehicle</t>
        </is>
      </c>
      <c r="L23" t="n">
        <v>210</v>
      </c>
      <c r="M23" t="inlineStr">
        <is>
          <t>Your 1st To 2nd Units Cost: 1 models = 210 pts | Your 3rd + Unit Costs: 1 models = 225 pts | Wargear: Twin arachnus heavy blaze cannon +15 pts</t>
        </is>
      </c>
      <c r="N23" t="inlineStr">
        <is>
          <t>Added from current Munitorum Field Manual v4.1 (non-Legends)</t>
        </is>
      </c>
      <c r="O23" t="inlineStr">
        <is>
          <t>https://www.warhammer-community.com/en-gb/downloads/warhammer-40000/</t>
        </is>
      </c>
    </row>
    <row r="24">
      <c r="A24" t="inlineStr">
        <is>
          <t>Adeptus Custodes</t>
        </is>
      </c>
      <c r="C24" t="inlineStr">
        <is>
          <t>Vehicle / Support</t>
        </is>
      </c>
      <c r="D24" t="inlineStr">
        <is>
          <t>Vehicle</t>
        </is>
      </c>
      <c r="E24" t="inlineStr">
        <is>
          <t>Contemptor-Achillus Dreadnought</t>
        </is>
      </c>
      <c r="F24" t="inlineStr">
        <is>
          <t>1 model</t>
        </is>
      </c>
      <c r="G24" t="inlineStr">
        <is>
          <t>Vehicle</t>
        </is>
      </c>
      <c r="L24" t="n">
        <v>155</v>
      </c>
      <c r="M24" t="inlineStr">
        <is>
          <t>Your 1st To 2nd Units Cost: 1 models = 155 pts | Your 3rd + Unit Costs: 1 models = 170 pts</t>
        </is>
      </c>
      <c r="N24" t="inlineStr">
        <is>
          <t>Added from current Munitorum Field Manual v4.1 (non-Legends)</t>
        </is>
      </c>
      <c r="O24" t="inlineStr">
        <is>
          <t>https://www.warhammer-community.com/en-gb/downloads/warhammer-40000/</t>
        </is>
      </c>
    </row>
    <row r="25">
      <c r="A25" t="inlineStr">
        <is>
          <t>Adeptus Custodes</t>
        </is>
      </c>
      <c r="C25" t="inlineStr">
        <is>
          <t>Vehicle / Support</t>
        </is>
      </c>
      <c r="D25" t="inlineStr">
        <is>
          <t>Vehicle</t>
        </is>
      </c>
      <c r="E25" t="inlineStr">
        <is>
          <t>Contemptor-Galatus Dreadnought</t>
        </is>
      </c>
      <c r="F25" t="inlineStr">
        <is>
          <t>1 model</t>
        </is>
      </c>
      <c r="G25" t="inlineStr">
        <is>
          <t>Vehicle</t>
        </is>
      </c>
      <c r="L25" t="n">
        <v>165</v>
      </c>
      <c r="M25" t="inlineStr">
        <is>
          <t>Your 1st To 2nd Units Cost: 1 models = 165 pts | Your 3rd + Unit Costs: 1 models = 180 pts</t>
        </is>
      </c>
      <c r="N25" t="inlineStr">
        <is>
          <t>Added from current Munitorum Field Manual v4.1 (non-Legends)</t>
        </is>
      </c>
      <c r="O25" t="inlineStr">
        <is>
          <t>https://www.warhammer-community.com/en-gb/downloads/warhammer-40000/</t>
        </is>
      </c>
    </row>
    <row r="26">
      <c r="A26" t="inlineStr">
        <is>
          <t>Adeptus Custodes</t>
        </is>
      </c>
      <c r="C26" t="inlineStr">
        <is>
          <t>Vehicle / Support</t>
        </is>
      </c>
      <c r="D26" t="inlineStr">
        <is>
          <t>Vehicle</t>
        </is>
      </c>
      <c r="E26" t="inlineStr">
        <is>
          <t>Coronus Grav-Carrier</t>
        </is>
      </c>
      <c r="F26" t="inlineStr">
        <is>
          <t>1 model</t>
        </is>
      </c>
      <c r="G26" t="inlineStr">
        <is>
          <t>Vehicle</t>
        </is>
      </c>
      <c r="L26" t="n">
        <v>180</v>
      </c>
      <c r="M26" t="inlineStr">
        <is>
          <t>Your 1st To 2nd Units Cost: 1 models = 180 pts | Your 3rd + Unit Costs: 1 models = 200 pts</t>
        </is>
      </c>
      <c r="N26" t="inlineStr">
        <is>
          <t>Added from current Munitorum Field Manual v4.1 (non-Legends)</t>
        </is>
      </c>
      <c r="O26" t="inlineStr">
        <is>
          <t>https://www.warhammer-community.com/en-gb/downloads/warhammer-40000/</t>
        </is>
      </c>
    </row>
    <row r="27">
      <c r="A27" t="inlineStr">
        <is>
          <t>Adeptus Custodes</t>
        </is>
      </c>
      <c r="C27" t="inlineStr">
        <is>
          <t>Infantry / Other</t>
        </is>
      </c>
      <c r="D27" t="inlineStr">
        <is>
          <t>Infantry</t>
        </is>
      </c>
      <c r="E27" t="inlineStr">
        <is>
          <t>Custodian Guard With Adrasite And Pyrithite Spears</t>
        </is>
      </c>
      <c r="F27" t="inlineStr">
        <is>
          <t>5 models</t>
        </is>
      </c>
      <c r="G27" t="inlineStr">
        <is>
          <t>Infantry</t>
        </is>
      </c>
      <c r="L27" t="n">
        <v>250</v>
      </c>
      <c r="M27" t="inlineStr">
        <is>
          <t>Your 1st To 3rd Units Cost: 5 models = 250 pts | Your 4th + Unit Costs: 5 models = 260 pts</t>
        </is>
      </c>
      <c r="N27" t="inlineStr">
        <is>
          <t>Added from current Munitorum Field Manual v4.1 (non-Legends)</t>
        </is>
      </c>
      <c r="O27" t="inlineStr">
        <is>
          <t>https://www.warhammer-community.com/en-gb/downloads/warhammer-40000/</t>
        </is>
      </c>
    </row>
    <row r="28">
      <c r="A28" t="inlineStr">
        <is>
          <t>Adeptus Custodes</t>
        </is>
      </c>
      <c r="C28" t="inlineStr">
        <is>
          <t>Vehicle / Support</t>
        </is>
      </c>
      <c r="D28" t="inlineStr">
        <is>
          <t>Vehicle</t>
        </is>
      </c>
      <c r="E28" t="inlineStr">
        <is>
          <t>Orion Assault Dropship</t>
        </is>
      </c>
      <c r="F28" t="inlineStr">
        <is>
          <t>1 model</t>
        </is>
      </c>
      <c r="G28" t="inlineStr">
        <is>
          <t>Vehicle</t>
        </is>
      </c>
      <c r="L28" t="n">
        <v>690</v>
      </c>
      <c r="M28" t="inlineStr">
        <is>
          <t>Your 1st Unit Costs: 1 models = 690 pts | Your 2nd + Unit Costs: 1 models = 740 pts</t>
        </is>
      </c>
      <c r="N28" t="inlineStr">
        <is>
          <t>Added from current Munitorum Field Manual v4.1 (non-Legends)</t>
        </is>
      </c>
      <c r="O28" t="inlineStr">
        <is>
          <t>https://www.warhammer-community.com/en-gb/downloads/warhammer-40000/</t>
        </is>
      </c>
    </row>
    <row r="29">
      <c r="A29" t="inlineStr">
        <is>
          <t>Adeptus Custodes</t>
        </is>
      </c>
      <c r="C29" t="inlineStr">
        <is>
          <t>Vehicle / Support</t>
        </is>
      </c>
      <c r="D29" t="inlineStr">
        <is>
          <t>Vehicle</t>
        </is>
      </c>
      <c r="E29" t="inlineStr">
        <is>
          <t>Pallas Grav-Attack</t>
        </is>
      </c>
      <c r="F29" t="inlineStr">
        <is>
          <t>1 model</t>
        </is>
      </c>
      <c r="G29" t="inlineStr">
        <is>
          <t>Vehicle</t>
        </is>
      </c>
      <c r="L29" t="n">
        <v>100</v>
      </c>
      <c r="N29" t="inlineStr">
        <is>
          <t>Added from current Munitorum Field Manual v4.1 (non-Legends)</t>
        </is>
      </c>
      <c r="O29" t="inlineStr">
        <is>
          <t>https://www.warhammer-community.com/en-gb/downloads/warhammer-40000/</t>
        </is>
      </c>
    </row>
    <row r="30">
      <c r="A30" t="inlineStr">
        <is>
          <t>Adeptus Custodes</t>
        </is>
      </c>
      <c r="C30" t="inlineStr">
        <is>
          <t>Infantry / Other</t>
        </is>
      </c>
      <c r="D30" t="inlineStr">
        <is>
          <t>Infantry</t>
        </is>
      </c>
      <c r="E30" t="inlineStr">
        <is>
          <t>Sagittarum Custodians</t>
        </is>
      </c>
      <c r="F30" t="inlineStr">
        <is>
          <t>5 models</t>
        </is>
      </c>
      <c r="G30" t="inlineStr">
        <is>
          <t>Infantry</t>
        </is>
      </c>
      <c r="L30" t="n">
        <v>225</v>
      </c>
      <c r="N30" t="inlineStr">
        <is>
          <t>Added from current Munitorum Field Manual v4.1 (non-Legends)</t>
        </is>
      </c>
      <c r="O30" t="inlineStr">
        <is>
          <t>https://www.warhammer-community.com/en-gb/downloads/warhammer-40000/</t>
        </is>
      </c>
    </row>
    <row r="31">
      <c r="A31" t="inlineStr">
        <is>
          <t>Adeptus Custodes</t>
        </is>
      </c>
      <c r="C31" t="inlineStr">
        <is>
          <t>Vehicle / Support</t>
        </is>
      </c>
      <c r="D31" t="inlineStr">
        <is>
          <t>Vehicle</t>
        </is>
      </c>
      <c r="E31" t="inlineStr">
        <is>
          <t>Telemon Heavy Dreadnought</t>
        </is>
      </c>
      <c r="F31" t="inlineStr">
        <is>
          <t>1 model</t>
        </is>
      </c>
      <c r="G31" t="inlineStr">
        <is>
          <t>Vehicle</t>
        </is>
      </c>
      <c r="L31" t="n">
        <v>225</v>
      </c>
      <c r="M31" t="inlineStr">
        <is>
          <t>Your 1st Unit Costs: 1 models = 225 pts | Your 2nd + Unit Costs: 1 models = 245 pts</t>
        </is>
      </c>
      <c r="N31" t="inlineStr">
        <is>
          <t>Added from current Munitorum Field Manual v4.1 (non-Legends)</t>
        </is>
      </c>
      <c r="O31" t="inlineStr">
        <is>
          <t>https://www.warhammer-community.com/en-gb/downloads/warhammer-40000/</t>
        </is>
      </c>
    </row>
    <row r="32">
      <c r="A32" t="inlineStr">
        <is>
          <t>Adeptus Custodes</t>
        </is>
      </c>
      <c r="C32" t="inlineStr">
        <is>
          <t>Infantry / Other</t>
        </is>
      </c>
      <c r="D32" t="inlineStr">
        <is>
          <t>Infantry</t>
        </is>
      </c>
      <c r="E32" t="inlineStr">
        <is>
          <t>Venatari Custodians</t>
        </is>
      </c>
      <c r="F32" t="inlineStr">
        <is>
          <t>3 models</t>
        </is>
      </c>
      <c r="G32" t="inlineStr">
        <is>
          <t>Infantry</t>
        </is>
      </c>
      <c r="L32" t="n">
        <v>160</v>
      </c>
      <c r="N32" t="inlineStr">
        <is>
          <t>Added from current Munitorum Field Manual v4.1 (non-Legends)</t>
        </is>
      </c>
      <c r="O32"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Adeptus Mechanicus</t>
        </is>
      </c>
      <c r="C2" t="inlineStr">
        <is>
          <t>Vehicle / Support</t>
        </is>
      </c>
      <c r="D2" t="inlineStr">
        <is>
          <t>Vehicle</t>
        </is>
      </c>
      <c r="E2" t="inlineStr">
        <is>
          <t>Archaeopter Fusilave</t>
        </is>
      </c>
      <c r="F2" t="inlineStr">
        <is>
          <t>1 model</t>
        </is>
      </c>
      <c r="G2" t="inlineStr">
        <is>
          <t>Vehicle</t>
        </is>
      </c>
      <c r="L2" s="60" t="n">
        <v>160</v>
      </c>
      <c r="M2" s="54" t="str"/>
      <c r="N2" s="54" t="inlineStr">
        <is>
          <t>Matched to Munitorum Field Manual v2.3</t>
        </is>
      </c>
      <c r="O2" s="54" t="inlineStr">
        <is>
          <t>Uploaded PDF: Munitorum Field Manual v2.3 / March 2025, p.4</t>
        </is>
      </c>
    </row>
    <row r="3">
      <c r="A3" t="inlineStr">
        <is>
          <t>Adeptus Mechanicus</t>
        </is>
      </c>
      <c r="C3" t="inlineStr">
        <is>
          <t>Vehicle / Support</t>
        </is>
      </c>
      <c r="D3" t="inlineStr">
        <is>
          <t>Vehicle</t>
        </is>
      </c>
      <c r="E3" t="inlineStr">
        <is>
          <t>Archaeopter Stratoraptor</t>
        </is>
      </c>
      <c r="F3" t="inlineStr">
        <is>
          <t>1 model</t>
        </is>
      </c>
      <c r="G3" t="inlineStr">
        <is>
          <t>Vehicle</t>
        </is>
      </c>
      <c r="L3" s="60" t="n">
        <v>185</v>
      </c>
      <c r="M3" s="54" t="str"/>
      <c r="N3" s="54" t="inlineStr">
        <is>
          <t>Matched to Munitorum Field Manual v2.3</t>
        </is>
      </c>
      <c r="O3" s="54" t="inlineStr">
        <is>
          <t>Uploaded PDF: Munitorum Field Manual v2.3 / March 2025, p.4</t>
        </is>
      </c>
    </row>
    <row r="4">
      <c r="A4" t="inlineStr">
        <is>
          <t>Adeptus Mechanicus</t>
        </is>
      </c>
      <c r="C4" t="inlineStr">
        <is>
          <t>Vehicle / Support</t>
        </is>
      </c>
      <c r="D4" t="inlineStr">
        <is>
          <t>Vehicle</t>
        </is>
      </c>
      <c r="E4" t="inlineStr">
        <is>
          <t>Archaeopter Transvector</t>
        </is>
      </c>
      <c r="F4" t="inlineStr">
        <is>
          <t>1 model</t>
        </is>
      </c>
      <c r="G4" t="inlineStr">
        <is>
          <t>Vehicle</t>
        </is>
      </c>
      <c r="L4" s="60" t="n">
        <v>150</v>
      </c>
      <c r="M4" s="54" t="str"/>
      <c r="N4" s="54" t="inlineStr">
        <is>
          <t>Matched to Munitorum Field Manual v2.3</t>
        </is>
      </c>
      <c r="O4" s="54" t="inlineStr">
        <is>
          <t>Uploaded PDF: Munitorum Field Manual v2.3 / March 2025, p.4</t>
        </is>
      </c>
    </row>
    <row r="5">
      <c r="A5" t="inlineStr">
        <is>
          <t>Adeptus Mechanicus</t>
        </is>
      </c>
      <c r="C5" t="inlineStr">
        <is>
          <t>Infantry / Other</t>
        </is>
      </c>
      <c r="D5" t="inlineStr">
        <is>
          <t>Infantry</t>
        </is>
      </c>
      <c r="E5" t="inlineStr">
        <is>
          <t>Belisarius Cawl</t>
        </is>
      </c>
      <c r="F5" t="inlineStr">
        <is>
          <t>1 model</t>
        </is>
      </c>
      <c r="G5" t="inlineStr">
        <is>
          <t>Infantry</t>
        </is>
      </c>
      <c r="L5" s="60" t="n">
        <v>135</v>
      </c>
      <c r="M5" s="54" t="str"/>
      <c r="N5" s="54" t="inlineStr">
        <is>
          <t>Matched to Munitorum Field Manual v2.3</t>
        </is>
      </c>
      <c r="O5" s="54" t="inlineStr">
        <is>
          <t>Uploaded PDF: Munitorum Field Manual v2.3 / March 2025, p.4</t>
        </is>
      </c>
    </row>
    <row r="6">
      <c r="A6" t="inlineStr">
        <is>
          <t>Adeptus Mechanicus</t>
        </is>
      </c>
      <c r="C6" t="inlineStr">
        <is>
          <t>Character</t>
        </is>
      </c>
      <c r="D6" t="inlineStr">
        <is>
          <t>Character</t>
        </is>
      </c>
      <c r="E6" t="inlineStr">
        <is>
          <t>Corpuscarii Electro-Priests</t>
        </is>
      </c>
      <c r="F6" t="inlineStr">
        <is>
          <t>5 models</t>
        </is>
      </c>
      <c r="G6" t="inlineStr">
        <is>
          <t>Character</t>
        </is>
      </c>
      <c r="L6" s="60" t="n">
        <v>65</v>
      </c>
      <c r="M6" s="54" t="inlineStr">
        <is>
          <t>Points options: 5 models = 65 pts; 10 models = 130 pts</t>
        </is>
      </c>
      <c r="N6" s="54" t="inlineStr">
        <is>
          <t>Matched to Munitorum Field Manual v2.3</t>
        </is>
      </c>
      <c r="O6" s="54" t="inlineStr">
        <is>
          <t>Uploaded PDF: Munitorum Field Manual v2.3 / March 2025, p.4</t>
        </is>
      </c>
    </row>
    <row r="7">
      <c r="A7" t="inlineStr">
        <is>
          <t>Adeptus Mechanicus</t>
        </is>
      </c>
      <c r="C7" t="inlineStr">
        <is>
          <t>Infantry / Other</t>
        </is>
      </c>
      <c r="D7" t="inlineStr">
        <is>
          <t>Infantry</t>
        </is>
      </c>
      <c r="E7" t="inlineStr">
        <is>
          <t>Cybernetica Datasmith</t>
        </is>
      </c>
      <c r="F7" t="inlineStr">
        <is>
          <t>1 model</t>
        </is>
      </c>
      <c r="G7" t="inlineStr">
        <is>
          <t>Infantry</t>
        </is>
      </c>
      <c r="L7" s="60" t="n">
        <v>35</v>
      </c>
      <c r="M7" s="54" t="str"/>
      <c r="N7" s="54" t="inlineStr">
        <is>
          <t>Matched to Munitorum Field Manual v2.3</t>
        </is>
      </c>
      <c r="O7" s="54" t="inlineStr">
        <is>
          <t>Uploaded PDF: Munitorum Field Manual v2.3 / March 2025, p.4</t>
        </is>
      </c>
    </row>
    <row r="8">
      <c r="A8" t="inlineStr">
        <is>
          <t>Adeptus Mechanicus</t>
        </is>
      </c>
      <c r="C8" t="inlineStr">
        <is>
          <t>Character</t>
        </is>
      </c>
      <c r="D8" t="inlineStr">
        <is>
          <t>Character</t>
        </is>
      </c>
      <c r="E8" t="inlineStr">
        <is>
          <t>Fulgurite Electro-Priests</t>
        </is>
      </c>
      <c r="F8" t="inlineStr">
        <is>
          <t>5 models</t>
        </is>
      </c>
      <c r="G8" t="inlineStr">
        <is>
          <t>Character</t>
        </is>
      </c>
      <c r="L8" s="60" t="n">
        <v>70</v>
      </c>
      <c r="M8" s="54" t="inlineStr">
        <is>
          <t>Points options: 5 models = 70 pts; 10 models = 140 pts</t>
        </is>
      </c>
      <c r="N8" s="54" t="inlineStr">
        <is>
          <t>Matched to Munitorum Field Manual v2.3</t>
        </is>
      </c>
      <c r="O8" s="54" t="inlineStr">
        <is>
          <t>Uploaded PDF: Munitorum Field Manual v2.3 / March 2025, p.4</t>
        </is>
      </c>
    </row>
    <row r="9">
      <c r="A9" t="inlineStr">
        <is>
          <t>Adeptus Mechanicus</t>
        </is>
      </c>
      <c r="C9" t="inlineStr">
        <is>
          <t>Vehicle / Support</t>
        </is>
      </c>
      <c r="D9" t="inlineStr">
        <is>
          <t>Walker / Battlesuit</t>
        </is>
      </c>
      <c r="E9" t="inlineStr">
        <is>
          <t>Ironstrider Ballistarii</t>
        </is>
      </c>
      <c r="F9" t="inlineStr">
        <is>
          <t>1 model</t>
        </is>
      </c>
      <c r="G9" t="inlineStr">
        <is>
          <t>Walker / Battlesuit</t>
        </is>
      </c>
      <c r="L9" s="60" t="n">
        <v>75</v>
      </c>
      <c r="M9" s="54" t="inlineStr">
        <is>
          <t>Points options: 1 model = 75 pts; 2 models = 150 pts; 3 models = 225 pts</t>
        </is>
      </c>
      <c r="N9" s="54" t="inlineStr">
        <is>
          <t>Matched to Munitorum Field Manual v2.3</t>
        </is>
      </c>
      <c r="O9" s="54" t="inlineStr">
        <is>
          <t>Uploaded PDF: Munitorum Field Manual v2.3 / March 2025, p.4</t>
        </is>
      </c>
    </row>
    <row r="10">
      <c r="A10" t="inlineStr">
        <is>
          <t>Adeptus Mechanicus</t>
        </is>
      </c>
      <c r="C10" t="inlineStr">
        <is>
          <t>Vehicle / Support</t>
        </is>
      </c>
      <c r="D10" t="inlineStr">
        <is>
          <t>Walker / Battlesuit</t>
        </is>
      </c>
      <c r="E10" t="inlineStr">
        <is>
          <t>Kastelan Robots</t>
        </is>
      </c>
      <c r="F10" t="inlineStr">
        <is>
          <t>2 models</t>
        </is>
      </c>
      <c r="G10" t="inlineStr">
        <is>
          <t>Walker / Battlesuit</t>
        </is>
      </c>
      <c r="L10" s="60" t="n">
        <v>180</v>
      </c>
      <c r="M10" s="54" t="inlineStr">
        <is>
          <t>Points options: 2 models = 180 pts; 4 models = 360 pts</t>
        </is>
      </c>
      <c r="N10" s="54" t="inlineStr">
        <is>
          <t>Matched to Munitorum Field Manual v2.3</t>
        </is>
      </c>
      <c r="O10" s="54" t="inlineStr">
        <is>
          <t>Uploaded PDF: Munitorum Field Manual v2.3 / March 2025, p.4</t>
        </is>
      </c>
    </row>
    <row r="11">
      <c r="A11" t="inlineStr">
        <is>
          <t>Adeptus Mechanicus</t>
        </is>
      </c>
      <c r="C11" t="inlineStr">
        <is>
          <t>Infantry / Other</t>
        </is>
      </c>
      <c r="D11" t="inlineStr">
        <is>
          <t>Infantry</t>
        </is>
      </c>
      <c r="E11" t="inlineStr">
        <is>
          <t>Kataphron Breachers</t>
        </is>
      </c>
      <c r="F11" t="inlineStr">
        <is>
          <t>3 models</t>
        </is>
      </c>
      <c r="G11" t="inlineStr">
        <is>
          <t>Infantry</t>
        </is>
      </c>
      <c r="L11" s="60" t="n">
        <v>160</v>
      </c>
      <c r="M11" s="54" t="inlineStr">
        <is>
          <t>Points options: 3 models = 160 pts; 6 models = 320 pts</t>
        </is>
      </c>
      <c r="N11" s="54" t="inlineStr">
        <is>
          <t>Matched to Munitorum Field Manual v2.3</t>
        </is>
      </c>
      <c r="O11" s="54" t="inlineStr">
        <is>
          <t>Uploaded PDF: Munitorum Field Manual v2.3 / March 2025, p.4</t>
        </is>
      </c>
    </row>
    <row r="12">
      <c r="A12" t="inlineStr">
        <is>
          <t>Adeptus Mechanicus</t>
        </is>
      </c>
      <c r="C12" t="inlineStr">
        <is>
          <t>Infantry / Other</t>
        </is>
      </c>
      <c r="D12" t="inlineStr">
        <is>
          <t>Infantry</t>
        </is>
      </c>
      <c r="E12" t="inlineStr">
        <is>
          <t>Kataphron Destroyers</t>
        </is>
      </c>
      <c r="F12" t="inlineStr">
        <is>
          <t>3 models</t>
        </is>
      </c>
      <c r="G12" t="inlineStr">
        <is>
          <t>Infantry</t>
        </is>
      </c>
      <c r="L12" s="60" t="n">
        <v>105</v>
      </c>
      <c r="M12" s="54" t="inlineStr">
        <is>
          <t>Points options: 3 models = 105 pts; 6 models = 210 pts</t>
        </is>
      </c>
      <c r="N12" s="54" t="inlineStr">
        <is>
          <t>Matched to Munitorum Field Manual v2.3</t>
        </is>
      </c>
      <c r="O12" s="54" t="inlineStr">
        <is>
          <t>Uploaded PDF: Munitorum Field Manual v2.3 / March 2025, p.4</t>
        </is>
      </c>
    </row>
    <row r="13">
      <c r="A13" t="inlineStr">
        <is>
          <t>Adeptus Mechanicus</t>
        </is>
      </c>
      <c r="C13" t="inlineStr">
        <is>
          <t>Vehicle / Support</t>
        </is>
      </c>
      <c r="D13" t="inlineStr">
        <is>
          <t>Walker / Battlesuit</t>
        </is>
      </c>
      <c r="E13" t="inlineStr">
        <is>
          <t>Onager Dunecrawler</t>
        </is>
      </c>
      <c r="F13" t="inlineStr">
        <is>
          <t>1 model</t>
        </is>
      </c>
      <c r="G13" t="inlineStr">
        <is>
          <t>Walker / Battlesuit</t>
        </is>
      </c>
      <c r="L13" s="60" t="n">
        <v>155</v>
      </c>
      <c r="M13" s="54" t="str"/>
      <c r="N13" s="54" t="inlineStr">
        <is>
          <t>Matched to Munitorum Field Manual v2.3</t>
        </is>
      </c>
      <c r="O13" s="54" t="inlineStr">
        <is>
          <t>Uploaded PDF: Munitorum Field Manual v2.3 / March 2025, p.4</t>
        </is>
      </c>
    </row>
    <row r="14">
      <c r="A14" t="inlineStr">
        <is>
          <t>Adeptus Mechanicus</t>
        </is>
      </c>
      <c r="C14" t="inlineStr">
        <is>
          <t>Vehicle / Support</t>
        </is>
      </c>
      <c r="D14" t="inlineStr">
        <is>
          <t>Walker / Battlesuit</t>
        </is>
      </c>
      <c r="E14" t="inlineStr">
        <is>
          <t>Pteraxii Skystalkers</t>
        </is>
      </c>
      <c r="F14" t="inlineStr">
        <is>
          <t>5 models</t>
        </is>
      </c>
      <c r="G14" t="inlineStr">
        <is>
          <t>Walker / Battlesuit</t>
        </is>
      </c>
      <c r="L14" s="60" t="n">
        <v>70</v>
      </c>
      <c r="M14" s="54" t="inlineStr">
        <is>
          <t>Points options: 5 models = 70 pts; 10 models = 140 pts</t>
        </is>
      </c>
      <c r="N14" s="54" t="inlineStr">
        <is>
          <t>Matched to Munitorum Field Manual v2.3</t>
        </is>
      </c>
      <c r="O14" s="54" t="inlineStr">
        <is>
          <t>Uploaded PDF: Munitorum Field Manual v2.3 / March 2025, p.4</t>
        </is>
      </c>
    </row>
    <row r="15">
      <c r="A15" t="inlineStr">
        <is>
          <t>Adeptus Mechanicus</t>
        </is>
      </c>
      <c r="C15" t="inlineStr">
        <is>
          <t>Infantry / Other</t>
        </is>
      </c>
      <c r="D15" t="inlineStr">
        <is>
          <t>Infantry</t>
        </is>
      </c>
      <c r="E15" t="inlineStr">
        <is>
          <t>Pteraxii Sterylizors</t>
        </is>
      </c>
      <c r="F15" t="inlineStr">
        <is>
          <t>5 models</t>
        </is>
      </c>
      <c r="G15" t="inlineStr">
        <is>
          <t>Infantry</t>
        </is>
      </c>
      <c r="L15" s="60" t="n">
        <v>80</v>
      </c>
      <c r="M15" s="54" t="inlineStr">
        <is>
          <t>Points options: 5 models = 80 pts; 10 models = 160 pts</t>
        </is>
      </c>
      <c r="N15" s="54" t="inlineStr">
        <is>
          <t>Matched to Munitorum Field Manual v2.3</t>
        </is>
      </c>
      <c r="O15" s="54" t="inlineStr">
        <is>
          <t>Uploaded PDF: Munitorum Field Manual v2.3 / March 2025, p.4</t>
        </is>
      </c>
    </row>
    <row r="16">
      <c r="A16" t="inlineStr">
        <is>
          <t>Adeptus Mechanicus</t>
        </is>
      </c>
      <c r="C16" t="inlineStr">
        <is>
          <t>Infantry / Other</t>
        </is>
      </c>
      <c r="D16" t="inlineStr">
        <is>
          <t>Infantry</t>
        </is>
      </c>
      <c r="E16" t="inlineStr">
        <is>
          <t>Secutarii Hoplites</t>
        </is>
      </c>
      <c r="G16" t="inlineStr">
        <is>
          <t>Infantry</t>
        </is>
      </c>
      <c r="L16" s="60" t="n"/>
      <c r="M16" s="54" t="inlineStr">
        <is>
          <t>No matching points entry found in uploaded PDF; verify unit name/current support.</t>
        </is>
      </c>
      <c r="N16" s="54" t="inlineStr">
        <is>
          <t>Not found in uploaded PDF</t>
        </is>
      </c>
      <c r="O16" s="54" t="inlineStr">
        <is>
          <t>Uploaded PDF: Munitorum Field Manual v2.3 / March 2025</t>
        </is>
      </c>
    </row>
    <row r="17">
      <c r="A17" t="inlineStr">
        <is>
          <t>Adeptus Mechanicus</t>
        </is>
      </c>
      <c r="C17" t="inlineStr">
        <is>
          <t>Infantry / Other</t>
        </is>
      </c>
      <c r="D17" t="inlineStr">
        <is>
          <t>Infantry</t>
        </is>
      </c>
      <c r="E17" t="inlineStr">
        <is>
          <t>Secutarii Peltasts</t>
        </is>
      </c>
      <c r="G17" t="inlineStr">
        <is>
          <t>Infantry</t>
        </is>
      </c>
      <c r="L17" s="60" t="n"/>
      <c r="M17" s="54" t="inlineStr">
        <is>
          <t>No matching points entry found in uploaded PDF; verify unit name/current support.</t>
        </is>
      </c>
      <c r="N17" s="54" t="inlineStr">
        <is>
          <t>Not found in uploaded PDF</t>
        </is>
      </c>
      <c r="O17" s="54" t="inlineStr">
        <is>
          <t>Uploaded PDF: Munitorum Field Manual v2.3 / March 2025</t>
        </is>
      </c>
    </row>
    <row r="18">
      <c r="A18" t="inlineStr">
        <is>
          <t>Adeptus Mechanicus</t>
        </is>
      </c>
      <c r="C18" t="inlineStr">
        <is>
          <t>Vehicle / Support</t>
        </is>
      </c>
      <c r="D18" t="inlineStr">
        <is>
          <t>Vehicle</t>
        </is>
      </c>
      <c r="E18" t="inlineStr">
        <is>
          <t>Serberys Raiders</t>
        </is>
      </c>
      <c r="F18" t="inlineStr">
        <is>
          <t>3 models</t>
        </is>
      </c>
      <c r="G18" t="inlineStr">
        <is>
          <t>Vehicle</t>
        </is>
      </c>
      <c r="L18" s="60" t="n">
        <v>60</v>
      </c>
      <c r="M18" s="54" t="inlineStr">
        <is>
          <t>Points options: 3 models = 60 pts; 6 models = 120 pts</t>
        </is>
      </c>
      <c r="N18" s="54" t="inlineStr">
        <is>
          <t>Matched to Munitorum Field Manual v2.3</t>
        </is>
      </c>
      <c r="O18" s="54" t="inlineStr">
        <is>
          <t>Uploaded PDF: Munitorum Field Manual v2.3 / March 2025, p.4</t>
        </is>
      </c>
    </row>
    <row r="19">
      <c r="A19" t="inlineStr">
        <is>
          <t>Adeptus Mechanicus</t>
        </is>
      </c>
      <c r="C19" t="inlineStr">
        <is>
          <t>Infantry / Other</t>
        </is>
      </c>
      <c r="D19" t="inlineStr">
        <is>
          <t>Mounted / Bike</t>
        </is>
      </c>
      <c r="E19" t="inlineStr">
        <is>
          <t>Serberys Sulphurhounds</t>
        </is>
      </c>
      <c r="F19" t="inlineStr">
        <is>
          <t>3 models</t>
        </is>
      </c>
      <c r="G19" t="inlineStr">
        <is>
          <t>Mounted / Bike</t>
        </is>
      </c>
      <c r="L19" s="60" t="n">
        <v>55</v>
      </c>
      <c r="M19" s="54" t="inlineStr">
        <is>
          <t>Points options: 3 models = 55 pts; 6 models = 110 pts</t>
        </is>
      </c>
      <c r="N19" s="54" t="inlineStr">
        <is>
          <t>Matched to Munitorum Field Manual v2.3</t>
        </is>
      </c>
      <c r="O19" s="54" t="inlineStr">
        <is>
          <t>Uploaded PDF: Munitorum Field Manual v2.3 / March 2025, p.4</t>
        </is>
      </c>
    </row>
    <row r="20">
      <c r="A20" t="inlineStr">
        <is>
          <t>Adeptus Mechanicus</t>
        </is>
      </c>
      <c r="C20" t="inlineStr">
        <is>
          <t>Infantry / Other</t>
        </is>
      </c>
      <c r="D20" t="inlineStr">
        <is>
          <t>Infantry</t>
        </is>
      </c>
      <c r="E20" t="inlineStr">
        <is>
          <t>Sicarian Infiltrators</t>
        </is>
      </c>
      <c r="F20" t="inlineStr">
        <is>
          <t>5 models</t>
        </is>
      </c>
      <c r="G20" t="inlineStr">
        <is>
          <t>Infantry</t>
        </is>
      </c>
      <c r="L20" s="60" t="n">
        <v>70</v>
      </c>
      <c r="M20" s="54" t="inlineStr">
        <is>
          <t>Points options: 5 models = 70 pts; 10 models = 140 pts</t>
        </is>
      </c>
      <c r="N20" s="54" t="inlineStr">
        <is>
          <t>Matched to Munitorum Field Manual v2.3</t>
        </is>
      </c>
      <c r="O20" s="54" t="inlineStr">
        <is>
          <t>Uploaded PDF: Munitorum Field Manual v2.3 / March 2025, p.4</t>
        </is>
      </c>
    </row>
    <row r="21">
      <c r="A21" t="inlineStr">
        <is>
          <t>Adeptus Mechanicus</t>
        </is>
      </c>
      <c r="C21" t="inlineStr">
        <is>
          <t>Vehicle / Support</t>
        </is>
      </c>
      <c r="D21" t="inlineStr">
        <is>
          <t>Walker / Battlesuit</t>
        </is>
      </c>
      <c r="E21" t="inlineStr">
        <is>
          <t>Sicarian Ruststalkers</t>
        </is>
      </c>
      <c r="F21" t="inlineStr">
        <is>
          <t>5 models</t>
        </is>
      </c>
      <c r="G21" t="inlineStr">
        <is>
          <t>Walker / Battlesuit</t>
        </is>
      </c>
      <c r="L21" s="60" t="n">
        <v>75</v>
      </c>
      <c r="M21" s="54" t="inlineStr">
        <is>
          <t>Points options: 5 models = 75 pts; 10 models = 150 pts</t>
        </is>
      </c>
      <c r="N21" s="54" t="inlineStr">
        <is>
          <t>Matched to Munitorum Field Manual v2.3</t>
        </is>
      </c>
      <c r="O21" s="54" t="inlineStr">
        <is>
          <t>Uploaded PDF: Munitorum Field Manual v2.3 / March 2025, p.4</t>
        </is>
      </c>
    </row>
    <row r="22">
      <c r="A22" t="inlineStr">
        <is>
          <t>Adeptus Mechanicus</t>
        </is>
      </c>
      <c r="C22" t="inlineStr">
        <is>
          <t>Character</t>
        </is>
      </c>
      <c r="D22" t="inlineStr">
        <is>
          <t>Character</t>
        </is>
      </c>
      <c r="E22" t="inlineStr">
        <is>
          <t>Skitarii Marshal</t>
        </is>
      </c>
      <c r="F22" t="inlineStr">
        <is>
          <t>1 model</t>
        </is>
      </c>
      <c r="G22" t="inlineStr">
        <is>
          <t>Character</t>
        </is>
      </c>
      <c r="L22" s="60" t="n">
        <v>35</v>
      </c>
      <c r="M22" s="54" t="str"/>
      <c r="N22" s="54" t="inlineStr">
        <is>
          <t>Matched to Munitorum Field Manual v2.3</t>
        </is>
      </c>
      <c r="O22" s="54" t="inlineStr">
        <is>
          <t>Uploaded PDF: Munitorum Field Manual v2.3 / March 2025, p.4</t>
        </is>
      </c>
    </row>
    <row r="23">
      <c r="A23" t="inlineStr">
        <is>
          <t>Adeptus Mechanicus</t>
        </is>
      </c>
      <c r="C23" t="inlineStr">
        <is>
          <t>Infantry / Other</t>
        </is>
      </c>
      <c r="D23" t="inlineStr">
        <is>
          <t>Infantry</t>
        </is>
      </c>
      <c r="E23" t="inlineStr">
        <is>
          <t>Skitarii Rangers</t>
        </is>
      </c>
      <c r="F23" t="inlineStr">
        <is>
          <t>10 models</t>
        </is>
      </c>
      <c r="G23" t="inlineStr">
        <is>
          <t>Infantry</t>
        </is>
      </c>
      <c r="L23" s="60" t="n">
        <v>85</v>
      </c>
      <c r="M23" s="54" t="str"/>
      <c r="N23" s="54" t="inlineStr">
        <is>
          <t>Matched to Munitorum Field Manual v2.3</t>
        </is>
      </c>
      <c r="O23" s="54" t="inlineStr">
        <is>
          <t>Uploaded PDF: Munitorum Field Manual v2.3 / March 2025, p.4</t>
        </is>
      </c>
    </row>
    <row r="24">
      <c r="A24" t="inlineStr">
        <is>
          <t>Adeptus Mechanicus</t>
        </is>
      </c>
      <c r="C24" t="inlineStr">
        <is>
          <t>Infantry / Other</t>
        </is>
      </c>
      <c r="D24" t="inlineStr">
        <is>
          <t>Infantry</t>
        </is>
      </c>
      <c r="E24" t="inlineStr">
        <is>
          <t>Skitarii Vanguard</t>
        </is>
      </c>
      <c r="F24" t="inlineStr">
        <is>
          <t>10 models</t>
        </is>
      </c>
      <c r="G24" t="inlineStr">
        <is>
          <t>Infantry</t>
        </is>
      </c>
      <c r="L24" s="60" t="n">
        <v>95</v>
      </c>
      <c r="M24" s="54" t="str"/>
      <c r="N24" s="54" t="inlineStr">
        <is>
          <t>Matched to Munitorum Field Manual v2.3</t>
        </is>
      </c>
      <c r="O24" s="54" t="inlineStr">
        <is>
          <t>Uploaded PDF: Munitorum Field Manual v2.3 / March 2025, p.4</t>
        </is>
      </c>
    </row>
    <row r="25">
      <c r="A25" t="inlineStr">
        <is>
          <t>Adeptus Mechanicus</t>
        </is>
      </c>
      <c r="C25" t="inlineStr">
        <is>
          <t>Vehicle / Support</t>
        </is>
      </c>
      <c r="D25" t="inlineStr">
        <is>
          <t>Vehicle</t>
        </is>
      </c>
      <c r="E25" t="inlineStr">
        <is>
          <t>Skorpius Disintegrator</t>
        </is>
      </c>
      <c r="F25" t="inlineStr">
        <is>
          <t>1 model</t>
        </is>
      </c>
      <c r="G25" t="inlineStr">
        <is>
          <t>Vehicle</t>
        </is>
      </c>
      <c r="L25" s="60" t="n">
        <v>175</v>
      </c>
      <c r="M25" s="54" t="str"/>
      <c r="N25" s="54" t="inlineStr">
        <is>
          <t>Matched to Munitorum Field Manual v2.3</t>
        </is>
      </c>
      <c r="O25" s="54" t="inlineStr">
        <is>
          <t>Uploaded PDF: Munitorum Field Manual v2.3 / March 2025, p.4</t>
        </is>
      </c>
    </row>
    <row r="26">
      <c r="A26" t="inlineStr">
        <is>
          <t>Adeptus Mechanicus</t>
        </is>
      </c>
      <c r="C26" t="inlineStr">
        <is>
          <t>Vehicle / Support</t>
        </is>
      </c>
      <c r="D26" t="inlineStr">
        <is>
          <t>Vehicle</t>
        </is>
      </c>
      <c r="E26" t="inlineStr">
        <is>
          <t>Skorpius Dunerider</t>
        </is>
      </c>
      <c r="F26" t="inlineStr">
        <is>
          <t>1 model</t>
        </is>
      </c>
      <c r="G26" t="inlineStr">
        <is>
          <t>Vehicle</t>
        </is>
      </c>
      <c r="L26" s="60" t="n">
        <v>85</v>
      </c>
      <c r="M26" s="54" t="str"/>
      <c r="N26" s="54" t="inlineStr">
        <is>
          <t>Matched to Munitorum Field Manual v2.3</t>
        </is>
      </c>
      <c r="O26" s="54" t="inlineStr">
        <is>
          <t>Uploaded PDF: Munitorum Field Manual v2.3 / March 2025, p.4</t>
        </is>
      </c>
    </row>
    <row r="27">
      <c r="A27" t="inlineStr">
        <is>
          <t>Adeptus Mechanicus</t>
        </is>
      </c>
      <c r="C27" t="inlineStr">
        <is>
          <t>Vehicle / Support</t>
        </is>
      </c>
      <c r="D27" t="inlineStr">
        <is>
          <t>Walker / Battlesuit</t>
        </is>
      </c>
      <c r="E27" t="inlineStr">
        <is>
          <t>Sydonian Dragoons</t>
        </is>
      </c>
      <c r="G27" t="inlineStr">
        <is>
          <t>Walker / Battlesuit</t>
        </is>
      </c>
      <c r="L27" s="60" t="n"/>
      <c r="M27" s="54" t="inlineStr">
        <is>
          <t>No matching points entry found in uploaded PDF; verify unit name/current support.</t>
        </is>
      </c>
      <c r="N27" s="54" t="inlineStr">
        <is>
          <t>Not found in uploaded PDF</t>
        </is>
      </c>
      <c r="O27" s="54" t="inlineStr">
        <is>
          <t>Uploaded PDF: Munitorum Field Manual v2.3 / March 2025</t>
        </is>
      </c>
    </row>
    <row r="28">
      <c r="A28" t="inlineStr">
        <is>
          <t>Adeptus Mechanicus</t>
        </is>
      </c>
      <c r="C28" t="inlineStr">
        <is>
          <t>Character</t>
        </is>
      </c>
      <c r="D28" t="inlineStr">
        <is>
          <t>Character</t>
        </is>
      </c>
      <c r="E28" t="inlineStr">
        <is>
          <t>Tech-Priest Dominus</t>
        </is>
      </c>
      <c r="F28" t="inlineStr">
        <is>
          <t>1 model</t>
        </is>
      </c>
      <c r="G28" t="inlineStr">
        <is>
          <t>Character</t>
        </is>
      </c>
      <c r="L28" s="60" t="n">
        <v>65</v>
      </c>
      <c r="M28" s="54" t="str"/>
      <c r="N28" s="54" t="inlineStr">
        <is>
          <t>Matched to Munitorum Field Manual v2.3</t>
        </is>
      </c>
      <c r="O28" s="54" t="inlineStr">
        <is>
          <t>Uploaded PDF: Munitorum Field Manual v2.3 / March 2025, p.4</t>
        </is>
      </c>
    </row>
    <row r="29">
      <c r="A29" t="inlineStr">
        <is>
          <t>Adeptus Mechanicus</t>
        </is>
      </c>
      <c r="C29" t="inlineStr">
        <is>
          <t>Character</t>
        </is>
      </c>
      <c r="D29" t="inlineStr">
        <is>
          <t>Character</t>
        </is>
      </c>
      <c r="E29" t="inlineStr">
        <is>
          <t>Tech-Priest Enginseer</t>
        </is>
      </c>
      <c r="F29" t="inlineStr">
        <is>
          <t>1 model</t>
        </is>
      </c>
      <c r="G29" t="inlineStr">
        <is>
          <t>Character</t>
        </is>
      </c>
      <c r="L29" s="60" t="n">
        <v>55</v>
      </c>
      <c r="M29" s="54" t="str"/>
      <c r="N29" s="54" t="inlineStr">
        <is>
          <t>Matched to Munitorum Field Manual v2.3</t>
        </is>
      </c>
      <c r="O29" s="54" t="inlineStr">
        <is>
          <t>Uploaded PDF: Munitorum Field Manual v2.3 / March 2025, p.4</t>
        </is>
      </c>
    </row>
    <row r="30">
      <c r="A30" t="inlineStr">
        <is>
          <t>Adeptus Mechanicus</t>
        </is>
      </c>
      <c r="C30" t="inlineStr">
        <is>
          <t>Character</t>
        </is>
      </c>
      <c r="D30" t="inlineStr">
        <is>
          <t>Character</t>
        </is>
      </c>
      <c r="E30" t="inlineStr">
        <is>
          <t>Tech-Priest Manipulus</t>
        </is>
      </c>
      <c r="F30" t="inlineStr">
        <is>
          <t>1 model</t>
        </is>
      </c>
      <c r="G30" t="inlineStr">
        <is>
          <t>Character</t>
        </is>
      </c>
      <c r="L30" s="60" t="n">
        <v>60</v>
      </c>
      <c r="M30" s="54" t="str"/>
      <c r="N30" s="54" t="inlineStr">
        <is>
          <t>Matched to Munitorum Field Manual v2.3</t>
        </is>
      </c>
      <c r="O30" s="54" t="inlineStr">
        <is>
          <t>Uploaded PDF: Munitorum Field Manual v2.3 / March 2025, p.4</t>
        </is>
      </c>
    </row>
    <row r="31">
      <c r="A31" t="inlineStr">
        <is>
          <t>Adeptus Mechanicus</t>
        </is>
      </c>
      <c r="C31" t="inlineStr">
        <is>
          <t>Infantry / Other</t>
        </is>
      </c>
      <c r="D31" t="inlineStr">
        <is>
          <t>Infantry</t>
        </is>
      </c>
      <c r="E31" t="inlineStr">
        <is>
          <t>Hastarii Exterminators</t>
        </is>
      </c>
      <c r="F31" t="inlineStr">
        <is>
          <t>5 models</t>
        </is>
      </c>
      <c r="G31" t="inlineStr">
        <is>
          <t>Infantry</t>
        </is>
      </c>
      <c r="L31" t="n">
        <v>115</v>
      </c>
      <c r="M31" t="inlineStr">
        <is>
          <t>Your 1st To 2nd Units Cost: 5 models = 115 pts | Your 3rd + Unit Costs: 5 models = 130 pts</t>
        </is>
      </c>
      <c r="N31" t="inlineStr">
        <is>
          <t>Added from current Munitorum Field Manual v4.1 (non-Legends)</t>
        </is>
      </c>
      <c r="O31" t="inlineStr">
        <is>
          <t>https://www.warhammer-community.com/en-gb/downloads/warhammer-40000/</t>
        </is>
      </c>
    </row>
    <row r="32">
      <c r="A32" t="inlineStr">
        <is>
          <t>Adeptus Mechanicus</t>
        </is>
      </c>
      <c r="C32" t="inlineStr">
        <is>
          <t>Infantry / Other</t>
        </is>
      </c>
      <c r="D32" t="inlineStr">
        <is>
          <t>Infantry</t>
        </is>
      </c>
      <c r="E32" t="inlineStr">
        <is>
          <t>Hastarii Fusiliers</t>
        </is>
      </c>
      <c r="F32" t="inlineStr">
        <is>
          <t>5 models</t>
        </is>
      </c>
      <c r="G32" t="inlineStr">
        <is>
          <t>Infantry</t>
        </is>
      </c>
      <c r="L32" t="n">
        <v>115</v>
      </c>
      <c r="M32" t="inlineStr">
        <is>
          <t>Your 1st To 2nd Units Cost: 5 models = 115 pts | Your 3rd + Unit Costs: 5 models = 130 pts</t>
        </is>
      </c>
      <c r="N32" t="inlineStr">
        <is>
          <t>Added from current Munitorum Field Manual v4.1 (non-Legends)</t>
        </is>
      </c>
      <c r="O32" t="inlineStr">
        <is>
          <t>https://www.warhammer-community.com/en-gb/downloads/warhammer-40000/</t>
        </is>
      </c>
    </row>
    <row r="33">
      <c r="A33" t="inlineStr">
        <is>
          <t>Adeptus Mechanicus</t>
        </is>
      </c>
      <c r="C33" t="inlineStr">
        <is>
          <t>Infantry / Other</t>
        </is>
      </c>
      <c r="D33" t="inlineStr">
        <is>
          <t>Infantry</t>
        </is>
      </c>
      <c r="E33" t="inlineStr">
        <is>
          <t>Servitor Battleclade</t>
        </is>
      </c>
      <c r="F33" t="inlineStr">
        <is>
          <t>9 models</t>
        </is>
      </c>
      <c r="G33" t="inlineStr">
        <is>
          <t>Infantry</t>
        </is>
      </c>
      <c r="L33" t="n">
        <v>65</v>
      </c>
      <c r="N33" t="inlineStr">
        <is>
          <t>Added from current Munitorum Field Manual v4.1 (non-Legends)</t>
        </is>
      </c>
      <c r="O33" t="inlineStr">
        <is>
          <t>https://www.warhammer-community.com/en-gb/downloads/warhammer-40000/</t>
        </is>
      </c>
    </row>
    <row r="34">
      <c r="A34" t="inlineStr">
        <is>
          <t>Adeptus Mechanicus</t>
        </is>
      </c>
      <c r="C34" t="inlineStr">
        <is>
          <t>Infantry / Other</t>
        </is>
      </c>
      <c r="D34" t="inlineStr">
        <is>
          <t>Infantry</t>
        </is>
      </c>
      <c r="E34" t="inlineStr">
        <is>
          <t>Sydonian Dragoons With Radium Jezzails</t>
        </is>
      </c>
      <c r="F34" t="inlineStr">
        <is>
          <t>1 model</t>
        </is>
      </c>
      <c r="G34" t="inlineStr">
        <is>
          <t>Infantry</t>
        </is>
      </c>
      <c r="L34" t="n">
        <v>55</v>
      </c>
      <c r="N34" t="inlineStr">
        <is>
          <t>Added from current Munitorum Field Manual v4.1 (non-Legends)</t>
        </is>
      </c>
      <c r="O34" t="inlineStr">
        <is>
          <t>https://www.warhammer-community.com/en-gb/downloads/warhammer-40000/</t>
        </is>
      </c>
    </row>
    <row r="35">
      <c r="A35" t="inlineStr">
        <is>
          <t>Adeptus Mechanicus</t>
        </is>
      </c>
      <c r="C35" t="inlineStr">
        <is>
          <t>Infantry / Other</t>
        </is>
      </c>
      <c r="D35" t="inlineStr">
        <is>
          <t>Infantry</t>
        </is>
      </c>
      <c r="E35" t="inlineStr">
        <is>
          <t>Sydonian Dragoons With Taser Lances</t>
        </is>
      </c>
      <c r="F35" t="inlineStr">
        <is>
          <t>1 model</t>
        </is>
      </c>
      <c r="G35" t="inlineStr">
        <is>
          <t>Infantry</t>
        </is>
      </c>
      <c r="L35" t="n">
        <v>60</v>
      </c>
      <c r="N35" t="inlineStr">
        <is>
          <t>Added from current Munitorum Field Manual v4.1 (non-Legends)</t>
        </is>
      </c>
      <c r="O35" t="inlineStr">
        <is>
          <t>https://www.warhammer-community.com/en-gb/downloads/warhammer-40000/</t>
        </is>
      </c>
    </row>
    <row r="36">
      <c r="A36" t="inlineStr">
        <is>
          <t>Adeptus Mechanicus</t>
        </is>
      </c>
      <c r="C36" t="inlineStr">
        <is>
          <t>Infantry / Other</t>
        </is>
      </c>
      <c r="D36" t="inlineStr">
        <is>
          <t>Infantry</t>
        </is>
      </c>
      <c r="E36" t="inlineStr">
        <is>
          <t>Sydonian Skatros</t>
        </is>
      </c>
      <c r="F36" t="inlineStr">
        <is>
          <t>1 model</t>
        </is>
      </c>
      <c r="G36" t="inlineStr">
        <is>
          <t>Infantry</t>
        </is>
      </c>
      <c r="L36" t="n">
        <v>50</v>
      </c>
      <c r="N36" t="inlineStr">
        <is>
          <t>Added from current Munitorum Field Manual v4.1 (non-Legends)</t>
        </is>
      </c>
      <c r="O36" t="inlineStr">
        <is>
          <t>https://www.warhammer-community.com/en-gb/downloads/warhammer-40000/</t>
        </is>
      </c>
    </row>
    <row r="37">
      <c r="A37" t="inlineStr">
        <is>
          <t>Adeptus Mechanicus</t>
        </is>
      </c>
      <c r="C37" t="inlineStr">
        <is>
          <t>Character</t>
        </is>
      </c>
      <c r="D37" t="inlineStr">
        <is>
          <t>Character</t>
        </is>
      </c>
      <c r="E37" t="inlineStr">
        <is>
          <t>Technoarcheologist</t>
        </is>
      </c>
      <c r="F37" t="inlineStr">
        <is>
          <t>1 model</t>
        </is>
      </c>
      <c r="G37" t="inlineStr">
        <is>
          <t>Character</t>
        </is>
      </c>
      <c r="L37" t="n">
        <v>45</v>
      </c>
      <c r="N37" t="inlineStr">
        <is>
          <t>Added from current Munitorum Field Manual v4.1 (non-Legends)</t>
        </is>
      </c>
      <c r="O37" t="inlineStr">
        <is>
          <t>https://www.warhammer-community.com/en-gb/downloads/warhammer-40000/</t>
        </is>
      </c>
    </row>
    <row r="38">
      <c r="A38" t="inlineStr">
        <is>
          <t>Adeptus Mechanicus</t>
        </is>
      </c>
      <c r="C38" t="inlineStr">
        <is>
          <t>Character</t>
        </is>
      </c>
      <c r="D38" t="inlineStr">
        <is>
          <t>Character</t>
        </is>
      </c>
      <c r="E38" t="inlineStr">
        <is>
          <t>Thulia Ghuld</t>
        </is>
      </c>
      <c r="F38" t="inlineStr">
        <is>
          <t>1 model</t>
        </is>
      </c>
      <c r="G38" t="inlineStr">
        <is>
          <t>Character</t>
        </is>
      </c>
      <c r="L38" t="n">
        <v>180</v>
      </c>
      <c r="N38" t="inlineStr">
        <is>
          <t>Added from current Munitorum Field Manual v4.1 (non-Legends)</t>
        </is>
      </c>
      <c r="O38"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Aeldari</t>
        </is>
      </c>
      <c r="C2" t="inlineStr">
        <is>
          <t>Infantry / Other</t>
        </is>
      </c>
      <c r="D2" t="inlineStr">
        <is>
          <t>Infantry</t>
        </is>
      </c>
      <c r="E2" t="inlineStr">
        <is>
          <t>Asurmen</t>
        </is>
      </c>
      <c r="F2" t="inlineStr">
        <is>
          <t>1 model</t>
        </is>
      </c>
      <c r="G2" t="inlineStr">
        <is>
          <t>Infantry</t>
        </is>
      </c>
      <c r="L2" s="60" t="n">
        <v>135</v>
      </c>
      <c r="M2" s="54" t="str"/>
      <c r="N2" s="54" t="inlineStr">
        <is>
          <t>Matched to Munitorum Field Manual v2.3</t>
        </is>
      </c>
      <c r="O2" s="54" t="inlineStr">
        <is>
          <t>Uploaded PDF: Munitorum Field Manual v2.3 / March 2025, p.6</t>
        </is>
      </c>
    </row>
    <row r="3">
      <c r="A3" t="inlineStr">
        <is>
          <t>Aeldari</t>
        </is>
      </c>
      <c r="C3" t="inlineStr">
        <is>
          <t>Character</t>
        </is>
      </c>
      <c r="D3" t="inlineStr">
        <is>
          <t>Character</t>
        </is>
      </c>
      <c r="E3" t="inlineStr">
        <is>
          <t>Autarch</t>
        </is>
      </c>
      <c r="F3" t="inlineStr">
        <is>
          <t>1 model</t>
        </is>
      </c>
      <c r="G3" t="inlineStr">
        <is>
          <t>Character</t>
        </is>
      </c>
      <c r="L3" s="60" t="n">
        <v>75</v>
      </c>
      <c r="M3" s="54" t="str"/>
      <c r="N3" s="54" t="inlineStr">
        <is>
          <t>Matched to Munitorum Field Manual v2.3</t>
        </is>
      </c>
      <c r="O3" s="54" t="inlineStr">
        <is>
          <t>Uploaded PDF: Munitorum Field Manual v2.3 / March 2025, p.6</t>
        </is>
      </c>
    </row>
    <row r="4">
      <c r="A4" t="inlineStr">
        <is>
          <t>Aeldari</t>
        </is>
      </c>
      <c r="C4" t="inlineStr">
        <is>
          <t>Character</t>
        </is>
      </c>
      <c r="D4" t="inlineStr">
        <is>
          <t>Character</t>
        </is>
      </c>
      <c r="E4" t="inlineStr">
        <is>
          <t>Autarch Skyrunner</t>
        </is>
      </c>
      <c r="G4" t="inlineStr">
        <is>
          <t>Character</t>
        </is>
      </c>
      <c r="L4" s="60" t="n"/>
      <c r="M4" s="54" t="inlineStr">
        <is>
          <t>No matching points entry found in uploaded PDF; verify unit name/current support.</t>
        </is>
      </c>
      <c r="N4" s="54" t="inlineStr">
        <is>
          <t>Not found in uploaded PDF</t>
        </is>
      </c>
      <c r="O4" s="54" t="inlineStr">
        <is>
          <t>Uploaded PDF: Munitorum Field Manual v2.3 / March 2025</t>
        </is>
      </c>
    </row>
    <row r="5">
      <c r="A5" t="inlineStr">
        <is>
          <t>Aeldari</t>
        </is>
      </c>
      <c r="C5" t="inlineStr">
        <is>
          <t>Character</t>
        </is>
      </c>
      <c r="D5" t="inlineStr">
        <is>
          <t>Character</t>
        </is>
      </c>
      <c r="E5" t="inlineStr">
        <is>
          <t>Autarch Wayleaper</t>
        </is>
      </c>
      <c r="F5" t="inlineStr">
        <is>
          <t>1 model</t>
        </is>
      </c>
      <c r="G5" t="inlineStr">
        <is>
          <t>Character</t>
        </is>
      </c>
      <c r="L5" s="60" t="n">
        <v>80</v>
      </c>
      <c r="M5" s="54" t="str"/>
      <c r="N5" s="54" t="inlineStr">
        <is>
          <t>Matched to Munitorum Field Manual v2.3</t>
        </is>
      </c>
      <c r="O5" s="54" t="inlineStr">
        <is>
          <t>Uploaded PDF: Munitorum Field Manual v2.3 / March 2025, p.6</t>
        </is>
      </c>
    </row>
    <row r="6">
      <c r="A6" t="inlineStr">
        <is>
          <t>Aeldari</t>
        </is>
      </c>
      <c r="C6" t="inlineStr">
        <is>
          <t>Monster / Heavy Support</t>
        </is>
      </c>
      <c r="D6" t="inlineStr">
        <is>
          <t>Monster</t>
        </is>
      </c>
      <c r="E6" t="inlineStr">
        <is>
          <t>Avatar of Khaine</t>
        </is>
      </c>
      <c r="F6" t="inlineStr">
        <is>
          <t>1 model</t>
        </is>
      </c>
      <c r="G6" t="inlineStr">
        <is>
          <t>Monster, Epic Hero</t>
        </is>
      </c>
      <c r="L6" s="60" t="n">
        <v>300</v>
      </c>
      <c r="M6" s="54" t="str"/>
      <c r="N6" s="54" t="inlineStr">
        <is>
          <t>Matched to Munitorum Field Manual v2.3</t>
        </is>
      </c>
      <c r="O6" s="54" t="inlineStr">
        <is>
          <t>Uploaded PDF: Munitorum Field Manual v2.3 / March 2025, p.6</t>
        </is>
      </c>
    </row>
    <row r="7">
      <c r="A7" t="inlineStr">
        <is>
          <t>Aeldari</t>
        </is>
      </c>
      <c r="C7" t="inlineStr">
        <is>
          <t>Infantry / Other</t>
        </is>
      </c>
      <c r="D7" t="inlineStr">
        <is>
          <t>Infantry</t>
        </is>
      </c>
      <c r="E7" t="inlineStr">
        <is>
          <t>Baharroth</t>
        </is>
      </c>
      <c r="F7" t="inlineStr">
        <is>
          <t>1 model</t>
        </is>
      </c>
      <c r="G7" t="inlineStr">
        <is>
          <t>Infantry</t>
        </is>
      </c>
      <c r="L7" s="60" t="n">
        <v>115</v>
      </c>
      <c r="M7" s="54" t="str"/>
      <c r="N7" s="54" t="inlineStr">
        <is>
          <t>Matched to Munitorum Field Manual v2.3</t>
        </is>
      </c>
      <c r="O7" s="54" t="inlineStr">
        <is>
          <t>Uploaded PDF: Munitorum Field Manual v2.3 / March 2025, p.6</t>
        </is>
      </c>
    </row>
    <row r="8">
      <c r="A8" t="inlineStr">
        <is>
          <t>Aeldari</t>
        </is>
      </c>
      <c r="C8" t="inlineStr">
        <is>
          <t>Infantry / Other</t>
        </is>
      </c>
      <c r="D8" t="inlineStr">
        <is>
          <t>Mounted / Bike</t>
        </is>
      </c>
      <c r="E8" t="inlineStr">
        <is>
          <t>Corsair Voidreavers</t>
        </is>
      </c>
      <c r="F8" t="inlineStr">
        <is>
          <t>5 models</t>
        </is>
      </c>
      <c r="G8" t="inlineStr">
        <is>
          <t>Mounted / Bike</t>
        </is>
      </c>
      <c r="L8" s="60" t="n">
        <v>60</v>
      </c>
      <c r="M8" s="54" t="inlineStr">
        <is>
          <t>Points options: 5 models = 60 pts; 10 models = 120 pts</t>
        </is>
      </c>
      <c r="N8" s="54" t="inlineStr">
        <is>
          <t>Matched to Munitorum Field Manual v2.3</t>
        </is>
      </c>
      <c r="O8" s="54" t="inlineStr">
        <is>
          <t>Uploaded PDF: Munitorum Field Manual v2.3 / March 2025, p.6</t>
        </is>
      </c>
    </row>
    <row r="9">
      <c r="A9" t="inlineStr">
        <is>
          <t>Aeldari</t>
        </is>
      </c>
      <c r="C9" t="inlineStr">
        <is>
          <t>Infantry / Other</t>
        </is>
      </c>
      <c r="D9" t="inlineStr">
        <is>
          <t>Infantry</t>
        </is>
      </c>
      <c r="E9" t="inlineStr">
        <is>
          <t>Corsair Voidscarred</t>
        </is>
      </c>
      <c r="F9" t="inlineStr">
        <is>
          <t>5 models</t>
        </is>
      </c>
      <c r="G9" t="inlineStr">
        <is>
          <t>Infantry</t>
        </is>
      </c>
      <c r="L9" s="60" t="n">
        <v>80</v>
      </c>
      <c r="M9" s="54" t="inlineStr">
        <is>
          <t>Points options: 5 models = 80 pts; 10 models = 160 pts</t>
        </is>
      </c>
      <c r="N9" s="54" t="inlineStr">
        <is>
          <t>Matched to Munitorum Field Manual v2.3</t>
        </is>
      </c>
      <c r="O9" s="54" t="inlineStr">
        <is>
          <t>Uploaded PDF: Munitorum Field Manual v2.3 / March 2025, p.6</t>
        </is>
      </c>
    </row>
    <row r="10">
      <c r="A10" t="inlineStr">
        <is>
          <t>Aeldari</t>
        </is>
      </c>
      <c r="C10" t="inlineStr">
        <is>
          <t>Vehicle / Support</t>
        </is>
      </c>
      <c r="D10" t="inlineStr">
        <is>
          <t>Aircraft</t>
        </is>
      </c>
      <c r="E10" t="inlineStr">
        <is>
          <t>Crimson Hunter</t>
        </is>
      </c>
      <c r="F10" t="inlineStr">
        <is>
          <t>1 model</t>
        </is>
      </c>
      <c r="G10" t="inlineStr">
        <is>
          <t>Aircraft</t>
        </is>
      </c>
      <c r="L10" s="60" t="n">
        <v>160</v>
      </c>
      <c r="M10" s="54" t="str"/>
      <c r="N10" s="54" t="inlineStr">
        <is>
          <t>Matched to Munitorum Field Manual v2.3</t>
        </is>
      </c>
      <c r="O10" s="54" t="inlineStr">
        <is>
          <t>Uploaded PDF: Munitorum Field Manual v2.3 / March 2025, p.6</t>
        </is>
      </c>
    </row>
    <row r="11">
      <c r="A11" t="inlineStr">
        <is>
          <t>Aeldari</t>
        </is>
      </c>
      <c r="C11" t="inlineStr">
        <is>
          <t>Infantry / Other</t>
        </is>
      </c>
      <c r="D11" t="inlineStr">
        <is>
          <t>Infantry</t>
        </is>
      </c>
      <c r="E11" t="inlineStr">
        <is>
          <t>Dark Reapers</t>
        </is>
      </c>
      <c r="F11" t="inlineStr">
        <is>
          <t>5 models</t>
        </is>
      </c>
      <c r="G11" t="inlineStr">
        <is>
          <t>Infantry</t>
        </is>
      </c>
      <c r="L11" s="60" t="n">
        <v>90</v>
      </c>
      <c r="M11" s="54" t="inlineStr">
        <is>
          <t>Points options: 5 models = 90 pts; 10 models = 195 pts</t>
        </is>
      </c>
      <c r="N11" s="54" t="inlineStr">
        <is>
          <t>Matched to Munitorum Field Manual v2.3</t>
        </is>
      </c>
      <c r="O11" s="54" t="inlineStr">
        <is>
          <t>Uploaded PDF: Munitorum Field Manual v2.3 / March 2025, p.6</t>
        </is>
      </c>
    </row>
    <row r="12">
      <c r="A12" t="inlineStr">
        <is>
          <t>Aeldari</t>
        </is>
      </c>
      <c r="C12" t="inlineStr">
        <is>
          <t>Infantry / Other</t>
        </is>
      </c>
      <c r="D12" t="inlineStr">
        <is>
          <t>Infantry</t>
        </is>
      </c>
      <c r="E12" t="inlineStr">
        <is>
          <t>Dire Avengers</t>
        </is>
      </c>
      <c r="F12" t="inlineStr">
        <is>
          <t>5 models</t>
        </is>
      </c>
      <c r="G12" t="inlineStr">
        <is>
          <t>Infantry</t>
        </is>
      </c>
      <c r="L12" s="60" t="n">
        <v>80</v>
      </c>
      <c r="M12" s="54" t="inlineStr">
        <is>
          <t>Points options: 5 models = 80 pts; 10 models = 160 pts</t>
        </is>
      </c>
      <c r="N12" s="54" t="inlineStr">
        <is>
          <t>Matched to Munitorum Field Manual v2.3</t>
        </is>
      </c>
      <c r="O12" s="54" t="inlineStr">
        <is>
          <t>Uploaded PDF: Munitorum Field Manual v2.3 / March 2025, p.6</t>
        </is>
      </c>
    </row>
    <row r="13">
      <c r="A13" t="inlineStr">
        <is>
          <t>Aeldari</t>
        </is>
      </c>
      <c r="C13" t="inlineStr">
        <is>
          <t>Infantry / Other</t>
        </is>
      </c>
      <c r="D13" t="inlineStr">
        <is>
          <t>Infantry</t>
        </is>
      </c>
      <c r="E13" t="inlineStr">
        <is>
          <t>Eldrad Ulthran</t>
        </is>
      </c>
      <c r="F13" t="inlineStr">
        <is>
          <t>1 model</t>
        </is>
      </c>
      <c r="G13" t="inlineStr">
        <is>
          <t>Infantry</t>
        </is>
      </c>
      <c r="L13" s="60" t="n">
        <v>110</v>
      </c>
      <c r="M13" s="54" t="str"/>
      <c r="N13" s="54" t="inlineStr">
        <is>
          <t>Matched to Munitorum Field Manual v2.3</t>
        </is>
      </c>
      <c r="O13" s="54" t="inlineStr">
        <is>
          <t>Uploaded PDF: Munitorum Field Manual v2.3 / March 2025, p.6</t>
        </is>
      </c>
    </row>
    <row r="14">
      <c r="A14" t="inlineStr">
        <is>
          <t>Aeldari</t>
        </is>
      </c>
      <c r="C14" t="inlineStr">
        <is>
          <t>Vehicle / Support</t>
        </is>
      </c>
      <c r="D14" t="inlineStr">
        <is>
          <t>Vehicle</t>
        </is>
      </c>
      <c r="E14" t="inlineStr">
        <is>
          <t>Falcon</t>
        </is>
      </c>
      <c r="F14" t="inlineStr">
        <is>
          <t>1 model</t>
        </is>
      </c>
      <c r="G14" t="inlineStr">
        <is>
          <t>Vehicle</t>
        </is>
      </c>
      <c r="L14" s="60" t="n">
        <v>130</v>
      </c>
      <c r="M14" s="54" t="str"/>
      <c r="N14" s="54" t="inlineStr">
        <is>
          <t>Matched to Munitorum Field Manual v2.3</t>
        </is>
      </c>
      <c r="O14" s="54" t="inlineStr">
        <is>
          <t>Uploaded PDF: Munitorum Field Manual v2.3 / March 2025, p.6</t>
        </is>
      </c>
    </row>
    <row r="15">
      <c r="A15" t="inlineStr">
        <is>
          <t>Aeldari</t>
        </is>
      </c>
      <c r="C15" t="inlineStr">
        <is>
          <t>Character</t>
        </is>
      </c>
      <c r="D15" t="inlineStr">
        <is>
          <t>Character</t>
        </is>
      </c>
      <c r="E15" t="inlineStr">
        <is>
          <t>Farseer</t>
        </is>
      </c>
      <c r="F15" t="inlineStr">
        <is>
          <t>1 model</t>
        </is>
      </c>
      <c r="G15" t="inlineStr">
        <is>
          <t>Character, Psyker</t>
        </is>
      </c>
      <c r="L15" s="60" t="n">
        <v>70</v>
      </c>
      <c r="M15" s="54" t="str"/>
      <c r="N15" s="54" t="inlineStr">
        <is>
          <t>Matched to Munitorum Field Manual v2.3</t>
        </is>
      </c>
      <c r="O15" s="54" t="inlineStr">
        <is>
          <t>Uploaded PDF: Munitorum Field Manual v2.3 / March 2025, p.6</t>
        </is>
      </c>
    </row>
    <row r="16">
      <c r="A16" t="inlineStr">
        <is>
          <t>Aeldari</t>
        </is>
      </c>
      <c r="C16" t="inlineStr">
        <is>
          <t>Character</t>
        </is>
      </c>
      <c r="D16" t="inlineStr">
        <is>
          <t>Character</t>
        </is>
      </c>
      <c r="E16" t="inlineStr">
        <is>
          <t>Farseer Skyrunner</t>
        </is>
      </c>
      <c r="F16" t="inlineStr">
        <is>
          <t>1 model</t>
        </is>
      </c>
      <c r="G16" t="inlineStr">
        <is>
          <t>Character, Psyker</t>
        </is>
      </c>
      <c r="L16" s="60" t="n">
        <v>80</v>
      </c>
      <c r="M16" s="54" t="str"/>
      <c r="N16" s="54" t="inlineStr">
        <is>
          <t>Matched to Munitorum Field Manual v2.3</t>
        </is>
      </c>
      <c r="O16" s="54" t="inlineStr">
        <is>
          <t>Uploaded PDF: Munitorum Field Manual v2.3 / March 2025, p.6</t>
        </is>
      </c>
    </row>
    <row r="17">
      <c r="A17" t="inlineStr">
        <is>
          <t>Aeldari</t>
        </is>
      </c>
      <c r="C17" t="inlineStr">
        <is>
          <t>Infantry / Other</t>
        </is>
      </c>
      <c r="D17" t="inlineStr">
        <is>
          <t>Infantry</t>
        </is>
      </c>
      <c r="E17" t="inlineStr">
        <is>
          <t>Fire Dragons</t>
        </is>
      </c>
      <c r="F17" t="inlineStr">
        <is>
          <t>5 models</t>
        </is>
      </c>
      <c r="G17" t="inlineStr">
        <is>
          <t>Infantry</t>
        </is>
      </c>
      <c r="L17" s="60" t="n">
        <v>110</v>
      </c>
      <c r="M17" s="54" t="inlineStr">
        <is>
          <t>Points options: 5 models = 110 pts; 10 models = 220 pts</t>
        </is>
      </c>
      <c r="N17" s="54" t="inlineStr">
        <is>
          <t>Matched to Munitorum Field Manual v2.3</t>
        </is>
      </c>
      <c r="O17" s="54" t="inlineStr">
        <is>
          <t>Uploaded PDF: Munitorum Field Manual v2.3 / March 2025, p.6</t>
        </is>
      </c>
    </row>
    <row r="18">
      <c r="A18" t="inlineStr">
        <is>
          <t>Aeldari</t>
        </is>
      </c>
      <c r="C18" t="inlineStr">
        <is>
          <t>Vehicle / Support</t>
        </is>
      </c>
      <c r="D18" t="inlineStr">
        <is>
          <t>Vehicle</t>
        </is>
      </c>
      <c r="E18" t="inlineStr">
        <is>
          <t>Fire Prism</t>
        </is>
      </c>
      <c r="F18" t="inlineStr">
        <is>
          <t>1 model</t>
        </is>
      </c>
      <c r="G18" t="inlineStr">
        <is>
          <t>Vehicle</t>
        </is>
      </c>
      <c r="L18" s="60" t="n">
        <v>160</v>
      </c>
      <c r="M18" s="54" t="str"/>
      <c r="N18" s="54" t="inlineStr">
        <is>
          <t>Matched to Munitorum Field Manual v2.3</t>
        </is>
      </c>
      <c r="O18" s="54" t="inlineStr">
        <is>
          <t>Uploaded PDF: Munitorum Field Manual v2.3 / March 2025, p.6</t>
        </is>
      </c>
    </row>
    <row r="19">
      <c r="A19" t="inlineStr">
        <is>
          <t>Aeldari</t>
        </is>
      </c>
      <c r="C19" t="inlineStr">
        <is>
          <t>Infantry / Other</t>
        </is>
      </c>
      <c r="D19" t="inlineStr">
        <is>
          <t>Infantry</t>
        </is>
      </c>
      <c r="E19" t="inlineStr">
        <is>
          <t>Fuegan</t>
        </is>
      </c>
      <c r="F19" t="inlineStr">
        <is>
          <t>1 model</t>
        </is>
      </c>
      <c r="G19" t="inlineStr">
        <is>
          <t>Infantry</t>
        </is>
      </c>
      <c r="L19" s="60" t="n">
        <v>120</v>
      </c>
      <c r="M19" s="54" t="str"/>
      <c r="N19" s="54" t="inlineStr">
        <is>
          <t>Matched to Munitorum Field Manual v2.3</t>
        </is>
      </c>
      <c r="O19" s="54" t="inlineStr">
        <is>
          <t>Uploaded PDF: Munitorum Field Manual v2.3 / March 2025, p.6</t>
        </is>
      </c>
    </row>
    <row r="20">
      <c r="A20" t="inlineStr">
        <is>
          <t>Aeldari</t>
        </is>
      </c>
      <c r="C20" t="inlineStr">
        <is>
          <t>Battleline / Core</t>
        </is>
      </c>
      <c r="D20" t="inlineStr">
        <is>
          <t>Infantry</t>
        </is>
      </c>
      <c r="E20" t="inlineStr">
        <is>
          <t>Guardian Defenders</t>
        </is>
      </c>
      <c r="F20" t="inlineStr">
        <is>
          <t>11 models</t>
        </is>
      </c>
      <c r="G20" t="inlineStr">
        <is>
          <t>Infantry</t>
        </is>
      </c>
      <c r="L20" s="60" t="n">
        <v>100</v>
      </c>
      <c r="M20" s="54" t="str"/>
      <c r="N20" s="54" t="inlineStr">
        <is>
          <t>Matched to Munitorum Field Manual v2.3</t>
        </is>
      </c>
      <c r="O20" s="54" t="inlineStr">
        <is>
          <t>Uploaded PDF: Munitorum Field Manual v2.3 / March 2025, p.6</t>
        </is>
      </c>
    </row>
    <row r="21">
      <c r="A21" t="inlineStr">
        <is>
          <t>Aeldari</t>
        </is>
      </c>
      <c r="C21" t="inlineStr">
        <is>
          <t>Vehicle / Support</t>
        </is>
      </c>
      <c r="D21" t="inlineStr">
        <is>
          <t>Aircraft</t>
        </is>
      </c>
      <c r="E21" t="inlineStr">
        <is>
          <t>Hemlock Wraithfighter</t>
        </is>
      </c>
      <c r="F21" t="inlineStr">
        <is>
          <t>1 model</t>
        </is>
      </c>
      <c r="G21" t="inlineStr">
        <is>
          <t>Aircraft</t>
        </is>
      </c>
      <c r="L21" s="60" t="n">
        <v>155</v>
      </c>
      <c r="M21" s="54" t="str"/>
      <c r="N21" s="54" t="inlineStr">
        <is>
          <t>Matched to Munitorum Field Manual v2.3</t>
        </is>
      </c>
      <c r="O21" s="54" t="inlineStr">
        <is>
          <t>Uploaded PDF: Munitorum Field Manual v2.3 / March 2025, p.6</t>
        </is>
      </c>
    </row>
    <row r="22">
      <c r="A22" t="inlineStr">
        <is>
          <t>Aeldari</t>
        </is>
      </c>
      <c r="C22" t="inlineStr">
        <is>
          <t>Infantry / Other</t>
        </is>
      </c>
      <c r="D22" t="inlineStr">
        <is>
          <t>Infantry</t>
        </is>
      </c>
      <c r="E22" t="inlineStr">
        <is>
          <t>Howling Banshees</t>
        </is>
      </c>
      <c r="F22" t="inlineStr">
        <is>
          <t>5 models</t>
        </is>
      </c>
      <c r="G22" t="inlineStr">
        <is>
          <t>Infantry</t>
        </is>
      </c>
      <c r="L22" s="60" t="n">
        <v>90</v>
      </c>
      <c r="M22" s="54" t="inlineStr">
        <is>
          <t>Points options: 5 models = 90 pts; 10 models = 180 pts</t>
        </is>
      </c>
      <c r="N22" s="54" t="inlineStr">
        <is>
          <t>Matched to Munitorum Field Manual v2.3</t>
        </is>
      </c>
      <c r="O22" s="54" t="inlineStr">
        <is>
          <t>Uploaded PDF: Munitorum Field Manual v2.3 / March 2025, p.6</t>
        </is>
      </c>
    </row>
    <row r="23">
      <c r="A23" t="inlineStr">
        <is>
          <t>Aeldari</t>
        </is>
      </c>
      <c r="C23" t="inlineStr">
        <is>
          <t>Infantry / Other</t>
        </is>
      </c>
      <c r="D23" t="inlineStr">
        <is>
          <t>Infantry</t>
        </is>
      </c>
      <c r="E23" t="inlineStr">
        <is>
          <t>Illic Nightspear</t>
        </is>
      </c>
      <c r="G23" t="inlineStr">
        <is>
          <t>Infantry</t>
        </is>
      </c>
      <c r="L23" s="60" t="n"/>
      <c r="M23" s="54" t="inlineStr">
        <is>
          <t>No matching points entry found in uploaded PDF; verify unit name/current support.</t>
        </is>
      </c>
      <c r="N23" s="54" t="inlineStr">
        <is>
          <t>Not found in uploaded PDF</t>
        </is>
      </c>
      <c r="O23" s="54" t="inlineStr">
        <is>
          <t>Uploaded PDF: Munitorum Field Manual v2.3 / March 2025</t>
        </is>
      </c>
    </row>
    <row r="24">
      <c r="A24" t="inlineStr">
        <is>
          <t>Aeldari</t>
        </is>
      </c>
      <c r="C24" t="inlineStr">
        <is>
          <t>Infantry / Other</t>
        </is>
      </c>
      <c r="D24" t="inlineStr">
        <is>
          <t>Infantry</t>
        </is>
      </c>
      <c r="E24" t="inlineStr">
        <is>
          <t>Jain Zar</t>
        </is>
      </c>
      <c r="F24" t="inlineStr">
        <is>
          <t>1 model</t>
        </is>
      </c>
      <c r="G24" t="inlineStr">
        <is>
          <t>Infantry</t>
        </is>
      </c>
      <c r="L24" s="60" t="n">
        <v>105</v>
      </c>
      <c r="M24" s="54" t="str"/>
      <c r="N24" s="54" t="inlineStr">
        <is>
          <t>Matched to Munitorum Field Manual v2.3</t>
        </is>
      </c>
      <c r="O24" s="54" t="inlineStr">
        <is>
          <t>Uploaded PDF: Munitorum Field Manual v2.3 / March 2025, p.6</t>
        </is>
      </c>
    </row>
    <row r="25">
      <c r="A25" t="inlineStr">
        <is>
          <t>Aeldari</t>
        </is>
      </c>
      <c r="C25" t="inlineStr">
        <is>
          <t>Infantry / Other</t>
        </is>
      </c>
      <c r="D25" t="inlineStr">
        <is>
          <t>Infantry</t>
        </is>
      </c>
      <c r="E25" t="inlineStr">
        <is>
          <t>Karandras</t>
        </is>
      </c>
      <c r="G25" t="inlineStr">
        <is>
          <t>Infantry</t>
        </is>
      </c>
      <c r="L25" s="60" t="n"/>
      <c r="M25" s="54" t="inlineStr">
        <is>
          <t>No matching points entry found in uploaded PDF; verify unit name/current support.</t>
        </is>
      </c>
      <c r="N25" s="54" t="inlineStr">
        <is>
          <t>Not found in uploaded PDF</t>
        </is>
      </c>
      <c r="O25" s="54" t="inlineStr">
        <is>
          <t>Uploaded PDF: Munitorum Field Manual v2.3 / March 2025</t>
        </is>
      </c>
    </row>
    <row r="26">
      <c r="A26" t="inlineStr">
        <is>
          <t>Aeldari</t>
        </is>
      </c>
      <c r="C26" t="inlineStr">
        <is>
          <t>Infantry / Other</t>
        </is>
      </c>
      <c r="D26" t="inlineStr">
        <is>
          <t>Infantry</t>
        </is>
      </c>
      <c r="E26" t="inlineStr">
        <is>
          <t>Maugan Ra</t>
        </is>
      </c>
      <c r="F26" t="inlineStr">
        <is>
          <t>1 model</t>
        </is>
      </c>
      <c r="G26" t="inlineStr">
        <is>
          <t>Infantry</t>
        </is>
      </c>
      <c r="L26" s="60" t="n">
        <v>100</v>
      </c>
      <c r="M26" s="54" t="str"/>
      <c r="N26" s="54" t="inlineStr">
        <is>
          <t>Matched to Munitorum Field Manual v2.3</t>
        </is>
      </c>
      <c r="O26" s="54" t="inlineStr">
        <is>
          <t>Uploaded PDF: Munitorum Field Manual v2.3 / March 2025, p.6</t>
        </is>
      </c>
    </row>
    <row r="27">
      <c r="A27" t="inlineStr">
        <is>
          <t>Aeldari</t>
        </is>
      </c>
      <c r="C27" t="inlineStr">
        <is>
          <t>Vehicle / Support</t>
        </is>
      </c>
      <c r="D27" t="inlineStr">
        <is>
          <t>Vehicle</t>
        </is>
      </c>
      <c r="E27" t="inlineStr">
        <is>
          <t>Night Spinner</t>
        </is>
      </c>
      <c r="F27" t="inlineStr">
        <is>
          <t>1 model</t>
        </is>
      </c>
      <c r="G27" t="inlineStr">
        <is>
          <t>Vehicle</t>
        </is>
      </c>
      <c r="L27" s="60" t="n">
        <v>190</v>
      </c>
      <c r="M27" s="54" t="str"/>
      <c r="N27" s="54" t="inlineStr">
        <is>
          <t>Matched to Munitorum Field Manual v2.3</t>
        </is>
      </c>
      <c r="O27" s="54" t="inlineStr">
        <is>
          <t>Uploaded PDF: Munitorum Field Manual v2.3 / March 2025, p.6</t>
        </is>
      </c>
    </row>
    <row r="28">
      <c r="A28" t="inlineStr">
        <is>
          <t>Aeldari</t>
        </is>
      </c>
      <c r="C28" t="inlineStr">
        <is>
          <t>Infantry / Other</t>
        </is>
      </c>
      <c r="D28" t="inlineStr">
        <is>
          <t>Infantry</t>
        </is>
      </c>
      <c r="E28" t="inlineStr">
        <is>
          <t>Prince Yriel</t>
        </is>
      </c>
      <c r="G28" t="inlineStr">
        <is>
          <t>Infantry</t>
        </is>
      </c>
      <c r="L28" s="60" t="n"/>
      <c r="M28" s="54" t="inlineStr">
        <is>
          <t>No matching points entry found in uploaded PDF; verify unit name/current support.</t>
        </is>
      </c>
      <c r="N28" s="54" t="inlineStr">
        <is>
          <t>Not found in uploaded PDF</t>
        </is>
      </c>
      <c r="O28" s="54" t="inlineStr">
        <is>
          <t>Uploaded PDF: Munitorum Field Manual v2.3 / March 2025</t>
        </is>
      </c>
    </row>
    <row r="29">
      <c r="A29" t="inlineStr">
        <is>
          <t>Aeldari</t>
        </is>
      </c>
      <c r="C29" t="inlineStr">
        <is>
          <t>Infantry / Other</t>
        </is>
      </c>
      <c r="D29" t="inlineStr">
        <is>
          <t>Infantry</t>
        </is>
      </c>
      <c r="E29" t="inlineStr">
        <is>
          <t>Rangers</t>
        </is>
      </c>
      <c r="F29" t="inlineStr">
        <is>
          <t>5 models</t>
        </is>
      </c>
      <c r="G29" t="inlineStr">
        <is>
          <t>Infantry</t>
        </is>
      </c>
      <c r="L29" s="60" t="n">
        <v>55</v>
      </c>
      <c r="M29" s="54" t="inlineStr">
        <is>
          <t>Points options: 5 models = 55 pts; 10 models = 110 pts</t>
        </is>
      </c>
      <c r="N29" s="54" t="inlineStr">
        <is>
          <t>Matched to Munitorum Field Manual v2.3</t>
        </is>
      </c>
      <c r="O29" s="54" t="inlineStr">
        <is>
          <t>Uploaded PDF: Munitorum Field Manual v2.3 / March 2025, p.6</t>
        </is>
      </c>
    </row>
    <row r="30">
      <c r="A30" t="inlineStr">
        <is>
          <t>Aeldari</t>
        </is>
      </c>
      <c r="C30" t="inlineStr">
        <is>
          <t>Infantry / Other</t>
        </is>
      </c>
      <c r="D30" t="inlineStr">
        <is>
          <t>Infantry</t>
        </is>
      </c>
      <c r="E30" t="inlineStr">
        <is>
          <t>Shining Spears</t>
        </is>
      </c>
      <c r="F30" t="inlineStr">
        <is>
          <t>3 models</t>
        </is>
      </c>
      <c r="G30" t="inlineStr">
        <is>
          <t>Infantry</t>
        </is>
      </c>
      <c r="L30" s="60" t="n">
        <v>120</v>
      </c>
      <c r="M30" s="54" t="inlineStr">
        <is>
          <t>Points options: 3 models = 120 pts; 6 models = 240 pts</t>
        </is>
      </c>
      <c r="N30" s="54" t="inlineStr">
        <is>
          <t>Matched to Munitorum Field Manual v2.3</t>
        </is>
      </c>
      <c r="O30" s="54" t="inlineStr">
        <is>
          <t>Uploaded PDF: Munitorum Field Manual v2.3 / March 2025, p.6</t>
        </is>
      </c>
    </row>
    <row r="31">
      <c r="A31" t="inlineStr">
        <is>
          <t>Aeldari</t>
        </is>
      </c>
      <c r="C31" t="inlineStr">
        <is>
          <t>Infantry / Other</t>
        </is>
      </c>
      <c r="D31" t="inlineStr">
        <is>
          <t>Infantry</t>
        </is>
      </c>
      <c r="E31" t="inlineStr">
        <is>
          <t>Shroud Runners</t>
        </is>
      </c>
      <c r="F31" t="inlineStr">
        <is>
          <t>3 models</t>
        </is>
      </c>
      <c r="G31" t="inlineStr">
        <is>
          <t>Infantry</t>
        </is>
      </c>
      <c r="L31" s="60" t="n">
        <v>80</v>
      </c>
      <c r="M31" s="54" t="inlineStr">
        <is>
          <t>Points options: 3 models = 80 pts; 6 models = 160 pts</t>
        </is>
      </c>
      <c r="N31" s="54" t="inlineStr">
        <is>
          <t>Matched to Munitorum Field Manual v2.3</t>
        </is>
      </c>
      <c r="O31" s="54" t="inlineStr">
        <is>
          <t>Uploaded PDF: Munitorum Field Manual v2.3 / March 2025, p.6</t>
        </is>
      </c>
    </row>
    <row r="32">
      <c r="A32" t="inlineStr">
        <is>
          <t>Aeldari</t>
        </is>
      </c>
      <c r="C32" t="inlineStr">
        <is>
          <t>Infantry / Other</t>
        </is>
      </c>
      <c r="D32" t="inlineStr">
        <is>
          <t>Infantry</t>
        </is>
      </c>
      <c r="E32" t="inlineStr">
        <is>
          <t>Spiritseer</t>
        </is>
      </c>
      <c r="F32" t="inlineStr">
        <is>
          <t>1 model</t>
        </is>
      </c>
      <c r="G32" t="inlineStr">
        <is>
          <t>Infantry</t>
        </is>
      </c>
      <c r="L32" s="60" t="n">
        <v>65</v>
      </c>
      <c r="M32" s="54" t="str"/>
      <c r="N32" s="54" t="inlineStr">
        <is>
          <t>Matched to Munitorum Field Manual v2.3</t>
        </is>
      </c>
      <c r="O32" s="54" t="inlineStr">
        <is>
          <t>Uploaded PDF: Munitorum Field Manual v2.3 / March 2025, p.6</t>
        </is>
      </c>
    </row>
    <row r="33">
      <c r="A33" t="inlineStr">
        <is>
          <t>Aeldari</t>
        </is>
      </c>
      <c r="C33" t="inlineStr">
        <is>
          <t>Infantry / Other</t>
        </is>
      </c>
      <c r="D33" t="inlineStr">
        <is>
          <t>Infantry</t>
        </is>
      </c>
      <c r="E33" t="inlineStr">
        <is>
          <t>Striking Scorpions</t>
        </is>
      </c>
      <c r="F33" t="inlineStr">
        <is>
          <t>5 models</t>
        </is>
      </c>
      <c r="G33" t="inlineStr">
        <is>
          <t>Infantry</t>
        </is>
      </c>
      <c r="L33" s="60" t="n">
        <v>85</v>
      </c>
      <c r="M33" s="54" t="inlineStr">
        <is>
          <t>Points options: 5 models = 85 pts; 10 models = 150 pts</t>
        </is>
      </c>
      <c r="N33" s="54" t="inlineStr">
        <is>
          <t>Matched to Munitorum Field Manual v2.3</t>
        </is>
      </c>
      <c r="O33" s="54" t="inlineStr">
        <is>
          <t>Uploaded PDF: Munitorum Field Manual v2.3 / March 2025, p.6</t>
        </is>
      </c>
    </row>
    <row r="34">
      <c r="A34" t="inlineStr">
        <is>
          <t>Aeldari</t>
        </is>
      </c>
      <c r="C34" t="inlineStr">
        <is>
          <t>Infantry / Other</t>
        </is>
      </c>
      <c r="D34" t="inlineStr">
        <is>
          <t>Infantry</t>
        </is>
      </c>
      <c r="E34" t="inlineStr">
        <is>
          <t>Swooping Hawks</t>
        </is>
      </c>
      <c r="F34" t="inlineStr">
        <is>
          <t>5 models</t>
        </is>
      </c>
      <c r="G34" t="inlineStr">
        <is>
          <t>Infantry</t>
        </is>
      </c>
      <c r="L34" s="60" t="n">
        <v>85</v>
      </c>
      <c r="M34" s="54" t="inlineStr">
        <is>
          <t>Points options: 5 models = 85 pts; 10 models = 170 pts</t>
        </is>
      </c>
      <c r="N34" s="54" t="inlineStr">
        <is>
          <t>Matched to Munitorum Field Manual v2.3</t>
        </is>
      </c>
      <c r="O34" s="54" t="inlineStr">
        <is>
          <t>Uploaded PDF: Munitorum Field Manual v2.3 / March 2025, p.6</t>
        </is>
      </c>
    </row>
    <row r="35">
      <c r="A35" t="inlineStr">
        <is>
          <t>Aeldari</t>
        </is>
      </c>
      <c r="C35" t="inlineStr">
        <is>
          <t>Infantry / Other</t>
        </is>
      </c>
      <c r="D35" t="inlineStr">
        <is>
          <t>Infantry</t>
        </is>
      </c>
      <c r="E35" t="inlineStr">
        <is>
          <t>Support Weapons</t>
        </is>
      </c>
      <c r="F35" t="inlineStr">
        <is>
          <t>1 model</t>
        </is>
      </c>
      <c r="G35" t="inlineStr">
        <is>
          <t>Infantry</t>
        </is>
      </c>
      <c r="L35" s="60" t="n">
        <v>125</v>
      </c>
      <c r="M35" s="54" t="str"/>
      <c r="N35" s="54" t="inlineStr">
        <is>
          <t>Matched to Munitorum Field Manual v2.3</t>
        </is>
      </c>
      <c r="O35" s="54" t="inlineStr">
        <is>
          <t>Uploaded PDF: Munitorum Field Manual v2.3 / March 2025, p.6</t>
        </is>
      </c>
    </row>
    <row r="36">
      <c r="A36" t="inlineStr">
        <is>
          <t>Aeldari</t>
        </is>
      </c>
      <c r="C36" t="inlineStr">
        <is>
          <t>Infantry / Other</t>
        </is>
      </c>
      <c r="D36" t="inlineStr">
        <is>
          <t>Infantry</t>
        </is>
      </c>
      <c r="E36" t="inlineStr">
        <is>
          <t>The Visarch</t>
        </is>
      </c>
      <c r="F36" t="inlineStr">
        <is>
          <t>1 model</t>
        </is>
      </c>
      <c r="G36" t="inlineStr">
        <is>
          <t>Infantry</t>
        </is>
      </c>
      <c r="L36" s="60" t="n">
        <v>90</v>
      </c>
      <c r="M36" s="54" t="str"/>
      <c r="N36" s="54" t="inlineStr">
        <is>
          <t>Matched to Munitorum Field Manual v2.3</t>
        </is>
      </c>
      <c r="O36" s="54" t="inlineStr">
        <is>
          <t>Uploaded PDF: Munitorum Field Manual v2.3 / March 2025, p.7</t>
        </is>
      </c>
    </row>
    <row r="37">
      <c r="A37" t="inlineStr">
        <is>
          <t>Aeldari</t>
        </is>
      </c>
      <c r="C37" t="inlineStr">
        <is>
          <t>Monster / Heavy Support</t>
        </is>
      </c>
      <c r="D37" t="inlineStr">
        <is>
          <t>Monster</t>
        </is>
      </c>
      <c r="E37" t="inlineStr">
        <is>
          <t>The Yncarne</t>
        </is>
      </c>
      <c r="F37" t="inlineStr">
        <is>
          <t>1 model</t>
        </is>
      </c>
      <c r="G37" t="inlineStr">
        <is>
          <t>Monster, Epic Hero</t>
        </is>
      </c>
      <c r="L37" s="60" t="n">
        <v>250</v>
      </c>
      <c r="M37" s="54" t="str"/>
      <c r="N37" s="54" t="inlineStr">
        <is>
          <t>Matched to Munitorum Field Manual v2.3</t>
        </is>
      </c>
      <c r="O37" s="54" t="inlineStr">
        <is>
          <t>Uploaded PDF: Munitorum Field Manual v2.3 / March 2025, p.7</t>
        </is>
      </c>
    </row>
    <row r="38">
      <c r="A38" t="inlineStr">
        <is>
          <t>Aeldari</t>
        </is>
      </c>
      <c r="C38" t="inlineStr">
        <is>
          <t>Infantry / Other</t>
        </is>
      </c>
      <c r="D38" t="inlineStr">
        <is>
          <t>Infantry</t>
        </is>
      </c>
      <c r="E38" t="inlineStr">
        <is>
          <t>Troupe</t>
        </is>
      </c>
      <c r="F38" t="inlineStr">
        <is>
          <t>5 models</t>
        </is>
      </c>
      <c r="G38" t="inlineStr">
        <is>
          <t>Infantry</t>
        </is>
      </c>
      <c r="L38" s="60" t="n">
        <v>85</v>
      </c>
      <c r="M38" s="54" t="inlineStr">
        <is>
          <t>Points options: 5 models = 85 pts; 6 models = 100 pts; 11 models = 190 pts; 12 models = 205 pts</t>
        </is>
      </c>
      <c r="N38" s="54" t="inlineStr">
        <is>
          <t>Matched to Munitorum Field Manual v2.3</t>
        </is>
      </c>
      <c r="O38" s="54" t="inlineStr">
        <is>
          <t>Uploaded PDF: Munitorum Field Manual v2.3 / March 2025, p.6</t>
        </is>
      </c>
    </row>
    <row r="39">
      <c r="A39" t="inlineStr">
        <is>
          <t>Aeldari</t>
        </is>
      </c>
      <c r="C39" t="inlineStr">
        <is>
          <t>Vehicle / Support</t>
        </is>
      </c>
      <c r="D39" t="inlineStr">
        <is>
          <t>Vehicle</t>
        </is>
      </c>
      <c r="E39" t="inlineStr">
        <is>
          <t>Vypers</t>
        </is>
      </c>
      <c r="F39" t="inlineStr">
        <is>
          <t>1 model</t>
        </is>
      </c>
      <c r="G39" t="inlineStr">
        <is>
          <t>Vehicle</t>
        </is>
      </c>
      <c r="L39" s="60" t="n">
        <v>65</v>
      </c>
      <c r="M39" s="54" t="inlineStr">
        <is>
          <t>Points options: 1 model = 65 pts; 2 models = 130 pts</t>
        </is>
      </c>
      <c r="N39" s="54" t="inlineStr">
        <is>
          <t>Matched to Munitorum Field Manual v2.3</t>
        </is>
      </c>
      <c r="O39" s="54" t="inlineStr">
        <is>
          <t>Uploaded PDF: Munitorum Field Manual v2.3 / March 2025, p.6</t>
        </is>
      </c>
    </row>
    <row r="40">
      <c r="A40" t="inlineStr">
        <is>
          <t>Aeldari</t>
        </is>
      </c>
      <c r="C40" t="inlineStr">
        <is>
          <t>Vehicle / Support</t>
        </is>
      </c>
      <c r="D40" t="inlineStr">
        <is>
          <t>Vehicle</t>
        </is>
      </c>
      <c r="E40" t="inlineStr">
        <is>
          <t>War Walker</t>
        </is>
      </c>
      <c r="F40" t="inlineStr">
        <is>
          <t>1 model</t>
        </is>
      </c>
      <c r="G40" t="inlineStr">
        <is>
          <t>Vehicle</t>
        </is>
      </c>
      <c r="L40" s="60" t="n">
        <v>95</v>
      </c>
      <c r="M40" s="54" t="inlineStr">
        <is>
          <t>Points options: 1 model = 95 pts; 2 models = 190 pts</t>
        </is>
      </c>
      <c r="N40" s="54" t="inlineStr">
        <is>
          <t>Matched to Munitorum Field Manual v2.3</t>
        </is>
      </c>
      <c r="O40" s="54" t="inlineStr">
        <is>
          <t>Uploaded PDF: Munitorum Field Manual v2.3 / March 2025, p.6</t>
        </is>
      </c>
    </row>
    <row r="41">
      <c r="A41" t="inlineStr">
        <is>
          <t>Aeldari</t>
        </is>
      </c>
      <c r="C41" t="inlineStr">
        <is>
          <t>Character</t>
        </is>
      </c>
      <c r="D41" t="inlineStr">
        <is>
          <t>Character</t>
        </is>
      </c>
      <c r="E41" t="inlineStr">
        <is>
          <t>Warlock</t>
        </is>
      </c>
      <c r="F41" t="inlineStr">
        <is>
          <t>1 model</t>
        </is>
      </c>
      <c r="G41" t="inlineStr">
        <is>
          <t>Character, Psyker</t>
        </is>
      </c>
      <c r="L41" s="60" t="n">
        <v>45</v>
      </c>
      <c r="M41" s="54" t="str"/>
      <c r="N41" s="54" t="inlineStr">
        <is>
          <t>Matched to Munitorum Field Manual v2.3</t>
        </is>
      </c>
      <c r="O41" s="54" t="inlineStr">
        <is>
          <t>Uploaded PDF: Munitorum Field Manual v2.3 / March 2025, p.6</t>
        </is>
      </c>
    </row>
    <row r="42">
      <c r="A42" t="inlineStr">
        <is>
          <t>Aeldari</t>
        </is>
      </c>
      <c r="C42" t="inlineStr">
        <is>
          <t>Character</t>
        </is>
      </c>
      <c r="D42" t="inlineStr">
        <is>
          <t>Character</t>
        </is>
      </c>
      <c r="E42" t="inlineStr">
        <is>
          <t>Warlock Conclave</t>
        </is>
      </c>
      <c r="F42" t="inlineStr">
        <is>
          <t>2 models</t>
        </is>
      </c>
      <c r="G42" t="inlineStr">
        <is>
          <t>Character, Psyker</t>
        </is>
      </c>
      <c r="L42" s="60" t="n">
        <v>55</v>
      </c>
      <c r="M42" s="54" t="inlineStr">
        <is>
          <t>Points options: 2 models = 55 pts; 4 models = 110 pts</t>
        </is>
      </c>
      <c r="N42" s="54" t="inlineStr">
        <is>
          <t>Matched to Munitorum Field Manual v2.3</t>
        </is>
      </c>
      <c r="O42" s="54" t="inlineStr">
        <is>
          <t>Uploaded PDF: Munitorum Field Manual v2.3 / March 2025, p.6</t>
        </is>
      </c>
    </row>
    <row r="43">
      <c r="A43" t="inlineStr">
        <is>
          <t>Aeldari</t>
        </is>
      </c>
      <c r="C43" t="inlineStr">
        <is>
          <t>Character</t>
        </is>
      </c>
      <c r="D43" t="inlineStr">
        <is>
          <t>Character</t>
        </is>
      </c>
      <c r="E43" t="inlineStr">
        <is>
          <t>Warlock Skyrunner</t>
        </is>
      </c>
      <c r="F43" t="inlineStr">
        <is>
          <t>1 model</t>
        </is>
      </c>
      <c r="G43" t="inlineStr">
        <is>
          <t>Character, Psyker</t>
        </is>
      </c>
      <c r="L43" s="60" t="n">
        <v>45</v>
      </c>
      <c r="M43" s="54" t="inlineStr">
        <is>
          <t>Points options: 1 model = 45 pts; 2 models = 90 pts</t>
        </is>
      </c>
      <c r="N43" s="54" t="inlineStr">
        <is>
          <t>Matched to Munitorum Field Manual v2.3</t>
        </is>
      </c>
      <c r="O43" s="54" t="inlineStr">
        <is>
          <t>Uploaded PDF: Munitorum Field Manual v2.3 / March 2025, p.6</t>
        </is>
      </c>
    </row>
    <row r="44">
      <c r="A44" t="inlineStr">
        <is>
          <t>Aeldari</t>
        </is>
      </c>
      <c r="C44" t="inlineStr">
        <is>
          <t>Character</t>
        </is>
      </c>
      <c r="D44" t="inlineStr">
        <is>
          <t>Character</t>
        </is>
      </c>
      <c r="E44" t="inlineStr">
        <is>
          <t>Warlock Skyrunner Conclave</t>
        </is>
      </c>
      <c r="F44" t="inlineStr">
        <is>
          <t>1 model</t>
        </is>
      </c>
      <c r="G44" t="inlineStr">
        <is>
          <t>Character, Psyker</t>
        </is>
      </c>
      <c r="L44" s="60" t="n">
        <v>45</v>
      </c>
      <c r="M44" s="54" t="inlineStr">
        <is>
          <t>Points options: 1 model = 45 pts; 2 models = 90 pts</t>
        </is>
      </c>
      <c r="N44" s="54" t="inlineStr">
        <is>
          <t>Matched to Munitorum Field Manual v2.3</t>
        </is>
      </c>
      <c r="O44" s="54" t="inlineStr">
        <is>
          <t>Uploaded PDF: Munitorum Field Manual v2.3 / March 2025, p.6</t>
        </is>
      </c>
    </row>
    <row r="45">
      <c r="A45" t="inlineStr">
        <is>
          <t>Aeldari</t>
        </is>
      </c>
      <c r="C45" t="inlineStr">
        <is>
          <t>Infantry / Other</t>
        </is>
      </c>
      <c r="D45" t="inlineStr">
        <is>
          <t>Infantry</t>
        </is>
      </c>
      <c r="E45" t="inlineStr">
        <is>
          <t>Warp Spiders</t>
        </is>
      </c>
      <c r="F45" t="inlineStr">
        <is>
          <t>5 models</t>
        </is>
      </c>
      <c r="G45" t="inlineStr">
        <is>
          <t>Infantry</t>
        </is>
      </c>
      <c r="L45" s="60" t="n">
        <v>95</v>
      </c>
      <c r="M45" s="54" t="inlineStr">
        <is>
          <t>Points options: 5 models = 95 pts; 10 models = 190 pts</t>
        </is>
      </c>
      <c r="N45" s="54" t="inlineStr">
        <is>
          <t>Matched to Munitorum Field Manual v2.3</t>
        </is>
      </c>
      <c r="O45" s="54" t="inlineStr">
        <is>
          <t>Uploaded PDF: Munitorum Field Manual v2.3 / March 2025, p.6</t>
        </is>
      </c>
    </row>
    <row r="46">
      <c r="A46" t="inlineStr">
        <is>
          <t>Aeldari</t>
        </is>
      </c>
      <c r="C46" t="inlineStr">
        <is>
          <t>Vehicle / Support</t>
        </is>
      </c>
      <c r="D46" t="inlineStr">
        <is>
          <t>Vehicle</t>
        </is>
      </c>
      <c r="E46" t="inlineStr">
        <is>
          <t>Wave Serpent</t>
        </is>
      </c>
      <c r="F46" t="inlineStr">
        <is>
          <t>1 model</t>
        </is>
      </c>
      <c r="G46" t="inlineStr">
        <is>
          <t>Vehicle</t>
        </is>
      </c>
      <c r="L46" s="60" t="n">
        <v>125</v>
      </c>
      <c r="M46" s="54" t="str"/>
      <c r="N46" s="54" t="inlineStr">
        <is>
          <t>Matched to Munitorum Field Manual v2.3</t>
        </is>
      </c>
      <c r="O46" s="54" t="inlineStr">
        <is>
          <t>Uploaded PDF: Munitorum Field Manual v2.3 / March 2025, p.6</t>
        </is>
      </c>
    </row>
    <row r="47">
      <c r="A47" t="inlineStr">
        <is>
          <t>Aeldari</t>
        </is>
      </c>
      <c r="C47" t="inlineStr">
        <is>
          <t>Infantry / Other</t>
        </is>
      </c>
      <c r="D47" t="inlineStr">
        <is>
          <t>Infantry</t>
        </is>
      </c>
      <c r="E47" t="inlineStr">
        <is>
          <t>Webway Gate</t>
        </is>
      </c>
      <c r="G47" t="inlineStr">
        <is>
          <t>Infantry</t>
        </is>
      </c>
      <c r="L47" s="60" t="n"/>
      <c r="M47" s="54" t="inlineStr">
        <is>
          <t>No matching points entry found in uploaded PDF; verify unit name/current support.</t>
        </is>
      </c>
      <c r="N47" s="54" t="inlineStr">
        <is>
          <t>Not found in uploaded PDF</t>
        </is>
      </c>
      <c r="O47" s="54" t="inlineStr">
        <is>
          <t>Uploaded PDF: Munitorum Field Manual v2.3 / March 2025</t>
        </is>
      </c>
    </row>
    <row r="48">
      <c r="A48" t="inlineStr">
        <is>
          <t>Aeldari</t>
        </is>
      </c>
      <c r="C48" t="inlineStr">
        <is>
          <t>Infantry / Other</t>
        </is>
      </c>
      <c r="D48" t="inlineStr">
        <is>
          <t>Infantry</t>
        </is>
      </c>
      <c r="E48" t="inlineStr">
        <is>
          <t>Windriders</t>
        </is>
      </c>
      <c r="F48" t="inlineStr">
        <is>
          <t>3 models</t>
        </is>
      </c>
      <c r="G48" t="inlineStr">
        <is>
          <t>Infantry</t>
        </is>
      </c>
      <c r="L48" s="60" t="n">
        <v>80</v>
      </c>
      <c r="M48" s="54" t="inlineStr">
        <is>
          <t>Points options: 3 models = 80 pts; 6 models = 160 pts</t>
        </is>
      </c>
      <c r="N48" s="54" t="inlineStr">
        <is>
          <t>Matched to Munitorum Field Manual v2.3</t>
        </is>
      </c>
      <c r="O48" s="54" t="inlineStr">
        <is>
          <t>Uploaded PDF: Munitorum Field Manual v2.3 / March 2025, p.6</t>
        </is>
      </c>
    </row>
    <row r="49">
      <c r="A49" t="inlineStr">
        <is>
          <t>Aeldari</t>
        </is>
      </c>
      <c r="C49" t="inlineStr">
        <is>
          <t>Infantry / Other</t>
        </is>
      </c>
      <c r="D49" t="inlineStr">
        <is>
          <t>Infantry</t>
        </is>
      </c>
      <c r="E49" t="inlineStr">
        <is>
          <t>Wraithblades</t>
        </is>
      </c>
      <c r="F49" t="inlineStr">
        <is>
          <t>5 models</t>
        </is>
      </c>
      <c r="G49" t="inlineStr">
        <is>
          <t>Infantry</t>
        </is>
      </c>
      <c r="L49" s="60" t="n">
        <v>170</v>
      </c>
      <c r="M49" s="54" t="str"/>
      <c r="N49" s="54" t="inlineStr">
        <is>
          <t>Matched to Munitorum Field Manual v2.3</t>
        </is>
      </c>
      <c r="O49" s="54" t="inlineStr">
        <is>
          <t>Uploaded PDF: Munitorum Field Manual v2.3 / March 2025, p.6</t>
        </is>
      </c>
    </row>
    <row r="50">
      <c r="A50" t="inlineStr">
        <is>
          <t>Aeldari</t>
        </is>
      </c>
      <c r="C50" t="inlineStr">
        <is>
          <t>Infantry / Other</t>
        </is>
      </c>
      <c r="D50" t="inlineStr">
        <is>
          <t>Infantry</t>
        </is>
      </c>
      <c r="E50" t="inlineStr">
        <is>
          <t>Wraithguard</t>
        </is>
      </c>
      <c r="F50" t="inlineStr">
        <is>
          <t>5 models</t>
        </is>
      </c>
      <c r="G50" t="inlineStr">
        <is>
          <t>Infantry</t>
        </is>
      </c>
      <c r="L50" s="60" t="n">
        <v>170</v>
      </c>
      <c r="M50" s="54" t="str"/>
      <c r="N50" s="54" t="inlineStr">
        <is>
          <t>Matched to Munitorum Field Manual v2.3</t>
        </is>
      </c>
      <c r="O50" s="54" t="inlineStr">
        <is>
          <t>Uploaded PDF: Munitorum Field Manual v2.3 / March 2025, p.6</t>
        </is>
      </c>
    </row>
    <row r="51">
      <c r="A51" t="inlineStr">
        <is>
          <t>Aeldari</t>
        </is>
      </c>
      <c r="C51" t="inlineStr">
        <is>
          <t>Vehicle / Support</t>
        </is>
      </c>
      <c r="D51" t="inlineStr">
        <is>
          <t>Super-heavy Vehicle/Monster</t>
        </is>
      </c>
      <c r="E51" t="inlineStr">
        <is>
          <t>Wraithknight</t>
        </is>
      </c>
      <c r="F51" t="inlineStr">
        <is>
          <t>1 model</t>
        </is>
      </c>
      <c r="G51" t="inlineStr">
        <is>
          <t>Super-heavy Vehicle/Monster</t>
        </is>
      </c>
      <c r="L51" s="60" t="n">
        <v>435</v>
      </c>
      <c r="M51" s="54" t="str"/>
      <c r="N51" s="54" t="inlineStr">
        <is>
          <t>Matched to Munitorum Field Manual v2.3</t>
        </is>
      </c>
      <c r="O51" s="54" t="inlineStr">
        <is>
          <t>Uploaded PDF: Munitorum Field Manual v2.3 / March 2025, p.6</t>
        </is>
      </c>
    </row>
    <row r="52">
      <c r="A52" t="inlineStr">
        <is>
          <t>Aeldari</t>
        </is>
      </c>
      <c r="C52" t="inlineStr">
        <is>
          <t>Character</t>
        </is>
      </c>
      <c r="D52" t="inlineStr">
        <is>
          <t>Character</t>
        </is>
      </c>
      <c r="E52" t="inlineStr">
        <is>
          <t>Wraithlord</t>
        </is>
      </c>
      <c r="F52" t="inlineStr">
        <is>
          <t>1 model</t>
        </is>
      </c>
      <c r="G52" t="inlineStr">
        <is>
          <t>Character</t>
        </is>
      </c>
      <c r="L52" s="60" t="n">
        <v>140</v>
      </c>
      <c r="M52" s="54" t="str"/>
      <c r="N52" s="54" t="inlineStr">
        <is>
          <t>Matched to Munitorum Field Manual v2.3</t>
        </is>
      </c>
      <c r="O52" s="54" t="inlineStr">
        <is>
          <t>Uploaded PDF: Munitorum Field Manual v2.3 / March 2025, p.6</t>
        </is>
      </c>
    </row>
    <row r="53">
      <c r="A53" t="inlineStr">
        <is>
          <t>Aeldari</t>
        </is>
      </c>
      <c r="C53" t="inlineStr">
        <is>
          <t>Infantry / Other</t>
        </is>
      </c>
      <c r="D53" t="inlineStr">
        <is>
          <t>Infantry</t>
        </is>
      </c>
      <c r="E53" t="inlineStr">
        <is>
          <t>Yvraine</t>
        </is>
      </c>
      <c r="F53" t="inlineStr">
        <is>
          <t>1 model</t>
        </is>
      </c>
      <c r="G53" t="inlineStr">
        <is>
          <t>Infantry</t>
        </is>
      </c>
      <c r="L53" s="60" t="n">
        <v>100</v>
      </c>
      <c r="M53" s="54" t="str"/>
      <c r="N53" s="54" t="inlineStr">
        <is>
          <t>Matched to Munitorum Field Manual v2.3</t>
        </is>
      </c>
      <c r="O53" s="54" t="inlineStr">
        <is>
          <t>Uploaded PDF: Munitorum Field Manual v2.3 / March 2025, p.7</t>
        </is>
      </c>
    </row>
    <row r="54">
      <c r="A54" t="inlineStr">
        <is>
          <t>Aeldari</t>
        </is>
      </c>
      <c r="C54" t="inlineStr">
        <is>
          <t>Infantry / Other</t>
        </is>
      </c>
      <c r="D54" t="inlineStr">
        <is>
          <t>Infantry</t>
        </is>
      </c>
      <c r="E54" t="inlineStr">
        <is>
          <t>Corsair Skyreavers</t>
        </is>
      </c>
      <c r="F54" t="inlineStr">
        <is>
          <t>5 models</t>
        </is>
      </c>
      <c r="G54" t="inlineStr">
        <is>
          <t>Infantry</t>
        </is>
      </c>
      <c r="L54" t="n">
        <v>80</v>
      </c>
      <c r="M54" t="inlineStr">
        <is>
          <t>Your 1st To 2nd Units Cost: 5 models = 80 pts; 10 models = 150 pts | Your 3rd + Unit Costs: 5 models = 90 pts; 10 models = 160 pts</t>
        </is>
      </c>
      <c r="N54" t="inlineStr">
        <is>
          <t>Added from current Munitorum Field Manual v4.1 (non-Legends)</t>
        </is>
      </c>
      <c r="O54" t="inlineStr">
        <is>
          <t>https://www.warhammer-community.com/en-gb/downloads/warhammer-40000/</t>
        </is>
      </c>
    </row>
    <row r="55">
      <c r="A55" t="inlineStr">
        <is>
          <t>Aeldari</t>
        </is>
      </c>
      <c r="C55" t="inlineStr">
        <is>
          <t>Infantry / Other</t>
        </is>
      </c>
      <c r="D55" t="inlineStr">
        <is>
          <t>Infantry</t>
        </is>
      </c>
      <c r="E55" t="inlineStr">
        <is>
          <t>D-Cannon Platform</t>
        </is>
      </c>
      <c r="F55" t="inlineStr">
        <is>
          <t>1 model</t>
        </is>
      </c>
      <c r="G55" t="inlineStr">
        <is>
          <t>Infantry</t>
        </is>
      </c>
      <c r="L55" t="n">
        <v>110</v>
      </c>
      <c r="M55" t="inlineStr">
        <is>
          <t>Your 1st Unit Costs: 1 models = 110 pts | Your 2nd + Unit Costs: 1 models = 125 pts</t>
        </is>
      </c>
      <c r="N55" t="inlineStr">
        <is>
          <t>Added from current Munitorum Field Manual v4.1 (non-Legends)</t>
        </is>
      </c>
      <c r="O55" t="inlineStr">
        <is>
          <t>https://www.warhammer-community.com/en-gb/downloads/warhammer-40000/</t>
        </is>
      </c>
    </row>
    <row r="56">
      <c r="A56" t="inlineStr">
        <is>
          <t>Aeldari</t>
        </is>
      </c>
      <c r="C56" t="inlineStr">
        <is>
          <t>Infantry / Other</t>
        </is>
      </c>
      <c r="D56" t="inlineStr">
        <is>
          <t>Infantry</t>
        </is>
      </c>
      <c r="E56" t="inlineStr">
        <is>
          <t>Death Jester</t>
        </is>
      </c>
      <c r="F56" t="inlineStr">
        <is>
          <t>1 model</t>
        </is>
      </c>
      <c r="G56" t="inlineStr">
        <is>
          <t>Infantry</t>
        </is>
      </c>
      <c r="L56" t="n">
        <v>80</v>
      </c>
      <c r="N56" t="inlineStr">
        <is>
          <t>Added from current Munitorum Field Manual v4.1 (non-Legends)</t>
        </is>
      </c>
      <c r="O56" t="inlineStr">
        <is>
          <t>https://www.warhammer-community.com/en-gb/downloads/warhammer-40000/</t>
        </is>
      </c>
    </row>
    <row r="57">
      <c r="A57" t="inlineStr">
        <is>
          <t>Aeldari</t>
        </is>
      </c>
      <c r="C57" t="inlineStr">
        <is>
          <t>Character</t>
        </is>
      </c>
      <c r="D57" t="inlineStr">
        <is>
          <t>Character</t>
        </is>
      </c>
      <c r="E57" t="inlineStr">
        <is>
          <t>Kharseth</t>
        </is>
      </c>
      <c r="F57" t="inlineStr">
        <is>
          <t>1 model</t>
        </is>
      </c>
      <c r="G57" t="inlineStr">
        <is>
          <t>Character</t>
        </is>
      </c>
      <c r="L57" t="n">
        <v>85</v>
      </c>
      <c r="N57" t="inlineStr">
        <is>
          <t>Added from current Munitorum Field Manual v4.1 (non-Legends)</t>
        </is>
      </c>
      <c r="O57" t="inlineStr">
        <is>
          <t>https://www.warhammer-community.com/en-gb/downloads/warhammer-40000/</t>
        </is>
      </c>
    </row>
    <row r="58">
      <c r="A58" t="inlineStr">
        <is>
          <t>Aeldari</t>
        </is>
      </c>
      <c r="C58" t="inlineStr">
        <is>
          <t>Character</t>
        </is>
      </c>
      <c r="D58" t="inlineStr">
        <is>
          <t>Character</t>
        </is>
      </c>
      <c r="E58" t="inlineStr">
        <is>
          <t>Lhykhis</t>
        </is>
      </c>
      <c r="F58" t="inlineStr">
        <is>
          <t>1 model</t>
        </is>
      </c>
      <c r="G58" t="inlineStr">
        <is>
          <t>Character</t>
        </is>
      </c>
      <c r="L58" t="n">
        <v>135</v>
      </c>
      <c r="N58" t="inlineStr">
        <is>
          <t>Added from current Munitorum Field Manual v4.1 (non-Legends)</t>
        </is>
      </c>
      <c r="O58" t="inlineStr">
        <is>
          <t>https://www.warhammer-community.com/en-gb/downloads/warhammer-40000/</t>
        </is>
      </c>
    </row>
    <row r="59">
      <c r="A59" t="inlineStr">
        <is>
          <t>Aeldari</t>
        </is>
      </c>
      <c r="C59" t="inlineStr">
        <is>
          <t>Vehicle / Support</t>
        </is>
      </c>
      <c r="D59" t="inlineStr">
        <is>
          <t>Vehicle</t>
        </is>
      </c>
      <c r="E59" t="inlineStr">
        <is>
          <t>Phantom Titan</t>
        </is>
      </c>
      <c r="F59" t="inlineStr">
        <is>
          <t>1 model</t>
        </is>
      </c>
      <c r="G59" t="inlineStr">
        <is>
          <t>Vehicle</t>
        </is>
      </c>
      <c r="L59" t="n">
        <v>2100</v>
      </c>
      <c r="N59" t="inlineStr">
        <is>
          <t>Added from current Munitorum Field Manual v4.1 (non-Legends)</t>
        </is>
      </c>
      <c r="O59" t="inlineStr">
        <is>
          <t>https://www.warhammer-community.com/en-gb/downloads/warhammer-40000/</t>
        </is>
      </c>
    </row>
    <row r="60">
      <c r="A60" t="inlineStr">
        <is>
          <t>Aeldari</t>
        </is>
      </c>
      <c r="C60" t="inlineStr">
        <is>
          <t>Vehicle / Support</t>
        </is>
      </c>
      <c r="D60" t="inlineStr">
        <is>
          <t>Vehicle</t>
        </is>
      </c>
      <c r="E60" t="inlineStr">
        <is>
          <t>Revenant Titan</t>
        </is>
      </c>
      <c r="F60" t="inlineStr">
        <is>
          <t>1 model</t>
        </is>
      </c>
      <c r="G60" t="inlineStr">
        <is>
          <t>Vehicle</t>
        </is>
      </c>
      <c r="L60" t="n">
        <v>1100</v>
      </c>
      <c r="N60" t="inlineStr">
        <is>
          <t>Added from current Munitorum Field Manual v4.1 (non-Legends)</t>
        </is>
      </c>
      <c r="O60" t="inlineStr">
        <is>
          <t>https://www.warhammer-community.com/en-gb/downloads/warhammer-40000/</t>
        </is>
      </c>
    </row>
    <row r="61">
      <c r="A61" t="inlineStr">
        <is>
          <t>Aeldari</t>
        </is>
      </c>
      <c r="C61" t="inlineStr">
        <is>
          <t>Infantry / Other</t>
        </is>
      </c>
      <c r="D61" t="inlineStr">
        <is>
          <t>Infantry</t>
        </is>
      </c>
      <c r="E61" t="inlineStr">
        <is>
          <t>Shadow Weaver Platform</t>
        </is>
      </c>
      <c r="F61" t="inlineStr">
        <is>
          <t>1 model</t>
        </is>
      </c>
      <c r="G61" t="inlineStr">
        <is>
          <t>Infantry</t>
        </is>
      </c>
      <c r="L61" t="n">
        <v>60</v>
      </c>
      <c r="N61" t="inlineStr">
        <is>
          <t>Added from current Munitorum Field Manual v4.1 (non-Legends)</t>
        </is>
      </c>
      <c r="O61" t="inlineStr">
        <is>
          <t>https://www.warhammer-community.com/en-gb/downloads/warhammer-40000/</t>
        </is>
      </c>
    </row>
    <row r="62">
      <c r="A62" t="inlineStr">
        <is>
          <t>Aeldari</t>
        </is>
      </c>
      <c r="C62" t="inlineStr">
        <is>
          <t>Character</t>
        </is>
      </c>
      <c r="D62" t="inlineStr">
        <is>
          <t>Character</t>
        </is>
      </c>
      <c r="E62" t="inlineStr">
        <is>
          <t>Shadowseer</t>
        </is>
      </c>
      <c r="F62" t="inlineStr">
        <is>
          <t>1 model</t>
        </is>
      </c>
      <c r="G62" t="inlineStr">
        <is>
          <t>Character</t>
        </is>
      </c>
      <c r="L62" t="n">
        <v>60</v>
      </c>
      <c r="N62" t="inlineStr">
        <is>
          <t>Added from current Munitorum Field Manual v4.1 (non-Legends)</t>
        </is>
      </c>
      <c r="O62" t="inlineStr">
        <is>
          <t>https://www.warhammer-community.com/en-gb/downloads/warhammer-40000/</t>
        </is>
      </c>
    </row>
    <row r="63">
      <c r="A63" t="inlineStr">
        <is>
          <t>Aeldari</t>
        </is>
      </c>
      <c r="C63" t="inlineStr">
        <is>
          <t>Infantry / Other</t>
        </is>
      </c>
      <c r="D63" t="inlineStr">
        <is>
          <t>Infantry</t>
        </is>
      </c>
      <c r="E63" t="inlineStr">
        <is>
          <t>Skyweavers</t>
        </is>
      </c>
      <c r="F63" t="inlineStr">
        <is>
          <t>2 models</t>
        </is>
      </c>
      <c r="G63" t="inlineStr">
        <is>
          <t>Infantry</t>
        </is>
      </c>
      <c r="L63" t="n">
        <v>105</v>
      </c>
      <c r="N63" t="inlineStr">
        <is>
          <t>Added from current Munitorum Field Manual v4.1 (non-Legends)</t>
        </is>
      </c>
      <c r="O63" t="inlineStr">
        <is>
          <t>https://www.warhammer-community.com/en-gb/downloads/warhammer-40000/</t>
        </is>
      </c>
    </row>
    <row r="64">
      <c r="A64" t="inlineStr">
        <is>
          <t>Aeldari</t>
        </is>
      </c>
      <c r="C64" t="inlineStr">
        <is>
          <t>Infantry / Other</t>
        </is>
      </c>
      <c r="D64" t="inlineStr">
        <is>
          <t>Infantry</t>
        </is>
      </c>
      <c r="E64" t="inlineStr">
        <is>
          <t>Solitaire</t>
        </is>
      </c>
      <c r="F64" t="inlineStr">
        <is>
          <t>1 model</t>
        </is>
      </c>
      <c r="G64" t="inlineStr">
        <is>
          <t>Infantry</t>
        </is>
      </c>
      <c r="L64" t="n">
        <v>115</v>
      </c>
      <c r="N64" t="inlineStr">
        <is>
          <t>Added from current Munitorum Field Manual v4.1 (non-Legends)</t>
        </is>
      </c>
      <c r="O64" t="inlineStr">
        <is>
          <t>https://www.warhammer-community.com/en-gb/downloads/warhammer-40000/</t>
        </is>
      </c>
    </row>
    <row r="65">
      <c r="A65" t="inlineStr">
        <is>
          <t>Aeldari</t>
        </is>
      </c>
      <c r="C65" t="inlineStr">
        <is>
          <t>Infantry / Other</t>
        </is>
      </c>
      <c r="D65" t="inlineStr">
        <is>
          <t>Infantry</t>
        </is>
      </c>
      <c r="E65" t="inlineStr">
        <is>
          <t>Starfangs</t>
        </is>
      </c>
      <c r="F65" t="inlineStr">
        <is>
          <t>1 model</t>
        </is>
      </c>
      <c r="G65" t="inlineStr">
        <is>
          <t>Infantry</t>
        </is>
      </c>
      <c r="L65" t="n">
        <v>70</v>
      </c>
      <c r="N65" t="inlineStr">
        <is>
          <t>Added from current Munitorum Field Manual v4.1 (non-Legends)</t>
        </is>
      </c>
      <c r="O65" t="inlineStr">
        <is>
          <t>https://www.warhammer-community.com/en-gb/downloads/warhammer-40000/</t>
        </is>
      </c>
    </row>
    <row r="66">
      <c r="A66" t="inlineStr">
        <is>
          <t>Aeldari</t>
        </is>
      </c>
      <c r="C66" t="inlineStr">
        <is>
          <t>Infantry / Other</t>
        </is>
      </c>
      <c r="D66" t="inlineStr">
        <is>
          <t>Infantry</t>
        </is>
      </c>
      <c r="E66" t="inlineStr">
        <is>
          <t>Starweaver</t>
        </is>
      </c>
      <c r="F66" t="inlineStr">
        <is>
          <t>1 model</t>
        </is>
      </c>
      <c r="G66" t="inlineStr">
        <is>
          <t>Infantry</t>
        </is>
      </c>
      <c r="L66" t="n">
        <v>80</v>
      </c>
      <c r="N66" t="inlineStr">
        <is>
          <t>Added from current Munitorum Field Manual v4.1 (non-Legends)</t>
        </is>
      </c>
      <c r="O66" t="inlineStr">
        <is>
          <t>https://www.warhammer-community.com/en-gb/downloads/warhammer-40000/</t>
        </is>
      </c>
    </row>
    <row r="67">
      <c r="A67" t="inlineStr">
        <is>
          <t>Aeldari</t>
        </is>
      </c>
      <c r="C67" t="inlineStr">
        <is>
          <t>Infantry / Other</t>
        </is>
      </c>
      <c r="D67" t="inlineStr">
        <is>
          <t>Infantry</t>
        </is>
      </c>
      <c r="E67" t="inlineStr">
        <is>
          <t>Storm Guardians</t>
        </is>
      </c>
      <c r="F67" t="inlineStr">
        <is>
          <t>11 models</t>
        </is>
      </c>
      <c r="G67" t="inlineStr">
        <is>
          <t>Infantry</t>
        </is>
      </c>
      <c r="L67" t="n">
        <v>110</v>
      </c>
      <c r="N67" t="inlineStr">
        <is>
          <t>Added from current Munitorum Field Manual v4.1 (non-Legends)</t>
        </is>
      </c>
      <c r="O67" t="inlineStr">
        <is>
          <t>https://www.warhammer-community.com/en-gb/downloads/warhammer-40000/</t>
        </is>
      </c>
    </row>
    <row r="68">
      <c r="A68" t="inlineStr">
        <is>
          <t>Aeldari</t>
        </is>
      </c>
      <c r="C68" t="inlineStr">
        <is>
          <t>Character</t>
        </is>
      </c>
      <c r="D68" t="inlineStr">
        <is>
          <t>Character</t>
        </is>
      </c>
      <c r="E68" t="inlineStr">
        <is>
          <t>Troupe Master</t>
        </is>
      </c>
      <c r="F68" t="inlineStr">
        <is>
          <t>1 model</t>
        </is>
      </c>
      <c r="G68" t="inlineStr">
        <is>
          <t>Character</t>
        </is>
      </c>
      <c r="L68" t="n">
        <v>75</v>
      </c>
      <c r="N68" t="inlineStr">
        <is>
          <t>Added from current Munitorum Field Manual v4.1 (non-Legends)</t>
        </is>
      </c>
      <c r="O68" t="inlineStr">
        <is>
          <t>https://www.warhammer-community.com/en-gb/downloads/warhammer-40000/</t>
        </is>
      </c>
    </row>
    <row r="69">
      <c r="A69" t="inlineStr">
        <is>
          <t>Aeldari</t>
        </is>
      </c>
      <c r="C69" t="inlineStr">
        <is>
          <t>Infantry / Other</t>
        </is>
      </c>
      <c r="D69" t="inlineStr">
        <is>
          <t>Infantry</t>
        </is>
      </c>
      <c r="E69" t="inlineStr">
        <is>
          <t>Vibro Cannon Platform</t>
        </is>
      </c>
      <c r="F69" t="inlineStr">
        <is>
          <t>1 model</t>
        </is>
      </c>
      <c r="G69" t="inlineStr">
        <is>
          <t>Infantry</t>
        </is>
      </c>
      <c r="L69" t="n">
        <v>60</v>
      </c>
      <c r="N69" t="inlineStr">
        <is>
          <t>Added from current Munitorum Field Manual v4.1 (non-Legends)</t>
        </is>
      </c>
      <c r="O69" t="inlineStr">
        <is>
          <t>https://www.warhammer-community.com/en-gb/downloads/warhammer-40000/</t>
        </is>
      </c>
    </row>
    <row r="70">
      <c r="A70" t="inlineStr">
        <is>
          <t>Aeldari</t>
        </is>
      </c>
      <c r="C70" t="inlineStr">
        <is>
          <t>Infantry / Other</t>
        </is>
      </c>
      <c r="D70" t="inlineStr">
        <is>
          <t>Infantry</t>
        </is>
      </c>
      <c r="E70" t="inlineStr">
        <is>
          <t>Voidweaver</t>
        </is>
      </c>
      <c r="F70" t="inlineStr">
        <is>
          <t>1 model</t>
        </is>
      </c>
      <c r="G70" t="inlineStr">
        <is>
          <t>Infantry</t>
        </is>
      </c>
      <c r="L70" t="n">
        <v>115</v>
      </c>
      <c r="N70" t="inlineStr">
        <is>
          <t>Added from current Munitorum Field Manual v4.1 (non-Legends)</t>
        </is>
      </c>
      <c r="O70" t="inlineStr">
        <is>
          <t>https://www.warhammer-community.com/en-gb/downloads/warhammer-40000/</t>
        </is>
      </c>
    </row>
    <row r="71">
      <c r="A71" t="inlineStr">
        <is>
          <t>Aeldari</t>
        </is>
      </c>
      <c r="C71" t="inlineStr">
        <is>
          <t>Infantry / Other</t>
        </is>
      </c>
      <c r="D71" t="inlineStr">
        <is>
          <t>Infantry</t>
        </is>
      </c>
      <c r="E71" t="inlineStr">
        <is>
          <t>Vyper</t>
        </is>
      </c>
      <c r="F71" t="inlineStr">
        <is>
          <t>1 model</t>
        </is>
      </c>
      <c r="G71" t="inlineStr">
        <is>
          <t>Infantry</t>
        </is>
      </c>
      <c r="L71" t="n">
        <v>75</v>
      </c>
      <c r="N71" t="inlineStr">
        <is>
          <t>Added from current Munitorum Field Manual v4.1 (non-Legends)</t>
        </is>
      </c>
      <c r="O71" t="inlineStr">
        <is>
          <t>https://www.warhammer-community.com/en-gb/downloads/warhammer-40000/</t>
        </is>
      </c>
    </row>
    <row r="72">
      <c r="A72" t="inlineStr">
        <is>
          <t>Aeldari</t>
        </is>
      </c>
      <c r="C72" t="inlineStr">
        <is>
          <t>Infantry / Other</t>
        </is>
      </c>
      <c r="D72" t="inlineStr">
        <is>
          <t>Infantry</t>
        </is>
      </c>
      <c r="E72" t="inlineStr">
        <is>
          <t>War Walkers</t>
        </is>
      </c>
      <c r="F72" t="inlineStr">
        <is>
          <t>1 model</t>
        </is>
      </c>
      <c r="G72" t="inlineStr">
        <is>
          <t>Infantry</t>
        </is>
      </c>
      <c r="L72" t="n">
        <v>85</v>
      </c>
      <c r="N72" t="inlineStr">
        <is>
          <t>Added from current Munitorum Field Manual v4.1 (non-Legends)</t>
        </is>
      </c>
      <c r="O72" t="inlineStr">
        <is>
          <t>https://www.warhammer-community.com/en-gb/downloads/warhammer-40000/</t>
        </is>
      </c>
    </row>
    <row r="73">
      <c r="A73" t="inlineStr">
        <is>
          <t>Aeldari</t>
        </is>
      </c>
      <c r="C73" t="inlineStr">
        <is>
          <t>Character</t>
        </is>
      </c>
      <c r="D73" t="inlineStr">
        <is>
          <t>Character</t>
        </is>
      </c>
      <c r="E73" t="inlineStr">
        <is>
          <t>Warlock Skyrunners</t>
        </is>
      </c>
      <c r="F73" t="inlineStr">
        <is>
          <t>1 model</t>
        </is>
      </c>
      <c r="G73" t="inlineStr">
        <is>
          <t>Character</t>
        </is>
      </c>
      <c r="L73" t="n">
        <v>45</v>
      </c>
      <c r="N73" t="inlineStr">
        <is>
          <t>Added from current Munitorum Field Manual v4.1 (non-Legends)</t>
        </is>
      </c>
      <c r="O73" t="inlineStr">
        <is>
          <t>https://www.warhammer-community.com/en-gb/downloads/warhammer-40000/</t>
        </is>
      </c>
    </row>
    <row r="74">
      <c r="A74" t="inlineStr">
        <is>
          <t>Aeldari</t>
        </is>
      </c>
      <c r="C74" t="inlineStr">
        <is>
          <t>Infantry / Other</t>
        </is>
      </c>
      <c r="D74" t="inlineStr">
        <is>
          <t>Infantry</t>
        </is>
      </c>
      <c r="E74" t="inlineStr">
        <is>
          <t>Wraithknight With Ghostglaive</t>
        </is>
      </c>
      <c r="F74" t="inlineStr">
        <is>
          <t>1 model</t>
        </is>
      </c>
      <c r="G74" t="inlineStr">
        <is>
          <t>Infantry</t>
        </is>
      </c>
      <c r="L74" t="n">
        <v>405</v>
      </c>
      <c r="M74" t="inlineStr">
        <is>
          <t>Your 1st Unit Costs: 1 models = 405 pts | Your 2nd + Unit Costs: 1 models = 425 pts</t>
        </is>
      </c>
      <c r="N74" t="inlineStr">
        <is>
          <t>Added from current Munitorum Field Manual v4.1 (non-Legends)</t>
        </is>
      </c>
      <c r="O74" t="inlineStr">
        <is>
          <t>https://www.warhammer-community.com/en-gb/downloads/warhammer-40000/</t>
        </is>
      </c>
    </row>
    <row r="75">
      <c r="A75" t="inlineStr">
        <is>
          <t>Aeldari</t>
        </is>
      </c>
      <c r="C75" t="inlineStr">
        <is>
          <t>Character</t>
        </is>
      </c>
      <c r="D75" t="inlineStr">
        <is>
          <t>Character</t>
        </is>
      </c>
      <c r="E75" t="inlineStr">
        <is>
          <t>Ynnari Archon</t>
        </is>
      </c>
      <c r="F75" t="inlineStr">
        <is>
          <t>1 model</t>
        </is>
      </c>
      <c r="G75" t="inlineStr">
        <is>
          <t>Character</t>
        </is>
      </c>
      <c r="L75" t="n">
        <v>85</v>
      </c>
      <c r="N75" t="inlineStr">
        <is>
          <t>Added from current Munitorum Field Manual v4.1 (non-Legends)</t>
        </is>
      </c>
      <c r="O75" t="inlineStr">
        <is>
          <t>https://www.warhammer-community.com/en-gb/downloads/warhammer-40000/</t>
        </is>
      </c>
    </row>
    <row r="76">
      <c r="A76" t="inlineStr">
        <is>
          <t>Aeldari</t>
        </is>
      </c>
      <c r="C76" t="inlineStr">
        <is>
          <t>Infantry / Other</t>
        </is>
      </c>
      <c r="D76" t="inlineStr">
        <is>
          <t>Infantry</t>
        </is>
      </c>
      <c r="E76" t="inlineStr">
        <is>
          <t>Ynnari Incubi</t>
        </is>
      </c>
      <c r="F76" t="inlineStr">
        <is>
          <t>5 models</t>
        </is>
      </c>
      <c r="G76" t="inlineStr">
        <is>
          <t>Infantry</t>
        </is>
      </c>
      <c r="L76" t="n">
        <v>80</v>
      </c>
      <c r="M76" t="inlineStr">
        <is>
          <t>Your 1st To 2nd Units Cost: 5 models = 80 pts; 10 models = 160 pts | Your 3rd + Unit Costs: 5 models = 90 pts; 10 models = 170 pts</t>
        </is>
      </c>
      <c r="N76" t="inlineStr">
        <is>
          <t>Added from current Munitorum Field Manual v4.1 (non-Legends)</t>
        </is>
      </c>
      <c r="O76" t="inlineStr">
        <is>
          <t>https://www.warhammer-community.com/en-gb/downloads/warhammer-40000/</t>
        </is>
      </c>
    </row>
    <row r="77">
      <c r="A77" t="inlineStr">
        <is>
          <t>Aeldari</t>
        </is>
      </c>
      <c r="C77" t="inlineStr">
        <is>
          <t>Infantry / Other</t>
        </is>
      </c>
      <c r="D77" t="inlineStr">
        <is>
          <t>Infantry</t>
        </is>
      </c>
      <c r="E77" t="inlineStr">
        <is>
          <t>Ynnari Kabalite Warriors</t>
        </is>
      </c>
      <c r="F77" t="inlineStr">
        <is>
          <t>10 models</t>
        </is>
      </c>
      <c r="G77" t="inlineStr">
        <is>
          <t>Infantry</t>
        </is>
      </c>
      <c r="L77" t="n">
        <v>110</v>
      </c>
      <c r="N77" t="inlineStr">
        <is>
          <t>Added from current Munitorum Field Manual v4.1 (non-Legends)</t>
        </is>
      </c>
      <c r="O77" t="inlineStr">
        <is>
          <t>https://www.warhammer-community.com/en-gb/downloads/warhammer-40000/</t>
        </is>
      </c>
    </row>
    <row r="78">
      <c r="A78" t="inlineStr">
        <is>
          <t>Aeldari</t>
        </is>
      </c>
      <c r="C78" t="inlineStr">
        <is>
          <t>Vehicle / Support</t>
        </is>
      </c>
      <c r="D78" t="inlineStr">
        <is>
          <t>Vehicle</t>
        </is>
      </c>
      <c r="E78" t="inlineStr">
        <is>
          <t>Ynnari Raider</t>
        </is>
      </c>
      <c r="F78" t="inlineStr">
        <is>
          <t>1 model</t>
        </is>
      </c>
      <c r="G78" t="inlineStr">
        <is>
          <t>Vehicle</t>
        </is>
      </c>
      <c r="L78" t="n">
        <v>80</v>
      </c>
      <c r="N78" t="inlineStr">
        <is>
          <t>Added from current Munitorum Field Manual v4.1 (non-Legends)</t>
        </is>
      </c>
      <c r="O78" t="inlineStr">
        <is>
          <t>https://www.warhammer-community.com/en-gb/downloads/warhammer-40000/</t>
        </is>
      </c>
    </row>
    <row r="79">
      <c r="A79" t="inlineStr">
        <is>
          <t>Aeldari</t>
        </is>
      </c>
      <c r="C79" t="inlineStr">
        <is>
          <t>Infantry / Other</t>
        </is>
      </c>
      <c r="D79" t="inlineStr">
        <is>
          <t>Infantry</t>
        </is>
      </c>
      <c r="E79" t="inlineStr">
        <is>
          <t>Ynnari Reavers</t>
        </is>
      </c>
      <c r="F79" t="inlineStr">
        <is>
          <t>3 models</t>
        </is>
      </c>
      <c r="G79" t="inlineStr">
        <is>
          <t>Infantry</t>
        </is>
      </c>
      <c r="L79" t="n">
        <v>65</v>
      </c>
      <c r="N79" t="inlineStr">
        <is>
          <t>Added from current Munitorum Field Manual v4.1 (non-Legends)</t>
        </is>
      </c>
      <c r="O79" t="inlineStr">
        <is>
          <t>https://www.warhammer-community.com/en-gb/downloads/warhammer-40000/</t>
        </is>
      </c>
    </row>
    <row r="80">
      <c r="A80" t="inlineStr">
        <is>
          <t>Aeldari</t>
        </is>
      </c>
      <c r="C80" t="inlineStr">
        <is>
          <t>Character</t>
        </is>
      </c>
      <c r="D80" t="inlineStr">
        <is>
          <t>Character</t>
        </is>
      </c>
      <c r="E80" t="inlineStr">
        <is>
          <t>Ynnari Succubus</t>
        </is>
      </c>
      <c r="F80" t="inlineStr">
        <is>
          <t>1 model</t>
        </is>
      </c>
      <c r="G80" t="inlineStr">
        <is>
          <t>Character</t>
        </is>
      </c>
      <c r="L80" t="n">
        <v>45</v>
      </c>
      <c r="N80" t="inlineStr">
        <is>
          <t>Added from current Munitorum Field Manual v4.1 (non-Legends)</t>
        </is>
      </c>
      <c r="O80" t="inlineStr">
        <is>
          <t>https://www.warhammer-community.com/en-gb/downloads/warhammer-40000/</t>
        </is>
      </c>
    </row>
    <row r="81">
      <c r="A81" t="inlineStr">
        <is>
          <t>Aeldari</t>
        </is>
      </c>
      <c r="C81" t="inlineStr">
        <is>
          <t>Infantry / Other</t>
        </is>
      </c>
      <c r="D81" t="inlineStr">
        <is>
          <t>Infantry</t>
        </is>
      </c>
      <c r="E81" t="inlineStr">
        <is>
          <t>Ynnari Venom</t>
        </is>
      </c>
      <c r="F81" t="inlineStr">
        <is>
          <t>1 model</t>
        </is>
      </c>
      <c r="G81" t="inlineStr">
        <is>
          <t>Infantry</t>
        </is>
      </c>
      <c r="L81" t="n">
        <v>70</v>
      </c>
      <c r="N81" t="inlineStr">
        <is>
          <t>Added from current Munitorum Field Manual v4.1 (non-Legends)</t>
        </is>
      </c>
      <c r="O81" t="inlineStr">
        <is>
          <t>https://www.warhammer-community.com/en-gb/downloads/warhammer-40000/</t>
        </is>
      </c>
    </row>
    <row r="82">
      <c r="A82" t="inlineStr">
        <is>
          <t>Aeldari</t>
        </is>
      </c>
      <c r="C82" t="inlineStr">
        <is>
          <t>Infantry / Other</t>
        </is>
      </c>
      <c r="D82" t="inlineStr">
        <is>
          <t>Infantry</t>
        </is>
      </c>
      <c r="E82" t="inlineStr">
        <is>
          <t>Ynnari Wyches</t>
        </is>
      </c>
      <c r="F82" t="inlineStr">
        <is>
          <t>10 models</t>
        </is>
      </c>
      <c r="G82" t="inlineStr">
        <is>
          <t>Infantry</t>
        </is>
      </c>
      <c r="L82" t="n">
        <v>90</v>
      </c>
      <c r="N82" t="inlineStr">
        <is>
          <t>Added from current Munitorum Field Manual v4.1 (non-Legends)</t>
        </is>
      </c>
      <c r="O82"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Astra Militarum</t>
        </is>
      </c>
      <c r="C2" t="inlineStr">
        <is>
          <t>Vehicle / Support</t>
        </is>
      </c>
      <c r="D2" t="inlineStr">
        <is>
          <t>Walker / Battlesuit</t>
        </is>
      </c>
      <c r="E2" t="inlineStr">
        <is>
          <t>Armoured Sentinels</t>
        </is>
      </c>
      <c r="F2" t="inlineStr">
        <is>
          <t>1 model</t>
        </is>
      </c>
      <c r="G2" t="inlineStr">
        <is>
          <t>Walker / Battlesuit</t>
        </is>
      </c>
      <c r="L2" s="60" t="n">
        <v>65</v>
      </c>
      <c r="M2" s="54" t="inlineStr">
        <is>
          <t>Points options: 1 model = 65 pts; 2 models = 130 pts</t>
        </is>
      </c>
      <c r="N2" s="54" t="inlineStr">
        <is>
          <t>Matched to Munitorum Field Manual v2.3</t>
        </is>
      </c>
      <c r="O2" s="54" t="inlineStr">
        <is>
          <t>Uploaded PDF: Munitorum Field Manual v2.3 / March 2025, p.8</t>
        </is>
      </c>
    </row>
    <row r="3">
      <c r="A3" t="inlineStr">
        <is>
          <t>Astra Militarum</t>
        </is>
      </c>
      <c r="C3" t="inlineStr">
        <is>
          <t>Infantry / Other</t>
        </is>
      </c>
      <c r="D3" t="inlineStr">
        <is>
          <t>Mounted / Bike</t>
        </is>
      </c>
      <c r="E3" t="inlineStr">
        <is>
          <t>Attilan Rough Riders</t>
        </is>
      </c>
      <c r="F3" t="inlineStr">
        <is>
          <t>5 models</t>
        </is>
      </c>
      <c r="G3" t="inlineStr">
        <is>
          <t>Mounted / Bike</t>
        </is>
      </c>
      <c r="L3" s="60" t="n">
        <v>60</v>
      </c>
      <c r="M3" s="54" t="inlineStr">
        <is>
          <t>Points options: 5 models = 60 pts; 10 models = 120 pts</t>
        </is>
      </c>
      <c r="N3" s="54" t="inlineStr">
        <is>
          <t>Matched to Munitorum Field Manual v2.3</t>
        </is>
      </c>
      <c r="O3" s="54" t="inlineStr">
        <is>
          <t>Uploaded PDF: Munitorum Field Manual v2.3 / March 2025, p.8</t>
        </is>
      </c>
    </row>
    <row r="4">
      <c r="A4" t="inlineStr">
        <is>
          <t>Astra Militarum</t>
        </is>
      </c>
      <c r="C4" t="inlineStr">
        <is>
          <t>Vehicle / Support</t>
        </is>
      </c>
      <c r="D4" t="inlineStr">
        <is>
          <t>Super-heavy Vehicle/Monster</t>
        </is>
      </c>
      <c r="E4" t="inlineStr">
        <is>
          <t>Baneblade</t>
        </is>
      </c>
      <c r="F4" t="inlineStr">
        <is>
          <t>1 model</t>
        </is>
      </c>
      <c r="G4" t="inlineStr">
        <is>
          <t>Super-heavy Vehicle/Monster</t>
        </is>
      </c>
      <c r="L4" s="60" t="n">
        <v>480</v>
      </c>
      <c r="M4" s="54" t="str"/>
      <c r="N4" s="54" t="inlineStr">
        <is>
          <t>Matched to Munitorum Field Manual v2.3</t>
        </is>
      </c>
      <c r="O4" s="54" t="inlineStr">
        <is>
          <t>Uploaded PDF: Munitorum Field Manual v2.3 / March 2025, p.8</t>
        </is>
      </c>
    </row>
    <row r="5">
      <c r="A5" t="inlineStr">
        <is>
          <t>Astra Militarum</t>
        </is>
      </c>
      <c r="C5" t="inlineStr">
        <is>
          <t>Vehicle / Support</t>
        </is>
      </c>
      <c r="D5" t="inlineStr">
        <is>
          <t>Super-heavy Vehicle/Monster</t>
        </is>
      </c>
      <c r="E5" t="inlineStr">
        <is>
          <t>Banehammer</t>
        </is>
      </c>
      <c r="F5" t="inlineStr">
        <is>
          <t>1 model</t>
        </is>
      </c>
      <c r="G5" t="inlineStr">
        <is>
          <t>Super-heavy Vehicle/Monster</t>
        </is>
      </c>
      <c r="L5" s="60" t="n">
        <v>450</v>
      </c>
      <c r="M5" s="54" t="str"/>
      <c r="N5" s="54" t="inlineStr">
        <is>
          <t>Matched to Munitorum Field Manual v2.3</t>
        </is>
      </c>
      <c r="O5" s="54" t="inlineStr">
        <is>
          <t>Uploaded PDF: Munitorum Field Manual v2.3 / March 2025, p.8</t>
        </is>
      </c>
    </row>
    <row r="6">
      <c r="A6" t="inlineStr">
        <is>
          <t>Astra Militarum</t>
        </is>
      </c>
      <c r="C6" t="inlineStr">
        <is>
          <t>Vehicle / Support</t>
        </is>
      </c>
      <c r="D6" t="inlineStr">
        <is>
          <t>Super-heavy Vehicle/Monster</t>
        </is>
      </c>
      <c r="E6" t="inlineStr">
        <is>
          <t>Banesword</t>
        </is>
      </c>
      <c r="F6" t="inlineStr">
        <is>
          <t>1 model</t>
        </is>
      </c>
      <c r="G6" t="inlineStr">
        <is>
          <t>Super-heavy Vehicle/Monster</t>
        </is>
      </c>
      <c r="L6" s="60" t="n">
        <v>480</v>
      </c>
      <c r="M6" s="54" t="str"/>
      <c r="N6" s="54" t="inlineStr">
        <is>
          <t>Matched to Munitorum Field Manual v2.3</t>
        </is>
      </c>
      <c r="O6" s="54" t="inlineStr">
        <is>
          <t>Uploaded PDF: Munitorum Field Manual v2.3 / March 2025, p.8</t>
        </is>
      </c>
    </row>
    <row r="7">
      <c r="A7" t="inlineStr">
        <is>
          <t>Astra Militarum</t>
        </is>
      </c>
      <c r="C7" t="inlineStr">
        <is>
          <t>Vehicle / Support</t>
        </is>
      </c>
      <c r="D7" t="inlineStr">
        <is>
          <t>Vehicle</t>
        </is>
      </c>
      <c r="E7" t="inlineStr">
        <is>
          <t>Basilisk</t>
        </is>
      </c>
      <c r="F7" t="inlineStr">
        <is>
          <t>1 model</t>
        </is>
      </c>
      <c r="G7" t="inlineStr">
        <is>
          <t>Vehicle</t>
        </is>
      </c>
      <c r="L7" s="60" t="n">
        <v>140</v>
      </c>
      <c r="M7" s="54" t="str"/>
      <c r="N7" s="54" t="inlineStr">
        <is>
          <t>Matched to Munitorum Field Manual v2.3</t>
        </is>
      </c>
      <c r="O7" s="54" t="inlineStr">
        <is>
          <t>Uploaded PDF: Munitorum Field Manual v2.3 / March 2025, p.8</t>
        </is>
      </c>
    </row>
    <row r="8">
      <c r="A8" t="inlineStr">
        <is>
          <t>Astra Militarum</t>
        </is>
      </c>
      <c r="C8" t="inlineStr">
        <is>
          <t>Infantry / Other</t>
        </is>
      </c>
      <c r="D8" t="inlineStr">
        <is>
          <t>Infantry</t>
        </is>
      </c>
      <c r="E8" t="inlineStr">
        <is>
          <t>Bullgryn Squad</t>
        </is>
      </c>
      <c r="F8" t="inlineStr">
        <is>
          <t>3 models</t>
        </is>
      </c>
      <c r="G8" t="inlineStr">
        <is>
          <t>Infantry</t>
        </is>
      </c>
      <c r="L8" s="60" t="n">
        <v>110</v>
      </c>
      <c r="M8" s="54" t="inlineStr">
        <is>
          <t>Points options: 3 models = 110 pts; 6 models = 220 pts</t>
        </is>
      </c>
      <c r="N8" s="54" t="inlineStr">
        <is>
          <t>Matched to Munitorum Field Manual v2.3</t>
        </is>
      </c>
      <c r="O8" s="54" t="inlineStr">
        <is>
          <t>Uploaded PDF: Munitorum Field Manual v2.3 / March 2025, p.8</t>
        </is>
      </c>
    </row>
    <row r="9">
      <c r="A9" t="inlineStr">
        <is>
          <t>Astra Militarum</t>
        </is>
      </c>
      <c r="C9" t="inlineStr">
        <is>
          <t>Infantry / Other</t>
        </is>
      </c>
      <c r="D9" t="inlineStr">
        <is>
          <t>Infantry</t>
        </is>
      </c>
      <c r="E9" t="inlineStr">
        <is>
          <t>Cadian Castellan</t>
        </is>
      </c>
      <c r="F9" t="inlineStr">
        <is>
          <t>1 model</t>
        </is>
      </c>
      <c r="G9" t="inlineStr">
        <is>
          <t>Infantry</t>
        </is>
      </c>
      <c r="L9" s="60" t="n">
        <v>55</v>
      </c>
      <c r="M9" s="54" t="str"/>
      <c r="N9" s="54" t="inlineStr">
        <is>
          <t>Matched to Munitorum Field Manual v2.3</t>
        </is>
      </c>
      <c r="O9" s="54" t="inlineStr">
        <is>
          <t>Uploaded PDF: Munitorum Field Manual v2.3 / March 2025, p.8</t>
        </is>
      </c>
    </row>
    <row r="10">
      <c r="A10" t="inlineStr">
        <is>
          <t>Astra Militarum</t>
        </is>
      </c>
      <c r="C10" t="inlineStr">
        <is>
          <t>Infantry / Other</t>
        </is>
      </c>
      <c r="D10" t="inlineStr">
        <is>
          <t>Infantry</t>
        </is>
      </c>
      <c r="E10" t="inlineStr">
        <is>
          <t>Cadian Command Squad</t>
        </is>
      </c>
      <c r="F10" t="inlineStr">
        <is>
          <t>5 models</t>
        </is>
      </c>
      <c r="G10" t="inlineStr">
        <is>
          <t>Infantry</t>
        </is>
      </c>
      <c r="L10" s="60" t="n">
        <v>65</v>
      </c>
      <c r="M10" s="54" t="str"/>
      <c r="N10" s="54" t="inlineStr">
        <is>
          <t>Matched to Munitorum Field Manual v2.3</t>
        </is>
      </c>
      <c r="O10" s="54" t="inlineStr">
        <is>
          <t>Uploaded PDF: Munitorum Field Manual v2.3 / March 2025, p.8</t>
        </is>
      </c>
    </row>
    <row r="11">
      <c r="A11" t="inlineStr">
        <is>
          <t>Astra Militarum</t>
        </is>
      </c>
      <c r="C11" t="inlineStr">
        <is>
          <t>Battleline / Core</t>
        </is>
      </c>
      <c r="D11" t="inlineStr">
        <is>
          <t>Infantry</t>
        </is>
      </c>
      <c r="E11" t="inlineStr">
        <is>
          <t>Cadian Shock Troops</t>
        </is>
      </c>
      <c r="F11" t="inlineStr">
        <is>
          <t>10 models</t>
        </is>
      </c>
      <c r="G11" t="inlineStr">
        <is>
          <t>Infantry</t>
        </is>
      </c>
      <c r="L11" s="60" t="n">
        <v>65</v>
      </c>
      <c r="M11" s="54" t="inlineStr">
        <is>
          <t>Points options: 10 models = 65 pts; 20 models = 120 pts</t>
        </is>
      </c>
      <c r="N11" s="54" t="inlineStr">
        <is>
          <t>Matched to Munitorum Field Manual v2.3</t>
        </is>
      </c>
      <c r="O11" s="54" t="inlineStr">
        <is>
          <t>Uploaded PDF: Munitorum Field Manual v2.3 / March 2025, p.8</t>
        </is>
      </c>
    </row>
    <row r="12">
      <c r="A12" t="inlineStr">
        <is>
          <t>Astra Militarum</t>
        </is>
      </c>
      <c r="C12" t="inlineStr">
        <is>
          <t>Infantry / Other</t>
        </is>
      </c>
      <c r="D12" t="inlineStr">
        <is>
          <t>Infantry</t>
        </is>
      </c>
      <c r="E12" t="inlineStr">
        <is>
          <t>Catachan Jungle Fighters</t>
        </is>
      </c>
      <c r="F12" t="inlineStr">
        <is>
          <t>10 models</t>
        </is>
      </c>
      <c r="G12" t="inlineStr">
        <is>
          <t>Infantry</t>
        </is>
      </c>
      <c r="L12" s="60" t="n">
        <v>65</v>
      </c>
      <c r="M12" s="54" t="inlineStr">
        <is>
          <t>Points options: 10 models = 65 pts; 20 models = 120 pts</t>
        </is>
      </c>
      <c r="N12" s="54" t="inlineStr">
        <is>
          <t>Matched to Munitorum Field Manual v2.3</t>
        </is>
      </c>
      <c r="O12" s="54" t="inlineStr">
        <is>
          <t>Uploaded PDF: Munitorum Field Manual v2.3 / March 2025, p.8</t>
        </is>
      </c>
    </row>
    <row r="13">
      <c r="A13" t="inlineStr">
        <is>
          <t>Astra Militarum</t>
        </is>
      </c>
      <c r="C13" t="inlineStr">
        <is>
          <t>Vehicle / Support</t>
        </is>
      </c>
      <c r="D13" t="inlineStr">
        <is>
          <t>Vehicle</t>
        </is>
      </c>
      <c r="E13" t="inlineStr">
        <is>
          <t>Chimera</t>
        </is>
      </c>
      <c r="F13" t="inlineStr">
        <is>
          <t>1 model</t>
        </is>
      </c>
      <c r="G13" t="inlineStr">
        <is>
          <t>Vehicle</t>
        </is>
      </c>
      <c r="L13" s="60" t="n">
        <v>85</v>
      </c>
      <c r="M13" s="54" t="str"/>
      <c r="N13" s="54" t="inlineStr">
        <is>
          <t>Matched to Munitorum Field Manual v2.3</t>
        </is>
      </c>
      <c r="O13" s="54" t="inlineStr">
        <is>
          <t>Uploaded PDF: Munitorum Field Manual v2.3 / March 2025, p.8</t>
        </is>
      </c>
    </row>
    <row r="14">
      <c r="A14" t="inlineStr">
        <is>
          <t>Astra Militarum</t>
        </is>
      </c>
      <c r="C14" t="inlineStr">
        <is>
          <t>Character</t>
        </is>
      </c>
      <c r="D14" t="inlineStr">
        <is>
          <t>Character</t>
        </is>
      </c>
      <c r="E14" t="inlineStr">
        <is>
          <t>Commissar</t>
        </is>
      </c>
      <c r="F14" t="inlineStr">
        <is>
          <t>1 model</t>
        </is>
      </c>
      <c r="G14" t="inlineStr">
        <is>
          <t>Character</t>
        </is>
      </c>
      <c r="L14" s="60" t="n">
        <v>30</v>
      </c>
      <c r="M14" s="54" t="str"/>
      <c r="N14" s="54" t="inlineStr">
        <is>
          <t>Matched to Munitorum Field Manual v2.3</t>
        </is>
      </c>
      <c r="O14" s="54" t="inlineStr">
        <is>
          <t>Uploaded PDF: Munitorum Field Manual v2.3 / March 2025, p.8</t>
        </is>
      </c>
    </row>
    <row r="15">
      <c r="A15" t="inlineStr">
        <is>
          <t>Astra Militarum</t>
        </is>
      </c>
      <c r="C15" t="inlineStr">
        <is>
          <t>Character</t>
        </is>
      </c>
      <c r="D15" t="inlineStr">
        <is>
          <t>Character</t>
        </is>
      </c>
      <c r="E15" t="inlineStr">
        <is>
          <t>Death Korps Marshal</t>
        </is>
      </c>
      <c r="G15" t="inlineStr">
        <is>
          <t>Character</t>
        </is>
      </c>
      <c r="L15" s="60" t="n"/>
      <c r="M15" s="54" t="inlineStr">
        <is>
          <t>No matching points entry found in uploaded PDF; verify unit name/current support.</t>
        </is>
      </c>
      <c r="N15" s="54" t="inlineStr">
        <is>
          <t>Not found in uploaded PDF</t>
        </is>
      </c>
      <c r="O15" s="54" t="inlineStr">
        <is>
          <t>Uploaded PDF: Munitorum Field Manual v2.3 / March 2025</t>
        </is>
      </c>
    </row>
    <row r="16">
      <c r="A16" t="inlineStr">
        <is>
          <t>Astra Militarum</t>
        </is>
      </c>
      <c r="C16" t="inlineStr">
        <is>
          <t>Infantry / Other</t>
        </is>
      </c>
      <c r="D16" t="inlineStr">
        <is>
          <t>Infantry</t>
        </is>
      </c>
      <c r="E16" t="inlineStr">
        <is>
          <t>Death Korps of Krieg</t>
        </is>
      </c>
      <c r="F16" t="inlineStr">
        <is>
          <t>10 models</t>
        </is>
      </c>
      <c r="G16" t="inlineStr">
        <is>
          <t>Infantry</t>
        </is>
      </c>
      <c r="L16" s="60" t="n">
        <v>65</v>
      </c>
      <c r="M16" s="54" t="inlineStr">
        <is>
          <t>Points options: 10 models = 65 pts; 20 models = 130 pts</t>
        </is>
      </c>
      <c r="N16" s="54" t="inlineStr">
        <is>
          <t>Matched to Munitorum Field Manual v2.3</t>
        </is>
      </c>
      <c r="O16" s="54" t="inlineStr">
        <is>
          <t>Uploaded PDF: Munitorum Field Manual v2.3 / March 2025, p.8</t>
        </is>
      </c>
    </row>
    <row r="17">
      <c r="A17" t="inlineStr">
        <is>
          <t>Astra Militarum</t>
        </is>
      </c>
      <c r="C17" t="inlineStr">
        <is>
          <t>Vehicle / Support</t>
        </is>
      </c>
      <c r="D17" t="inlineStr">
        <is>
          <t>Super-heavy Vehicle/Monster</t>
        </is>
      </c>
      <c r="E17" t="inlineStr">
        <is>
          <t>Doomhammer</t>
        </is>
      </c>
      <c r="F17" t="inlineStr">
        <is>
          <t>1 model</t>
        </is>
      </c>
      <c r="G17" t="inlineStr">
        <is>
          <t>Super-heavy Vehicle/Monster</t>
        </is>
      </c>
      <c r="L17" s="60" t="n">
        <v>445</v>
      </c>
      <c r="M17" s="54" t="str"/>
      <c r="N17" s="54" t="inlineStr">
        <is>
          <t>Matched to Munitorum Field Manual v2.3</t>
        </is>
      </c>
      <c r="O17" s="54" t="inlineStr">
        <is>
          <t>Uploaded PDF: Munitorum Field Manual v2.3 / March 2025, p.8</t>
        </is>
      </c>
    </row>
    <row r="18">
      <c r="A18" t="inlineStr">
        <is>
          <t>Astra Militarum</t>
        </is>
      </c>
      <c r="C18" t="inlineStr">
        <is>
          <t>Infantry / Other</t>
        </is>
      </c>
      <c r="D18" t="inlineStr">
        <is>
          <t>Infantry</t>
        </is>
      </c>
      <c r="E18" t="inlineStr">
        <is>
          <t>Earthshaker Carriage Battery</t>
        </is>
      </c>
      <c r="G18" t="inlineStr">
        <is>
          <t>Infantry</t>
        </is>
      </c>
      <c r="L18" s="60" t="n"/>
      <c r="M18" s="54" t="inlineStr">
        <is>
          <t>No matching points entry found in uploaded PDF; verify unit name/current support.</t>
        </is>
      </c>
      <c r="N18" s="54" t="inlineStr">
        <is>
          <t>Not found in uploaded PDF</t>
        </is>
      </c>
      <c r="O18" s="54" t="inlineStr">
        <is>
          <t>Uploaded PDF: Munitorum Field Manual v2.3 / March 2025</t>
        </is>
      </c>
    </row>
    <row r="19">
      <c r="A19" t="inlineStr">
        <is>
          <t>Astra Militarum</t>
        </is>
      </c>
      <c r="C19" t="inlineStr">
        <is>
          <t>Infantry / Other</t>
        </is>
      </c>
      <c r="D19" t="inlineStr">
        <is>
          <t>Infantry</t>
        </is>
      </c>
      <c r="E19" t="inlineStr">
        <is>
          <t>Field Ordnance Battery</t>
        </is>
      </c>
      <c r="F19" t="inlineStr">
        <is>
          <t>2 models</t>
        </is>
      </c>
      <c r="G19" t="inlineStr">
        <is>
          <t>Infantry</t>
        </is>
      </c>
      <c r="L19" s="60" t="n">
        <v>110</v>
      </c>
      <c r="M19" s="54" t="str"/>
      <c r="N19" s="54" t="inlineStr">
        <is>
          <t>Matched to Munitorum Field Manual v2.3</t>
        </is>
      </c>
      <c r="O19" s="54" t="inlineStr">
        <is>
          <t>Uploaded PDF: Munitorum Field Manual v2.3 / March 2025, p.8</t>
        </is>
      </c>
    </row>
    <row r="20">
      <c r="A20" t="inlineStr">
        <is>
          <t>Astra Militarum</t>
        </is>
      </c>
      <c r="C20" t="inlineStr">
        <is>
          <t>Character</t>
        </is>
      </c>
      <c r="D20" t="inlineStr">
        <is>
          <t>Character</t>
        </is>
      </c>
      <c r="E20" t="inlineStr">
        <is>
          <t>Gaunt's Ghosts</t>
        </is>
      </c>
      <c r="F20" t="inlineStr">
        <is>
          <t>6 models</t>
        </is>
      </c>
      <c r="G20" t="inlineStr">
        <is>
          <t>Character</t>
        </is>
      </c>
      <c r="L20" s="60" t="n">
        <v>110</v>
      </c>
      <c r="M20" s="54" t="str"/>
      <c r="N20" s="54" t="inlineStr">
        <is>
          <t>Matched to Munitorum Field Manual v2.3</t>
        </is>
      </c>
      <c r="O20" s="54" t="inlineStr">
        <is>
          <t>Uploaded PDF: Munitorum Field Manual v2.3 / March 2025, p.8</t>
        </is>
      </c>
    </row>
    <row r="21">
      <c r="A21" t="inlineStr">
        <is>
          <t>Astra Militarum</t>
        </is>
      </c>
      <c r="C21" t="inlineStr">
        <is>
          <t>Infantry / Other</t>
        </is>
      </c>
      <c r="D21" t="inlineStr">
        <is>
          <t>Infantry</t>
        </is>
      </c>
      <c r="E21" t="inlineStr">
        <is>
          <t>Heavy Weapons Squad</t>
        </is>
      </c>
      <c r="G21" t="inlineStr">
        <is>
          <t>Infantry</t>
        </is>
      </c>
      <c r="L21" s="60" t="n"/>
      <c r="M21" s="54" t="inlineStr">
        <is>
          <t>No matching points entry found in uploaded PDF; verify unit name/current support.</t>
        </is>
      </c>
      <c r="N21" s="54" t="inlineStr">
        <is>
          <t>Not found in uploaded PDF</t>
        </is>
      </c>
      <c r="O21" s="54" t="inlineStr">
        <is>
          <t>Uploaded PDF: Munitorum Field Manual v2.3 / March 2025</t>
        </is>
      </c>
    </row>
    <row r="22">
      <c r="A22" t="inlineStr">
        <is>
          <t>Astra Militarum</t>
        </is>
      </c>
      <c r="C22" t="inlineStr">
        <is>
          <t>Vehicle / Support</t>
        </is>
      </c>
      <c r="D22" t="inlineStr">
        <is>
          <t>Super-heavy Vehicle/Monster</t>
        </is>
      </c>
      <c r="E22" t="inlineStr">
        <is>
          <t>Hellhammer</t>
        </is>
      </c>
      <c r="F22" t="inlineStr">
        <is>
          <t>1 model</t>
        </is>
      </c>
      <c r="G22" t="inlineStr">
        <is>
          <t>Super-heavy Vehicle/Monster</t>
        </is>
      </c>
      <c r="L22" s="60" t="n">
        <v>450</v>
      </c>
      <c r="M22" s="54" t="str"/>
      <c r="N22" s="54" t="inlineStr">
        <is>
          <t>Matched to Munitorum Field Manual v2.3</t>
        </is>
      </c>
      <c r="O22" s="54" t="inlineStr">
        <is>
          <t>Uploaded PDF: Munitorum Field Manual v2.3 / March 2025, p.8</t>
        </is>
      </c>
    </row>
    <row r="23">
      <c r="A23" t="inlineStr">
        <is>
          <t>Astra Militarum</t>
        </is>
      </c>
      <c r="C23" t="inlineStr">
        <is>
          <t>Vehicle / Support</t>
        </is>
      </c>
      <c r="D23" t="inlineStr">
        <is>
          <t>Vehicle</t>
        </is>
      </c>
      <c r="E23" t="inlineStr">
        <is>
          <t>Hellhound</t>
        </is>
      </c>
      <c r="F23" t="inlineStr">
        <is>
          <t>1 model</t>
        </is>
      </c>
      <c r="G23" t="inlineStr">
        <is>
          <t>Vehicle</t>
        </is>
      </c>
      <c r="L23" s="60" t="n">
        <v>125</v>
      </c>
      <c r="M23" s="54" t="str"/>
      <c r="N23" s="54" t="inlineStr">
        <is>
          <t>Matched to Munitorum Field Manual v2.3</t>
        </is>
      </c>
      <c r="O23" s="54" t="inlineStr">
        <is>
          <t>Uploaded PDF: Munitorum Field Manual v2.3 / March 2025, p.8</t>
        </is>
      </c>
    </row>
    <row r="24">
      <c r="A24" t="inlineStr">
        <is>
          <t>Astra Militarum</t>
        </is>
      </c>
      <c r="C24" t="inlineStr">
        <is>
          <t>Vehicle / Support</t>
        </is>
      </c>
      <c r="D24" t="inlineStr">
        <is>
          <t>Vehicle</t>
        </is>
      </c>
      <c r="E24" t="inlineStr">
        <is>
          <t>Hydra</t>
        </is>
      </c>
      <c r="F24" t="inlineStr">
        <is>
          <t>1 model</t>
        </is>
      </c>
      <c r="G24" t="inlineStr">
        <is>
          <t>Vehicle</t>
        </is>
      </c>
      <c r="L24" s="60" t="n">
        <v>95</v>
      </c>
      <c r="M24" s="54" t="str"/>
      <c r="N24" s="54" t="inlineStr">
        <is>
          <t>Matched to Munitorum Field Manual v2.3</t>
        </is>
      </c>
      <c r="O24" s="54" t="inlineStr">
        <is>
          <t>Uploaded PDF: Munitorum Field Manual v2.3 / March 2025, p.8</t>
        </is>
      </c>
    </row>
    <row r="25">
      <c r="A25" t="inlineStr">
        <is>
          <t>Astra Militarum</t>
        </is>
      </c>
      <c r="C25" t="inlineStr">
        <is>
          <t>Battleline / Core</t>
        </is>
      </c>
      <c r="D25" t="inlineStr">
        <is>
          <t>Infantry</t>
        </is>
      </c>
      <c r="E25" t="inlineStr">
        <is>
          <t>Infantry Squad</t>
        </is>
      </c>
      <c r="G25" t="inlineStr">
        <is>
          <t>Infantry</t>
        </is>
      </c>
      <c r="L25" s="60" t="n"/>
      <c r="M25" s="54" t="inlineStr">
        <is>
          <t>No matching points entry found in uploaded PDF; verify unit name/current support.</t>
        </is>
      </c>
      <c r="N25" s="54" t="inlineStr">
        <is>
          <t>Not found in uploaded PDF</t>
        </is>
      </c>
      <c r="O25" s="54" t="inlineStr">
        <is>
          <t>Uploaded PDF: Munitorum Field Manual v2.3 / March 2025</t>
        </is>
      </c>
    </row>
    <row r="26">
      <c r="A26" t="inlineStr">
        <is>
          <t>Astra Militarum</t>
        </is>
      </c>
      <c r="C26" t="inlineStr">
        <is>
          <t>Infantry / Other</t>
        </is>
      </c>
      <c r="D26" t="inlineStr">
        <is>
          <t>Infantry</t>
        </is>
      </c>
      <c r="E26" t="inlineStr">
        <is>
          <t>Kasrkin</t>
        </is>
      </c>
      <c r="F26" t="inlineStr">
        <is>
          <t>10 models</t>
        </is>
      </c>
      <c r="G26" t="inlineStr">
        <is>
          <t>Infantry</t>
        </is>
      </c>
      <c r="L26" s="60" t="n">
        <v>110</v>
      </c>
      <c r="M26" s="54" t="str"/>
      <c r="N26" s="54" t="inlineStr">
        <is>
          <t>Matched to Munitorum Field Manual v2.3</t>
        </is>
      </c>
      <c r="O26" s="54" t="inlineStr">
        <is>
          <t>Uploaded PDF: Munitorum Field Manual v2.3 / March 2025, p.8</t>
        </is>
      </c>
    </row>
    <row r="27">
      <c r="A27" t="inlineStr">
        <is>
          <t>Astra Militarum</t>
        </is>
      </c>
      <c r="C27" t="inlineStr">
        <is>
          <t>Vehicle / Support</t>
        </is>
      </c>
      <c r="D27" t="inlineStr">
        <is>
          <t>Vehicle</t>
        </is>
      </c>
      <c r="E27" t="inlineStr">
        <is>
          <t>Leman Russ Battle Tank</t>
        </is>
      </c>
      <c r="F27" t="inlineStr">
        <is>
          <t>1 model</t>
        </is>
      </c>
      <c r="G27" t="inlineStr">
        <is>
          <t>Vehicle</t>
        </is>
      </c>
      <c r="L27" s="60" t="n">
        <v>175</v>
      </c>
      <c r="M27" s="54" t="str"/>
      <c r="N27" s="54" t="inlineStr">
        <is>
          <t>Matched to Munitorum Field Manual v2.3</t>
        </is>
      </c>
      <c r="O27" s="54" t="inlineStr">
        <is>
          <t>Uploaded PDF: Munitorum Field Manual v2.3 / March 2025, p.8</t>
        </is>
      </c>
    </row>
    <row r="28">
      <c r="A28" t="inlineStr">
        <is>
          <t>Astra Militarum</t>
        </is>
      </c>
      <c r="C28" t="inlineStr">
        <is>
          <t>Vehicle / Support</t>
        </is>
      </c>
      <c r="D28" t="inlineStr">
        <is>
          <t>Vehicle</t>
        </is>
      </c>
      <c r="E28" t="inlineStr">
        <is>
          <t>Leman Russ Demolisher</t>
        </is>
      </c>
      <c r="F28" t="inlineStr">
        <is>
          <t>1 model</t>
        </is>
      </c>
      <c r="G28" t="inlineStr">
        <is>
          <t>Vehicle</t>
        </is>
      </c>
      <c r="L28" s="60" t="n">
        <v>190</v>
      </c>
      <c r="M28" s="54" t="str"/>
      <c r="N28" s="54" t="inlineStr">
        <is>
          <t>Matched to Munitorum Field Manual v2.3</t>
        </is>
      </c>
      <c r="O28" s="54" t="inlineStr">
        <is>
          <t>Uploaded PDF: Munitorum Field Manual v2.3 / March 2025, p.8</t>
        </is>
      </c>
    </row>
    <row r="29">
      <c r="A29" t="inlineStr">
        <is>
          <t>Astra Militarum</t>
        </is>
      </c>
      <c r="C29" t="inlineStr">
        <is>
          <t>Vehicle / Support</t>
        </is>
      </c>
      <c r="D29" t="inlineStr">
        <is>
          <t>Vehicle</t>
        </is>
      </c>
      <c r="E29" t="inlineStr">
        <is>
          <t>Leman Russ Eradicator</t>
        </is>
      </c>
      <c r="F29" t="inlineStr">
        <is>
          <t>1 model</t>
        </is>
      </c>
      <c r="G29" t="inlineStr">
        <is>
          <t>Vehicle</t>
        </is>
      </c>
      <c r="L29" s="60" t="n">
        <v>170</v>
      </c>
      <c r="M29" s="54" t="str"/>
      <c r="N29" s="54" t="inlineStr">
        <is>
          <t>Matched to Munitorum Field Manual v2.3</t>
        </is>
      </c>
      <c r="O29" s="54" t="inlineStr">
        <is>
          <t>Uploaded PDF: Munitorum Field Manual v2.3 / March 2025, p.8</t>
        </is>
      </c>
    </row>
    <row r="30">
      <c r="A30" t="inlineStr">
        <is>
          <t>Astra Militarum</t>
        </is>
      </c>
      <c r="C30" t="inlineStr">
        <is>
          <t>Vehicle / Support</t>
        </is>
      </c>
      <c r="D30" t="inlineStr">
        <is>
          <t>Vehicle</t>
        </is>
      </c>
      <c r="E30" t="inlineStr">
        <is>
          <t>Leman Russ Executioner</t>
        </is>
      </c>
      <c r="F30" t="inlineStr">
        <is>
          <t>1 model</t>
        </is>
      </c>
      <c r="G30" t="inlineStr">
        <is>
          <t>Vehicle</t>
        </is>
      </c>
      <c r="L30" s="60" t="n">
        <v>170</v>
      </c>
      <c r="M30" s="54" t="str"/>
      <c r="N30" s="54" t="inlineStr">
        <is>
          <t>Matched to Munitorum Field Manual v2.3</t>
        </is>
      </c>
      <c r="O30" s="54" t="inlineStr">
        <is>
          <t>Uploaded PDF: Munitorum Field Manual v2.3 / March 2025, p.8</t>
        </is>
      </c>
    </row>
    <row r="31">
      <c r="A31" t="inlineStr">
        <is>
          <t>Astra Militarum</t>
        </is>
      </c>
      <c r="C31" t="inlineStr">
        <is>
          <t>Vehicle / Support</t>
        </is>
      </c>
      <c r="D31" t="inlineStr">
        <is>
          <t>Vehicle</t>
        </is>
      </c>
      <c r="E31" t="inlineStr">
        <is>
          <t>Leman Russ Exterminator</t>
        </is>
      </c>
      <c r="F31" t="inlineStr">
        <is>
          <t>1 model</t>
        </is>
      </c>
      <c r="G31" t="inlineStr">
        <is>
          <t>Vehicle</t>
        </is>
      </c>
      <c r="L31" s="60" t="n">
        <v>180</v>
      </c>
      <c r="M31" s="54" t="str"/>
      <c r="N31" s="54" t="inlineStr">
        <is>
          <t>Matched to Munitorum Field Manual v2.3</t>
        </is>
      </c>
      <c r="O31" s="54" t="inlineStr">
        <is>
          <t>Uploaded PDF: Munitorum Field Manual v2.3 / March 2025, p.8</t>
        </is>
      </c>
    </row>
    <row r="32">
      <c r="A32" t="inlineStr">
        <is>
          <t>Astra Militarum</t>
        </is>
      </c>
      <c r="C32" t="inlineStr">
        <is>
          <t>Vehicle / Support</t>
        </is>
      </c>
      <c r="D32" t="inlineStr">
        <is>
          <t>Vehicle</t>
        </is>
      </c>
      <c r="E32" t="inlineStr">
        <is>
          <t>Leman Russ Punisher</t>
        </is>
      </c>
      <c r="F32" t="inlineStr">
        <is>
          <t>1 model</t>
        </is>
      </c>
      <c r="G32" t="inlineStr">
        <is>
          <t>Vehicle</t>
        </is>
      </c>
      <c r="L32" s="60" t="n">
        <v>150</v>
      </c>
      <c r="M32" s="54" t="str"/>
      <c r="N32" s="54" t="inlineStr">
        <is>
          <t>Matched to Munitorum Field Manual v2.3</t>
        </is>
      </c>
      <c r="O32" s="54" t="inlineStr">
        <is>
          <t>Uploaded PDF: Munitorum Field Manual v2.3 / March 2025, p.8</t>
        </is>
      </c>
    </row>
    <row r="33">
      <c r="A33" t="inlineStr">
        <is>
          <t>Astra Militarum</t>
        </is>
      </c>
      <c r="C33" t="inlineStr">
        <is>
          <t>Vehicle / Support</t>
        </is>
      </c>
      <c r="D33" t="inlineStr">
        <is>
          <t>Vehicle</t>
        </is>
      </c>
      <c r="E33" t="inlineStr">
        <is>
          <t>Leman Russ Vanquisher</t>
        </is>
      </c>
      <c r="F33" t="inlineStr">
        <is>
          <t>1 model</t>
        </is>
      </c>
      <c r="G33" t="inlineStr">
        <is>
          <t>Vehicle</t>
        </is>
      </c>
      <c r="L33" s="60" t="n">
        <v>145</v>
      </c>
      <c r="M33" s="54" t="str"/>
      <c r="N33" s="54" t="inlineStr">
        <is>
          <t>Matched to Munitorum Field Manual v2.3</t>
        </is>
      </c>
      <c r="O33" s="54" t="inlineStr">
        <is>
          <t>Uploaded PDF: Munitorum Field Manual v2.3 / March 2025, p.8</t>
        </is>
      </c>
    </row>
    <row r="34">
      <c r="A34" t="inlineStr">
        <is>
          <t>Astra Militarum</t>
        </is>
      </c>
      <c r="C34" t="inlineStr">
        <is>
          <t>Character</t>
        </is>
      </c>
      <c r="D34" t="inlineStr">
        <is>
          <t>Character</t>
        </is>
      </c>
      <c r="E34" t="inlineStr">
        <is>
          <t>Lord Solar Leontus</t>
        </is>
      </c>
      <c r="F34" t="inlineStr">
        <is>
          <t>1 model</t>
        </is>
      </c>
      <c r="G34" t="inlineStr">
        <is>
          <t>Character</t>
        </is>
      </c>
      <c r="L34" s="60" t="n">
        <v>150</v>
      </c>
      <c r="M34" s="54" t="str"/>
      <c r="N34" s="54" t="inlineStr">
        <is>
          <t>Matched to Munitorum Field Manual v2.3</t>
        </is>
      </c>
      <c r="O34" s="54" t="inlineStr">
        <is>
          <t>Uploaded PDF: Munitorum Field Manual v2.3 / March 2025, p.8</t>
        </is>
      </c>
    </row>
    <row r="35">
      <c r="A35" t="inlineStr">
        <is>
          <t>Astra Militarum</t>
        </is>
      </c>
      <c r="C35" t="inlineStr">
        <is>
          <t>Vehicle / Support</t>
        </is>
      </c>
      <c r="D35" t="inlineStr">
        <is>
          <t>Vehicle</t>
        </is>
      </c>
      <c r="E35" t="inlineStr">
        <is>
          <t>Manticore</t>
        </is>
      </c>
      <c r="F35" t="inlineStr">
        <is>
          <t>1 model</t>
        </is>
      </c>
      <c r="G35" t="inlineStr">
        <is>
          <t>Vehicle</t>
        </is>
      </c>
      <c r="L35" s="60" t="n">
        <v>165</v>
      </c>
      <c r="M35" s="54" t="str"/>
      <c r="N35" s="54" t="inlineStr">
        <is>
          <t>Matched to Munitorum Field Manual v2.3</t>
        </is>
      </c>
      <c r="O35" s="54" t="inlineStr">
        <is>
          <t>Uploaded PDF: Munitorum Field Manual v2.3 / March 2025, p.8</t>
        </is>
      </c>
    </row>
    <row r="36">
      <c r="A36" t="inlineStr">
        <is>
          <t>Astra Militarum</t>
        </is>
      </c>
      <c r="C36" t="inlineStr">
        <is>
          <t>Infantry / Other</t>
        </is>
      </c>
      <c r="D36" t="inlineStr">
        <is>
          <t>Infantry</t>
        </is>
      </c>
      <c r="E36" t="inlineStr">
        <is>
          <t>Militarum Tempestus Command Squad</t>
        </is>
      </c>
      <c r="F36" t="inlineStr">
        <is>
          <t>5 models</t>
        </is>
      </c>
      <c r="G36" t="inlineStr">
        <is>
          <t>Infantry</t>
        </is>
      </c>
      <c r="L36" s="60" t="n">
        <v>85</v>
      </c>
      <c r="M36" s="54" t="str"/>
      <c r="N36" s="54" t="inlineStr">
        <is>
          <t>Matched to Munitorum Field Manual v2.3</t>
        </is>
      </c>
      <c r="O36" s="54" t="inlineStr">
        <is>
          <t>Uploaded PDF: Munitorum Field Manual v2.3 / March 2025, p.8</t>
        </is>
      </c>
    </row>
    <row r="37">
      <c r="A37" t="inlineStr">
        <is>
          <t>Astra Militarum</t>
        </is>
      </c>
      <c r="C37" t="inlineStr">
        <is>
          <t>Infantry / Other</t>
        </is>
      </c>
      <c r="D37" t="inlineStr">
        <is>
          <t>Infantry</t>
        </is>
      </c>
      <c r="E37" t="inlineStr">
        <is>
          <t>Munitorum Servitors</t>
        </is>
      </c>
      <c r="G37" t="inlineStr">
        <is>
          <t>Infantry</t>
        </is>
      </c>
      <c r="L37" s="60" t="n"/>
      <c r="M37" s="54" t="inlineStr">
        <is>
          <t>No matching points entry found in uploaded PDF; verify unit name/current support.</t>
        </is>
      </c>
      <c r="N37" s="54" t="inlineStr">
        <is>
          <t>Not found in uploaded PDF</t>
        </is>
      </c>
      <c r="O37" s="54" t="inlineStr">
        <is>
          <t>Uploaded PDF: Munitorum Field Manual v2.3 / March 2025</t>
        </is>
      </c>
    </row>
    <row r="38">
      <c r="A38" t="inlineStr">
        <is>
          <t>Astra Militarum</t>
        </is>
      </c>
      <c r="C38" t="inlineStr">
        <is>
          <t>Infantry / Other</t>
        </is>
      </c>
      <c r="D38" t="inlineStr">
        <is>
          <t>Infantry</t>
        </is>
      </c>
      <c r="E38" t="inlineStr">
        <is>
          <t>Nork Deddog</t>
        </is>
      </c>
      <c r="F38" t="inlineStr">
        <is>
          <t>1 model</t>
        </is>
      </c>
      <c r="G38" t="inlineStr">
        <is>
          <t>Infantry</t>
        </is>
      </c>
      <c r="L38" s="60" t="n">
        <v>60</v>
      </c>
      <c r="M38" s="54" t="str"/>
      <c r="N38" s="54" t="inlineStr">
        <is>
          <t>Matched to Munitorum Field Manual v2.3</t>
        </is>
      </c>
      <c r="O38" s="54" t="inlineStr">
        <is>
          <t>Uploaded PDF: Munitorum Field Manual v2.3 / March 2025, p.8</t>
        </is>
      </c>
    </row>
    <row r="39">
      <c r="A39" t="inlineStr">
        <is>
          <t>Astra Militarum</t>
        </is>
      </c>
      <c r="C39" t="inlineStr">
        <is>
          <t>Infantry / Other</t>
        </is>
      </c>
      <c r="D39" t="inlineStr">
        <is>
          <t>Infantry</t>
        </is>
      </c>
      <c r="E39" t="inlineStr">
        <is>
          <t>Ogryn Bodyguard</t>
        </is>
      </c>
      <c r="F39" t="inlineStr">
        <is>
          <t>1 model</t>
        </is>
      </c>
      <c r="G39" t="inlineStr">
        <is>
          <t>Infantry</t>
        </is>
      </c>
      <c r="L39" s="60" t="n">
        <v>40</v>
      </c>
      <c r="M39" s="54" t="str"/>
      <c r="N39" s="54" t="inlineStr">
        <is>
          <t>Matched to Munitorum Field Manual v2.3</t>
        </is>
      </c>
      <c r="O39" s="54" t="inlineStr">
        <is>
          <t>Uploaded PDF: Munitorum Field Manual v2.3 / March 2025, p.8</t>
        </is>
      </c>
    </row>
    <row r="40">
      <c r="A40" t="inlineStr">
        <is>
          <t>Astra Militarum</t>
        </is>
      </c>
      <c r="C40" t="inlineStr">
        <is>
          <t>Infantry / Other</t>
        </is>
      </c>
      <c r="D40" t="inlineStr">
        <is>
          <t>Infantry</t>
        </is>
      </c>
      <c r="E40" t="inlineStr">
        <is>
          <t>Ogryn Squad</t>
        </is>
      </c>
      <c r="F40" t="inlineStr">
        <is>
          <t>3 models</t>
        </is>
      </c>
      <c r="G40" t="inlineStr">
        <is>
          <t>Infantry</t>
        </is>
      </c>
      <c r="L40" s="60" t="n">
        <v>60</v>
      </c>
      <c r="M40" s="54" t="inlineStr">
        <is>
          <t>Points options: 3 models = 60 pts; 6 models = 130 pts</t>
        </is>
      </c>
      <c r="N40" s="54" t="inlineStr">
        <is>
          <t>Matched to Munitorum Field Manual v2.3</t>
        </is>
      </c>
      <c r="O40" s="54" t="inlineStr">
        <is>
          <t>Uploaded PDF: Munitorum Field Manual v2.3 / March 2025, p.8</t>
        </is>
      </c>
    </row>
    <row r="41">
      <c r="A41" t="inlineStr">
        <is>
          <t>Astra Militarum</t>
        </is>
      </c>
      <c r="C41" t="inlineStr">
        <is>
          <t>Character</t>
        </is>
      </c>
      <c r="D41" t="inlineStr">
        <is>
          <t>Character</t>
        </is>
      </c>
      <c r="E41" t="inlineStr">
        <is>
          <t>Primaris Psyker</t>
        </is>
      </c>
      <c r="F41" t="inlineStr">
        <is>
          <t>1 model</t>
        </is>
      </c>
      <c r="G41" t="inlineStr">
        <is>
          <t>Character, Psyker</t>
        </is>
      </c>
      <c r="L41" s="60" t="n">
        <v>60</v>
      </c>
      <c r="M41" s="54" t="str"/>
      <c r="N41" s="54" t="inlineStr">
        <is>
          <t>Matched to Munitorum Field Manual v2.3</t>
        </is>
      </c>
      <c r="O41" s="54" t="inlineStr">
        <is>
          <t>Uploaded PDF: Munitorum Field Manual v2.3 / March 2025, p.8</t>
        </is>
      </c>
    </row>
    <row r="42">
      <c r="A42" t="inlineStr">
        <is>
          <t>Astra Militarum</t>
        </is>
      </c>
      <c r="C42" t="inlineStr">
        <is>
          <t>Infantry / Other</t>
        </is>
      </c>
      <c r="D42" t="inlineStr">
        <is>
          <t>Infantry</t>
        </is>
      </c>
      <c r="E42" t="inlineStr">
        <is>
          <t>Ratling Snipers</t>
        </is>
      </c>
      <c r="G42" t="inlineStr">
        <is>
          <t>Infantry</t>
        </is>
      </c>
      <c r="L42" s="60" t="n"/>
      <c r="M42" s="54" t="inlineStr">
        <is>
          <t>No matching points entry found in uploaded PDF; verify unit name/current support.</t>
        </is>
      </c>
      <c r="N42" s="54" t="inlineStr">
        <is>
          <t>Not found in uploaded PDF</t>
        </is>
      </c>
      <c r="O42" s="54" t="inlineStr">
        <is>
          <t>Uploaded PDF: Munitorum Field Manual v2.3 / March 2025</t>
        </is>
      </c>
    </row>
    <row r="43">
      <c r="A43" t="inlineStr">
        <is>
          <t>Astra Militarum</t>
        </is>
      </c>
      <c r="C43" t="inlineStr">
        <is>
          <t>Infantry / Other</t>
        </is>
      </c>
      <c r="D43" t="inlineStr">
        <is>
          <t>Infantry</t>
        </is>
      </c>
      <c r="E43" t="inlineStr">
        <is>
          <t>Regimental Attachés</t>
        </is>
      </c>
      <c r="G43" t="inlineStr">
        <is>
          <t>Infantry</t>
        </is>
      </c>
      <c r="L43" s="60" t="n"/>
      <c r="M43" s="54" t="inlineStr">
        <is>
          <t>No matching points entry found in uploaded PDF; verify unit name/current support.</t>
        </is>
      </c>
      <c r="N43" s="54" t="inlineStr">
        <is>
          <t>Not found in uploaded PDF</t>
        </is>
      </c>
      <c r="O43" s="54" t="inlineStr">
        <is>
          <t>Uploaded PDF: Munitorum Field Manual v2.3 / March 2025</t>
        </is>
      </c>
    </row>
    <row r="44">
      <c r="A44" t="inlineStr">
        <is>
          <t>Astra Militarum</t>
        </is>
      </c>
      <c r="C44" t="inlineStr">
        <is>
          <t>Character</t>
        </is>
      </c>
      <c r="D44" t="inlineStr">
        <is>
          <t>Character</t>
        </is>
      </c>
      <c r="E44" t="inlineStr">
        <is>
          <t>Regimental Enginseer</t>
        </is>
      </c>
      <c r="F44" t="inlineStr">
        <is>
          <t>1 model</t>
        </is>
      </c>
      <c r="G44" t="inlineStr">
        <is>
          <t>Character</t>
        </is>
      </c>
      <c r="L44" s="60" t="n">
        <v>45</v>
      </c>
      <c r="M44" s="54" t="str"/>
      <c r="N44" s="54" t="inlineStr">
        <is>
          <t>Matched to Munitorum Field Manual v2.3</t>
        </is>
      </c>
      <c r="O44" s="54" t="inlineStr">
        <is>
          <t>Uploaded PDF: Munitorum Field Manual v2.3 / March 2025, p.8</t>
        </is>
      </c>
    </row>
    <row r="45">
      <c r="A45" t="inlineStr">
        <is>
          <t>Astra Militarum</t>
        </is>
      </c>
      <c r="C45" t="inlineStr">
        <is>
          <t>Character</t>
        </is>
      </c>
      <c r="D45" t="inlineStr">
        <is>
          <t>Character</t>
        </is>
      </c>
      <c r="E45" t="inlineStr">
        <is>
          <t>Regimental Preacher</t>
        </is>
      </c>
      <c r="F45" t="inlineStr">
        <is>
          <t>1 model</t>
        </is>
      </c>
      <c r="G45" t="inlineStr">
        <is>
          <t>Character</t>
        </is>
      </c>
      <c r="L45" s="60" t="n">
        <v>35</v>
      </c>
      <c r="M45" s="54" t="str"/>
      <c r="N45" s="54" t="inlineStr">
        <is>
          <t>Matched to Munitorum Field Manual v2.3</t>
        </is>
      </c>
      <c r="O45" s="54" t="inlineStr">
        <is>
          <t>Uploaded PDF: Munitorum Field Manual v2.3 / March 2025, p.8</t>
        </is>
      </c>
    </row>
    <row r="46">
      <c r="A46" t="inlineStr">
        <is>
          <t>Astra Militarum</t>
        </is>
      </c>
      <c r="C46" t="inlineStr">
        <is>
          <t>Vehicle / Support</t>
        </is>
      </c>
      <c r="D46" t="inlineStr">
        <is>
          <t>Vehicle</t>
        </is>
      </c>
      <c r="E46" t="inlineStr">
        <is>
          <t>Rogal Dorn Battle Tank</t>
        </is>
      </c>
      <c r="F46" t="inlineStr">
        <is>
          <t>1 model</t>
        </is>
      </c>
      <c r="G46" t="inlineStr">
        <is>
          <t>Vehicle</t>
        </is>
      </c>
      <c r="L46" s="60" t="n">
        <v>240</v>
      </c>
      <c r="M46" s="54" t="str"/>
      <c r="N46" s="54" t="inlineStr">
        <is>
          <t>Matched to Munitorum Field Manual v2.3</t>
        </is>
      </c>
      <c r="O46" s="54" t="inlineStr">
        <is>
          <t>Uploaded PDF: Munitorum Field Manual v2.3 / March 2025, p.8</t>
        </is>
      </c>
    </row>
    <row r="47">
      <c r="A47" t="inlineStr">
        <is>
          <t>Astra Militarum</t>
        </is>
      </c>
      <c r="C47" t="inlineStr">
        <is>
          <t>Vehicle / Support</t>
        </is>
      </c>
      <c r="D47" t="inlineStr">
        <is>
          <t>Walker / Battlesuit</t>
        </is>
      </c>
      <c r="E47" t="inlineStr">
        <is>
          <t>Scout Sentinels</t>
        </is>
      </c>
      <c r="F47" t="inlineStr">
        <is>
          <t>1 model</t>
        </is>
      </c>
      <c r="G47" t="inlineStr">
        <is>
          <t>Walker / Battlesuit</t>
        </is>
      </c>
      <c r="L47" s="60" t="n">
        <v>55</v>
      </c>
      <c r="M47" s="54" t="inlineStr">
        <is>
          <t>Points options: 1 model = 55 pts; 2 models = 110 pts</t>
        </is>
      </c>
      <c r="N47" s="54" t="inlineStr">
        <is>
          <t>Matched to Munitorum Field Manual v2.3</t>
        </is>
      </c>
      <c r="O47" s="54" t="inlineStr">
        <is>
          <t>Uploaded PDF: Munitorum Field Manual v2.3 / March 2025, p.8</t>
        </is>
      </c>
    </row>
    <row r="48">
      <c r="A48" t="inlineStr">
        <is>
          <t>Astra Militarum</t>
        </is>
      </c>
      <c r="C48" t="inlineStr">
        <is>
          <t>Infantry / Other</t>
        </is>
      </c>
      <c r="D48" t="inlineStr">
        <is>
          <t>Infantry</t>
        </is>
      </c>
      <c r="E48" t="inlineStr">
        <is>
          <t>Sergeant Harker</t>
        </is>
      </c>
      <c r="G48" t="inlineStr">
        <is>
          <t>Infantry</t>
        </is>
      </c>
      <c r="L48" s="60" t="n"/>
      <c r="M48" s="54" t="inlineStr">
        <is>
          <t>No matching points entry found in uploaded PDF; verify unit name/current support.</t>
        </is>
      </c>
      <c r="N48" s="54" t="inlineStr">
        <is>
          <t>Not found in uploaded PDF</t>
        </is>
      </c>
      <c r="O48" s="54" t="inlineStr">
        <is>
          <t>Uploaded PDF: Munitorum Field Manual v2.3 / March 2025</t>
        </is>
      </c>
    </row>
    <row r="49">
      <c r="A49" t="inlineStr">
        <is>
          <t>Astra Militarum</t>
        </is>
      </c>
      <c r="C49" t="inlineStr">
        <is>
          <t>Vehicle / Support</t>
        </is>
      </c>
      <c r="D49" t="inlineStr">
        <is>
          <t>Super-heavy Vehicle/Monster</t>
        </is>
      </c>
      <c r="E49" t="inlineStr">
        <is>
          <t>Shadowsword</t>
        </is>
      </c>
      <c r="F49" t="inlineStr">
        <is>
          <t>1 model</t>
        </is>
      </c>
      <c r="G49" t="inlineStr">
        <is>
          <t>Super-heavy Vehicle/Monster</t>
        </is>
      </c>
      <c r="L49" s="60" t="n">
        <v>440</v>
      </c>
      <c r="M49" s="54" t="str"/>
      <c r="N49" s="54" t="inlineStr">
        <is>
          <t>Matched to Munitorum Field Manual v2.3</t>
        </is>
      </c>
      <c r="O49" s="54" t="inlineStr">
        <is>
          <t>Uploaded PDF: Munitorum Field Manual v2.3 / March 2025, p.8</t>
        </is>
      </c>
    </row>
    <row r="50">
      <c r="A50" t="inlineStr">
        <is>
          <t>Astra Militarum</t>
        </is>
      </c>
      <c r="C50" t="inlineStr">
        <is>
          <t>Vehicle / Support</t>
        </is>
      </c>
      <c r="D50" t="inlineStr">
        <is>
          <t>Super-heavy Vehicle/Monster</t>
        </is>
      </c>
      <c r="E50" t="inlineStr">
        <is>
          <t>Stormlord</t>
        </is>
      </c>
      <c r="F50" t="inlineStr">
        <is>
          <t>1 model</t>
        </is>
      </c>
      <c r="G50" t="inlineStr">
        <is>
          <t>Super-heavy Vehicle/Monster</t>
        </is>
      </c>
      <c r="L50" s="60" t="n">
        <v>460</v>
      </c>
      <c r="M50" s="54" t="str"/>
      <c r="N50" s="54" t="inlineStr">
        <is>
          <t>Matched to Munitorum Field Manual v2.3</t>
        </is>
      </c>
      <c r="O50" s="54" t="inlineStr">
        <is>
          <t>Uploaded PDF: Munitorum Field Manual v2.3 / March 2025, p.8</t>
        </is>
      </c>
    </row>
    <row r="51">
      <c r="A51" t="inlineStr">
        <is>
          <t>Astra Militarum</t>
        </is>
      </c>
      <c r="C51" t="inlineStr">
        <is>
          <t>Vehicle / Support</t>
        </is>
      </c>
      <c r="D51" t="inlineStr">
        <is>
          <t>Super-heavy Vehicle/Monster</t>
        </is>
      </c>
      <c r="E51" t="inlineStr">
        <is>
          <t>Stormsword</t>
        </is>
      </c>
      <c r="F51" t="inlineStr">
        <is>
          <t>1 model</t>
        </is>
      </c>
      <c r="G51" t="inlineStr">
        <is>
          <t>Super-heavy Vehicle/Monster</t>
        </is>
      </c>
      <c r="L51" s="60" t="n">
        <v>495</v>
      </c>
      <c r="M51" s="54" t="str"/>
      <c r="N51" s="54" t="inlineStr">
        <is>
          <t>Matched to Munitorum Field Manual v2.3</t>
        </is>
      </c>
      <c r="O51" s="54" t="inlineStr">
        <is>
          <t>Uploaded PDF: Munitorum Field Manual v2.3 / March 2025, p.8</t>
        </is>
      </c>
    </row>
    <row r="52">
      <c r="A52" t="inlineStr">
        <is>
          <t>Astra Militarum</t>
        </is>
      </c>
      <c r="C52" t="inlineStr">
        <is>
          <t>Character</t>
        </is>
      </c>
      <c r="D52" t="inlineStr">
        <is>
          <t>Character</t>
        </is>
      </c>
      <c r="E52" t="inlineStr">
        <is>
          <t>Tank Commander</t>
        </is>
      </c>
      <c r="F52" t="inlineStr">
        <is>
          <t>1 model</t>
        </is>
      </c>
      <c r="G52" t="inlineStr">
        <is>
          <t>Character</t>
        </is>
      </c>
      <c r="L52" s="60" t="n">
        <v>235</v>
      </c>
      <c r="M52" s="54" t="str"/>
      <c r="N52" s="54" t="inlineStr">
        <is>
          <t>Matched to Munitorum Field Manual v2.3</t>
        </is>
      </c>
      <c r="O52" s="54" t="inlineStr">
        <is>
          <t>Uploaded PDF: Munitorum Field Manual v2.3 / March 2025, p.8</t>
        </is>
      </c>
    </row>
    <row r="53">
      <c r="A53" t="inlineStr">
        <is>
          <t>Astra Militarum</t>
        </is>
      </c>
      <c r="C53" t="inlineStr">
        <is>
          <t>Vehicle / Support</t>
        </is>
      </c>
      <c r="D53" t="inlineStr">
        <is>
          <t>Vehicle</t>
        </is>
      </c>
      <c r="E53" t="inlineStr">
        <is>
          <t>Taurox</t>
        </is>
      </c>
      <c r="F53" t="inlineStr">
        <is>
          <t>1 model</t>
        </is>
      </c>
      <c r="G53" t="inlineStr">
        <is>
          <t>Vehicle</t>
        </is>
      </c>
      <c r="L53" s="60" t="n">
        <v>65</v>
      </c>
      <c r="M53" s="54" t="str"/>
      <c r="N53" s="54" t="inlineStr">
        <is>
          <t>Matched to Munitorum Field Manual v2.3</t>
        </is>
      </c>
      <c r="O53" s="54" t="inlineStr">
        <is>
          <t>Uploaded PDF: Munitorum Field Manual v2.3 / March 2025, p.8</t>
        </is>
      </c>
    </row>
    <row r="54">
      <c r="A54" t="inlineStr">
        <is>
          <t>Astra Militarum</t>
        </is>
      </c>
      <c r="C54" t="inlineStr">
        <is>
          <t>Vehicle / Support</t>
        </is>
      </c>
      <c r="D54" t="inlineStr">
        <is>
          <t>Vehicle</t>
        </is>
      </c>
      <c r="E54" t="inlineStr">
        <is>
          <t>Taurox Prime</t>
        </is>
      </c>
      <c r="F54" t="inlineStr">
        <is>
          <t>1 model</t>
        </is>
      </c>
      <c r="G54" t="inlineStr">
        <is>
          <t>Vehicle</t>
        </is>
      </c>
      <c r="L54" s="60" t="n">
        <v>90</v>
      </c>
      <c r="M54" s="54" t="str"/>
      <c r="N54" s="54" t="inlineStr">
        <is>
          <t>Matched to Munitorum Field Manual v2.3</t>
        </is>
      </c>
      <c r="O54" s="54" t="inlineStr">
        <is>
          <t>Uploaded PDF: Munitorum Field Manual v2.3 / March 2025, p.8</t>
        </is>
      </c>
    </row>
    <row r="55">
      <c r="A55" t="inlineStr">
        <is>
          <t>Astra Militarum</t>
        </is>
      </c>
      <c r="C55" t="inlineStr">
        <is>
          <t>Infantry / Other</t>
        </is>
      </c>
      <c r="D55" t="inlineStr">
        <is>
          <t>Infantry</t>
        </is>
      </c>
      <c r="E55" t="inlineStr">
        <is>
          <t>Tempestus Scions</t>
        </is>
      </c>
      <c r="F55" t="inlineStr">
        <is>
          <t>5 models</t>
        </is>
      </c>
      <c r="G55" t="inlineStr">
        <is>
          <t>Infantry</t>
        </is>
      </c>
      <c r="L55" s="60" t="n">
        <v>70</v>
      </c>
      <c r="M55" s="54" t="inlineStr">
        <is>
          <t>Points options: 5 models = 70 pts; 10 models = 140 pts</t>
        </is>
      </c>
      <c r="N55" s="54" t="inlineStr">
        <is>
          <t>Matched to Munitorum Field Manual v2.3</t>
        </is>
      </c>
      <c r="O55" s="54" t="inlineStr">
        <is>
          <t>Uploaded PDF: Munitorum Field Manual v2.3 / March 2025, p.8</t>
        </is>
      </c>
    </row>
    <row r="56">
      <c r="A56" t="inlineStr">
        <is>
          <t>Astra Militarum</t>
        </is>
      </c>
      <c r="C56" t="inlineStr">
        <is>
          <t>Infantry / Other</t>
        </is>
      </c>
      <c r="D56" t="inlineStr">
        <is>
          <t>Infantry</t>
        </is>
      </c>
      <c r="E56" t="inlineStr">
        <is>
          <t>Ursula Creed</t>
        </is>
      </c>
      <c r="F56" t="inlineStr">
        <is>
          <t>1 model</t>
        </is>
      </c>
      <c r="G56" t="inlineStr">
        <is>
          <t>Infantry</t>
        </is>
      </c>
      <c r="L56" s="60" t="n">
        <v>65</v>
      </c>
      <c r="M56" s="54" t="str"/>
      <c r="N56" s="54" t="inlineStr">
        <is>
          <t>Matched to Munitorum Field Manual v2.3</t>
        </is>
      </c>
      <c r="O56" s="54" t="inlineStr">
        <is>
          <t>Uploaded PDF: Munitorum Field Manual v2.3 / March 2025, p.8</t>
        </is>
      </c>
    </row>
    <row r="57">
      <c r="A57" t="inlineStr">
        <is>
          <t>Astra Militarum</t>
        </is>
      </c>
      <c r="C57" t="inlineStr">
        <is>
          <t>Vehicle / Support</t>
        </is>
      </c>
      <c r="D57" t="inlineStr">
        <is>
          <t>Vehicle</t>
        </is>
      </c>
      <c r="E57" t="inlineStr">
        <is>
          <t>Valkyrie</t>
        </is>
      </c>
      <c r="F57" t="inlineStr">
        <is>
          <t>1 model</t>
        </is>
      </c>
      <c r="G57" t="inlineStr">
        <is>
          <t>Vehicle</t>
        </is>
      </c>
      <c r="L57" s="60" t="n">
        <v>190</v>
      </c>
      <c r="M57" s="54" t="str"/>
      <c r="N57" s="54" t="inlineStr">
        <is>
          <t>Matched to Munitorum Field Manual v2.3</t>
        </is>
      </c>
      <c r="O57" s="54" t="inlineStr">
        <is>
          <t>Uploaded PDF: Munitorum Field Manual v2.3 / March 2025, p.8</t>
        </is>
      </c>
    </row>
    <row r="58">
      <c r="A58" t="inlineStr">
        <is>
          <t>Astra Militarum</t>
        </is>
      </c>
      <c r="C58" t="inlineStr">
        <is>
          <t>Infantry / Other</t>
        </is>
      </c>
      <c r="D58" t="inlineStr">
        <is>
          <t>Infantry</t>
        </is>
      </c>
      <c r="E58" t="inlineStr">
        <is>
          <t>Wyvern</t>
        </is>
      </c>
      <c r="F58" t="inlineStr">
        <is>
          <t>1 model</t>
        </is>
      </c>
      <c r="G58" t="inlineStr">
        <is>
          <t>Infantry</t>
        </is>
      </c>
      <c r="L58" s="60" t="n">
        <v>110</v>
      </c>
      <c r="M58" s="54" t="str"/>
      <c r="N58" s="54" t="inlineStr">
        <is>
          <t>Matched to Munitorum Field Manual v2.3</t>
        </is>
      </c>
      <c r="O58" s="54" t="inlineStr">
        <is>
          <t>Uploaded PDF: Munitorum Field Manual v2.3 / March 2025, p.8</t>
        </is>
      </c>
    </row>
    <row r="59">
      <c r="A59" t="inlineStr">
        <is>
          <t>Astra Militarum</t>
        </is>
      </c>
      <c r="C59" t="inlineStr">
        <is>
          <t>Vehicle / Support</t>
        </is>
      </c>
      <c r="D59" t="inlineStr">
        <is>
          <t>Vehicle</t>
        </is>
      </c>
      <c r="E59" t="inlineStr">
        <is>
          <t>Aegis Defence Line</t>
        </is>
      </c>
      <c r="F59" t="inlineStr">
        <is>
          <t>1 model</t>
        </is>
      </c>
      <c r="G59" t="inlineStr">
        <is>
          <t>Vehicle</t>
        </is>
      </c>
      <c r="L59" t="n">
        <v>145</v>
      </c>
      <c r="N59" t="inlineStr">
        <is>
          <t>Added from current Munitorum Field Manual v4.1 (non-Legends)</t>
        </is>
      </c>
      <c r="O59" t="inlineStr">
        <is>
          <t>https://www.warhammer-community.com/en-gb/downloads/warhammer-40000/</t>
        </is>
      </c>
    </row>
    <row r="60">
      <c r="A60" t="inlineStr">
        <is>
          <t>Astra Militarum</t>
        </is>
      </c>
      <c r="C60" t="inlineStr">
        <is>
          <t>Infantry / Other</t>
        </is>
      </c>
      <c r="D60" t="inlineStr">
        <is>
          <t>Infantry</t>
        </is>
      </c>
      <c r="E60" t="inlineStr">
        <is>
          <t>Artillery Team</t>
        </is>
      </c>
      <c r="F60" t="inlineStr">
        <is>
          <t>1 model</t>
        </is>
      </c>
      <c r="G60" t="inlineStr">
        <is>
          <t>Infantry</t>
        </is>
      </c>
      <c r="L60" t="n">
        <v>95</v>
      </c>
      <c r="N60" t="inlineStr">
        <is>
          <t>Added from current Munitorum Field Manual v4.1 (non-Legends)</t>
        </is>
      </c>
      <c r="O60" t="inlineStr">
        <is>
          <t>https://www.warhammer-community.com/en-gb/downloads/warhammer-40000/</t>
        </is>
      </c>
    </row>
    <row r="61">
      <c r="A61" t="inlineStr">
        <is>
          <t>Astra Militarum</t>
        </is>
      </c>
      <c r="C61" t="inlineStr">
        <is>
          <t>Vehicle / Support</t>
        </is>
      </c>
      <c r="D61" t="inlineStr">
        <is>
          <t>Vehicle</t>
        </is>
      </c>
      <c r="E61" t="inlineStr">
        <is>
          <t>Avenger Strike Fighter</t>
        </is>
      </c>
      <c r="F61" t="inlineStr">
        <is>
          <t>1 model</t>
        </is>
      </c>
      <c r="G61" t="inlineStr">
        <is>
          <t>Vehicle</t>
        </is>
      </c>
      <c r="L61" t="n">
        <v>130</v>
      </c>
      <c r="N61" t="inlineStr">
        <is>
          <t>Added from current Munitorum Field Manual v4.1 (non-Legends)</t>
        </is>
      </c>
      <c r="O61" t="inlineStr">
        <is>
          <t>https://www.warhammer-community.com/en-gb/downloads/warhammer-40000/</t>
        </is>
      </c>
    </row>
    <row r="62">
      <c r="A62" t="inlineStr">
        <is>
          <t>Astra Militarum</t>
        </is>
      </c>
      <c r="C62" t="inlineStr">
        <is>
          <t>Infantry / Other</t>
        </is>
      </c>
      <c r="D62" t="inlineStr">
        <is>
          <t>Infantry</t>
        </is>
      </c>
      <c r="E62" t="inlineStr">
        <is>
          <t>Cadian Heavy Weapons Squad</t>
        </is>
      </c>
      <c r="F62" t="inlineStr">
        <is>
          <t>3 models</t>
        </is>
      </c>
      <c r="G62" t="inlineStr">
        <is>
          <t>Infantry</t>
        </is>
      </c>
      <c r="L62" t="n">
        <v>65</v>
      </c>
      <c r="N62" t="inlineStr">
        <is>
          <t>Added from current Munitorum Field Manual v4.1 (non-Legends)</t>
        </is>
      </c>
      <c r="O62" t="inlineStr">
        <is>
          <t>https://www.warhammer-community.com/en-gb/downloads/warhammer-40000/</t>
        </is>
      </c>
    </row>
    <row r="63">
      <c r="A63" t="inlineStr">
        <is>
          <t>Astra Militarum</t>
        </is>
      </c>
      <c r="C63" t="inlineStr">
        <is>
          <t>Infantry / Other</t>
        </is>
      </c>
      <c r="D63" t="inlineStr">
        <is>
          <t>Infantry</t>
        </is>
      </c>
      <c r="E63" t="inlineStr">
        <is>
          <t>Cadian Recon Squad</t>
        </is>
      </c>
      <c r="F63" t="inlineStr">
        <is>
          <t>10 models</t>
        </is>
      </c>
      <c r="G63" t="inlineStr">
        <is>
          <t>Infantry</t>
        </is>
      </c>
      <c r="L63" t="n">
        <v>80</v>
      </c>
      <c r="N63" t="inlineStr">
        <is>
          <t>Added from current Munitorum Field Manual v4.1 (non-Legends)</t>
        </is>
      </c>
      <c r="O63" t="inlineStr">
        <is>
          <t>https://www.warhammer-community.com/en-gb/downloads/warhammer-40000/</t>
        </is>
      </c>
    </row>
    <row r="64">
      <c r="A64" t="inlineStr">
        <is>
          <t>Astra Militarum</t>
        </is>
      </c>
      <c r="C64" t="inlineStr">
        <is>
          <t>Character</t>
        </is>
      </c>
      <c r="D64" t="inlineStr">
        <is>
          <t>Character</t>
        </is>
      </c>
      <c r="E64" t="inlineStr">
        <is>
          <t>Catachan Command Squad</t>
        </is>
      </c>
      <c r="F64" t="inlineStr">
        <is>
          <t>5 models</t>
        </is>
      </c>
      <c r="G64" t="inlineStr">
        <is>
          <t>Character</t>
        </is>
      </c>
      <c r="L64" t="n">
        <v>60</v>
      </c>
      <c r="N64" t="inlineStr">
        <is>
          <t>Added from current Munitorum Field Manual v4.1 (non-Legends)</t>
        </is>
      </c>
      <c r="O64" t="inlineStr">
        <is>
          <t>https://www.warhammer-community.com/en-gb/downloads/warhammer-40000/</t>
        </is>
      </c>
    </row>
    <row r="65">
      <c r="A65" t="inlineStr">
        <is>
          <t>Astra Militarum</t>
        </is>
      </c>
      <c r="C65" t="inlineStr">
        <is>
          <t>Infantry / Other</t>
        </is>
      </c>
      <c r="D65" t="inlineStr">
        <is>
          <t>Infantry</t>
        </is>
      </c>
      <c r="E65" t="inlineStr">
        <is>
          <t>Catachan Heavy Weapons Squad</t>
        </is>
      </c>
      <c r="F65" t="inlineStr">
        <is>
          <t>3 models</t>
        </is>
      </c>
      <c r="G65" t="inlineStr">
        <is>
          <t>Infantry</t>
        </is>
      </c>
      <c r="L65" t="n">
        <v>65</v>
      </c>
      <c r="N65" t="inlineStr">
        <is>
          <t>Added from current Munitorum Field Manual v4.1 (non-Legends)</t>
        </is>
      </c>
      <c r="O65" t="inlineStr">
        <is>
          <t>https://www.warhammer-community.com/en-gb/downloads/warhammer-40000/</t>
        </is>
      </c>
    </row>
    <row r="66">
      <c r="A66" t="inlineStr">
        <is>
          <t>Astra Militarum</t>
        </is>
      </c>
      <c r="C66" t="inlineStr">
        <is>
          <t>Infantry / Other</t>
        </is>
      </c>
      <c r="D66" t="inlineStr">
        <is>
          <t>Infantry</t>
        </is>
      </c>
      <c r="E66" t="inlineStr">
        <is>
          <t>Centaur Rsv</t>
        </is>
      </c>
      <c r="F66" t="inlineStr">
        <is>
          <t>1 model</t>
        </is>
      </c>
      <c r="G66" t="inlineStr">
        <is>
          <t>Infantry</t>
        </is>
      </c>
      <c r="L66" t="n">
        <v>75</v>
      </c>
      <c r="N66" t="inlineStr">
        <is>
          <t>Added from current Munitorum Field Manual v4.1 (non-Legends)</t>
        </is>
      </c>
      <c r="O66" t="inlineStr">
        <is>
          <t>https://www.warhammer-community.com/en-gb/downloads/warhammer-40000/</t>
        </is>
      </c>
    </row>
    <row r="67">
      <c r="A67" t="inlineStr">
        <is>
          <t>Astra Militarum</t>
        </is>
      </c>
      <c r="C67" t="inlineStr">
        <is>
          <t>Infantry / Other</t>
        </is>
      </c>
      <c r="D67" t="inlineStr">
        <is>
          <t>Infantry</t>
        </is>
      </c>
      <c r="E67" t="inlineStr">
        <is>
          <t>Commissar Graves</t>
        </is>
      </c>
      <c r="F67" t="inlineStr">
        <is>
          <t>1 model</t>
        </is>
      </c>
      <c r="G67" t="inlineStr">
        <is>
          <t>Infantry</t>
        </is>
      </c>
      <c r="L67" t="n">
        <v>125</v>
      </c>
      <c r="N67" t="inlineStr">
        <is>
          <t>Added from current Munitorum Field Manual v4.1 (non-Legends)</t>
        </is>
      </c>
      <c r="O67" t="inlineStr">
        <is>
          <t>https://www.warhammer-community.com/en-gb/downloads/warhammer-40000/</t>
        </is>
      </c>
    </row>
    <row r="68">
      <c r="A68" t="inlineStr">
        <is>
          <t>Astra Militarum</t>
        </is>
      </c>
      <c r="C68" t="inlineStr">
        <is>
          <t>Character</t>
        </is>
      </c>
      <c r="D68" t="inlineStr">
        <is>
          <t>Character</t>
        </is>
      </c>
      <c r="E68" t="inlineStr">
        <is>
          <t>Commissar Graves On Foot</t>
        </is>
      </c>
      <c r="F68" t="inlineStr">
        <is>
          <t>1 model</t>
        </is>
      </c>
      <c r="G68" t="inlineStr">
        <is>
          <t>Character</t>
        </is>
      </c>
      <c r="L68" t="n">
        <v>65</v>
      </c>
      <c r="N68" t="inlineStr">
        <is>
          <t>Added from current Munitorum Field Manual v4.1 (non-Legends)</t>
        </is>
      </c>
      <c r="O68" t="inlineStr">
        <is>
          <t>https://www.warhammer-community.com/en-gb/downloads/warhammer-40000/</t>
        </is>
      </c>
    </row>
    <row r="69">
      <c r="A69" t="inlineStr">
        <is>
          <t>Astra Militarum</t>
        </is>
      </c>
      <c r="C69" t="inlineStr">
        <is>
          <t>Character</t>
        </is>
      </c>
      <c r="D69" t="inlineStr">
        <is>
          <t>Character</t>
        </is>
      </c>
      <c r="E69" t="inlineStr">
        <is>
          <t>Commissar Yarrick</t>
        </is>
      </c>
      <c r="F69" t="inlineStr">
        <is>
          <t>1 model</t>
        </is>
      </c>
      <c r="G69" t="inlineStr">
        <is>
          <t>Character</t>
        </is>
      </c>
      <c r="L69" t="n">
        <v>130</v>
      </c>
      <c r="N69" t="inlineStr">
        <is>
          <t>Added from current Munitorum Field Manual v4.1 (non-Legends)</t>
        </is>
      </c>
      <c r="O69" t="inlineStr">
        <is>
          <t>https://www.warhammer-community.com/en-gb/downloads/warhammer-40000/</t>
        </is>
      </c>
    </row>
    <row r="70">
      <c r="A70" t="inlineStr">
        <is>
          <t>Astra Militarum</t>
        </is>
      </c>
      <c r="C70" t="inlineStr">
        <is>
          <t>Infantry / Other</t>
        </is>
      </c>
      <c r="D70" t="inlineStr">
        <is>
          <t>Infantry</t>
        </is>
      </c>
      <c r="E70" t="inlineStr">
        <is>
          <t>Cyclops Demolition Vehicle</t>
        </is>
      </c>
      <c r="F70" t="inlineStr">
        <is>
          <t>1 model</t>
        </is>
      </c>
      <c r="G70" t="inlineStr">
        <is>
          <t>Infantry</t>
        </is>
      </c>
      <c r="L70" t="n">
        <v>40</v>
      </c>
      <c r="M70" t="inlineStr">
        <is>
          <t>Your 1st To 2nd Units Cost: 1 models = 40 pts | Your 3rd + Unit Costs: 1 models = 45 pts</t>
        </is>
      </c>
      <c r="N70" t="inlineStr">
        <is>
          <t>Added from current Munitorum Field Manual v4.1 (non-Legends)</t>
        </is>
      </c>
      <c r="O70" t="inlineStr">
        <is>
          <t>https://www.warhammer-community.com/en-gb/downloads/warhammer-40000/</t>
        </is>
      </c>
    </row>
    <row r="71">
      <c r="A71" t="inlineStr">
        <is>
          <t>Astra Militarum</t>
        </is>
      </c>
      <c r="C71" t="inlineStr">
        <is>
          <t>Infantry / Other</t>
        </is>
      </c>
      <c r="D71" t="inlineStr">
        <is>
          <t>Mounted / Bike</t>
        </is>
      </c>
      <c r="E71" t="inlineStr">
        <is>
          <t>Death Riders</t>
        </is>
      </c>
      <c r="F71" t="inlineStr">
        <is>
          <t>5 models</t>
        </is>
      </c>
      <c r="G71" t="inlineStr">
        <is>
          <t>Mounted / Bike</t>
        </is>
      </c>
      <c r="L71" t="n">
        <v>60</v>
      </c>
      <c r="N71" t="inlineStr">
        <is>
          <t>Added from current Munitorum Field Manual v4.1 (non-Legends)</t>
        </is>
      </c>
      <c r="O71" t="inlineStr">
        <is>
          <t>https://www.warhammer-community.com/en-gb/downloads/warhammer-40000/</t>
        </is>
      </c>
    </row>
    <row r="72">
      <c r="A72" t="inlineStr">
        <is>
          <t>Astra Militarum</t>
        </is>
      </c>
      <c r="C72" t="inlineStr">
        <is>
          <t>Infantry / Other</t>
        </is>
      </c>
      <c r="D72" t="inlineStr">
        <is>
          <t>Infantry</t>
        </is>
      </c>
      <c r="E72" t="inlineStr">
        <is>
          <t>Deathstrike</t>
        </is>
      </c>
      <c r="F72" t="inlineStr">
        <is>
          <t>1 model</t>
        </is>
      </c>
      <c r="G72" t="inlineStr">
        <is>
          <t>Infantry</t>
        </is>
      </c>
      <c r="L72" t="n">
        <v>125</v>
      </c>
      <c r="M72" t="inlineStr">
        <is>
          <t>Your 1st Unit Costs: 1 models = 125 pts | Your 2nd + Unit Costs: 1 models = 135 pts</t>
        </is>
      </c>
      <c r="N72" t="inlineStr">
        <is>
          <t>Added from current Munitorum Field Manual v4.1 (non-Legends)</t>
        </is>
      </c>
      <c r="O72" t="inlineStr">
        <is>
          <t>https://www.warhammer-community.com/en-gb/downloads/warhammer-40000/</t>
        </is>
      </c>
    </row>
    <row r="73">
      <c r="A73" t="inlineStr">
        <is>
          <t>Astra Militarum</t>
        </is>
      </c>
      <c r="C73" t="inlineStr">
        <is>
          <t>Infantry / Other</t>
        </is>
      </c>
      <c r="D73" t="inlineStr">
        <is>
          <t>Infantry</t>
        </is>
      </c>
      <c r="E73" t="inlineStr">
        <is>
          <t>Hippogriff Afv</t>
        </is>
      </c>
      <c r="F73" t="inlineStr">
        <is>
          <t>1 model</t>
        </is>
      </c>
      <c r="G73" t="inlineStr">
        <is>
          <t>Infantry</t>
        </is>
      </c>
      <c r="L73" t="n">
        <v>70</v>
      </c>
      <c r="N73" t="inlineStr">
        <is>
          <t>Added from current Munitorum Field Manual v4.1 (non-Legends)</t>
        </is>
      </c>
      <c r="O73" t="inlineStr">
        <is>
          <t>https://www.warhammer-community.com/en-gb/downloads/warhammer-40000/</t>
        </is>
      </c>
    </row>
    <row r="74">
      <c r="A74" t="inlineStr">
        <is>
          <t>Astra Militarum</t>
        </is>
      </c>
      <c r="C74" t="inlineStr">
        <is>
          <t>Infantry / Other</t>
        </is>
      </c>
      <c r="D74" t="inlineStr">
        <is>
          <t>Infantry</t>
        </is>
      </c>
      <c r="E74" t="inlineStr">
        <is>
          <t>Krieg Combat Engineers</t>
        </is>
      </c>
      <c r="F74" t="inlineStr">
        <is>
          <t>5 models</t>
        </is>
      </c>
      <c r="G74" t="inlineStr">
        <is>
          <t>Infantry</t>
        </is>
      </c>
      <c r="L74" t="n">
        <v>65</v>
      </c>
      <c r="M74" t="inlineStr">
        <is>
          <t>Your 1st To 2nd Units Cost: 5 models = 65 pts; 10 models = 95 pts | Your 3rd + Unit Costs: 5 models = 75 pts; 10 models = 105 pts</t>
        </is>
      </c>
      <c r="N74" t="inlineStr">
        <is>
          <t>Added from current Munitorum Field Manual v4.1 (non-Legends)</t>
        </is>
      </c>
      <c r="O74" t="inlineStr">
        <is>
          <t>https://www.warhammer-community.com/en-gb/downloads/warhammer-40000/</t>
        </is>
      </c>
    </row>
    <row r="75">
      <c r="A75" t="inlineStr">
        <is>
          <t>Astra Militarum</t>
        </is>
      </c>
      <c r="C75" t="inlineStr">
        <is>
          <t>Character</t>
        </is>
      </c>
      <c r="D75" t="inlineStr">
        <is>
          <t>Character</t>
        </is>
      </c>
      <c r="E75" t="inlineStr">
        <is>
          <t>Krieg Command Squad</t>
        </is>
      </c>
      <c r="F75" t="inlineStr">
        <is>
          <t>6 models</t>
        </is>
      </c>
      <c r="G75" t="inlineStr">
        <is>
          <t>Character</t>
        </is>
      </c>
      <c r="L75" t="n">
        <v>65</v>
      </c>
      <c r="N75" t="inlineStr">
        <is>
          <t>Added from current Munitorum Field Manual v4.1 (non-Legends)</t>
        </is>
      </c>
      <c r="O75" t="inlineStr">
        <is>
          <t>https://www.warhammer-community.com/en-gb/downloads/warhammer-40000/</t>
        </is>
      </c>
    </row>
    <row r="76">
      <c r="A76" t="inlineStr">
        <is>
          <t>Astra Militarum</t>
        </is>
      </c>
      <c r="C76" t="inlineStr">
        <is>
          <t>Infantry / Other</t>
        </is>
      </c>
      <c r="D76" t="inlineStr">
        <is>
          <t>Infantry</t>
        </is>
      </c>
      <c r="E76" t="inlineStr">
        <is>
          <t>Krieg Heavy Weapons Squad</t>
        </is>
      </c>
      <c r="F76" t="inlineStr">
        <is>
          <t>4 models</t>
        </is>
      </c>
      <c r="G76" t="inlineStr">
        <is>
          <t>Infantry</t>
        </is>
      </c>
      <c r="L76" t="n">
        <v>60</v>
      </c>
      <c r="M76" t="inlineStr">
        <is>
          <t>Your Unit Costs: 4 models = 60 pts | Wargear: Krieg heavy flamer +5 pts</t>
        </is>
      </c>
      <c r="N76" t="inlineStr">
        <is>
          <t>Added from current Munitorum Field Manual v4.1 (non-Legends)</t>
        </is>
      </c>
      <c r="O76" t="inlineStr">
        <is>
          <t>https://www.warhammer-community.com/en-gb/downloads/warhammer-40000/</t>
        </is>
      </c>
    </row>
    <row r="77">
      <c r="A77" t="inlineStr">
        <is>
          <t>Astra Militarum</t>
        </is>
      </c>
      <c r="C77" t="inlineStr">
        <is>
          <t>Character</t>
        </is>
      </c>
      <c r="D77" t="inlineStr">
        <is>
          <t>Character</t>
        </is>
      </c>
      <c r="E77" t="inlineStr">
        <is>
          <t>Leman Russ Commander</t>
        </is>
      </c>
      <c r="F77" t="inlineStr">
        <is>
          <t>1 model</t>
        </is>
      </c>
      <c r="G77" t="inlineStr">
        <is>
          <t>Character</t>
        </is>
      </c>
      <c r="L77" t="n">
        <v>235</v>
      </c>
      <c r="M77" t="inlineStr">
        <is>
          <t>Your 1st To 2nd Units Cost: 1 models = 235 pts | Your 3rd + Unit Costs: 1 models = 250 pts</t>
        </is>
      </c>
      <c r="N77" t="inlineStr">
        <is>
          <t>Added from current Munitorum Field Manual v4.1 (non-Legends)</t>
        </is>
      </c>
      <c r="O77" t="inlineStr">
        <is>
          <t>https://www.warhammer-community.com/en-gb/downloads/warhammer-40000/</t>
        </is>
      </c>
    </row>
    <row r="78">
      <c r="A78" t="inlineStr">
        <is>
          <t>Astra Militarum</t>
        </is>
      </c>
      <c r="C78" t="inlineStr">
        <is>
          <t>Character</t>
        </is>
      </c>
      <c r="D78" t="inlineStr">
        <is>
          <t>Character</t>
        </is>
      </c>
      <c r="E78" t="inlineStr">
        <is>
          <t>Lord Marshal Dreir</t>
        </is>
      </c>
      <c r="F78" t="inlineStr">
        <is>
          <t>1 model</t>
        </is>
      </c>
      <c r="G78" t="inlineStr">
        <is>
          <t>Character</t>
        </is>
      </c>
      <c r="L78" t="n">
        <v>75</v>
      </c>
      <c r="N78" t="inlineStr">
        <is>
          <t>Added from current Munitorum Field Manual v4.1 (non-Legends)</t>
        </is>
      </c>
      <c r="O78" t="inlineStr">
        <is>
          <t>https://www.warhammer-community.com/en-gb/downloads/warhammer-40000/</t>
        </is>
      </c>
    </row>
    <row r="79">
      <c r="A79" t="inlineStr">
        <is>
          <t>Astra Militarum</t>
        </is>
      </c>
      <c r="C79" t="inlineStr">
        <is>
          <t>Character</t>
        </is>
      </c>
      <c r="D79" t="inlineStr">
        <is>
          <t>Character</t>
        </is>
      </c>
      <c r="E79" t="inlineStr">
        <is>
          <t>Rogal Dorn Commander</t>
        </is>
      </c>
      <c r="F79" t="inlineStr">
        <is>
          <t>1 model</t>
        </is>
      </c>
      <c r="G79" t="inlineStr">
        <is>
          <t>Character</t>
        </is>
      </c>
      <c r="L79" t="n">
        <v>290</v>
      </c>
      <c r="M79" t="inlineStr">
        <is>
          <t>Your 1st Unit Costs: 1 models = 290 pts | Your 2nd + Unit Costs: 1 models = 305 pts</t>
        </is>
      </c>
      <c r="N79" t="inlineStr">
        <is>
          <t>Added from current Munitorum Field Manual v4.1 (non-Legends)</t>
        </is>
      </c>
      <c r="O79" t="inlineStr">
        <is>
          <t>https://www.warhammer-community.com/en-gb/downloads/warhammer-40000/</t>
        </is>
      </c>
    </row>
    <row r="80">
      <c r="A80" t="inlineStr">
        <is>
          <t>Astra Militarum</t>
        </is>
      </c>
      <c r="C80" t="inlineStr">
        <is>
          <t>Infantry / Other</t>
        </is>
      </c>
      <c r="D80" t="inlineStr">
        <is>
          <t>Infantry</t>
        </is>
      </c>
      <c r="E80" t="inlineStr">
        <is>
          <t>Sly Marbo</t>
        </is>
      </c>
      <c r="F80" t="inlineStr">
        <is>
          <t>1 model</t>
        </is>
      </c>
      <c r="G80" t="inlineStr">
        <is>
          <t>Infantry</t>
        </is>
      </c>
      <c r="L80" t="n">
        <v>55</v>
      </c>
      <c r="N80" t="inlineStr">
        <is>
          <t>Added from current Munitorum Field Manual v4.1 (non-Legends)</t>
        </is>
      </c>
      <c r="O80" t="inlineStr">
        <is>
          <t>https://www.warhammer-community.com/en-gb/downloads/warhammer-40000/</t>
        </is>
      </c>
    </row>
    <row r="81">
      <c r="A81" t="inlineStr">
        <is>
          <t>Astra Militarum</t>
        </is>
      </c>
      <c r="C81" t="inlineStr">
        <is>
          <t>Infantry / Other</t>
        </is>
      </c>
      <c r="D81" t="inlineStr">
        <is>
          <t>Infantry</t>
        </is>
      </c>
      <c r="E81" t="inlineStr">
        <is>
          <t>Tempestus Aquilons</t>
        </is>
      </c>
      <c r="F81" t="inlineStr">
        <is>
          <t>10 models</t>
        </is>
      </c>
      <c r="G81" t="inlineStr">
        <is>
          <t>Infantry</t>
        </is>
      </c>
      <c r="L81" t="n">
        <v>100</v>
      </c>
      <c r="N81" t="inlineStr">
        <is>
          <t>Added from current Munitorum Field Manual v4.1 (non-Legends)</t>
        </is>
      </c>
      <c r="O81"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Black Templars</t>
        </is>
      </c>
      <c r="B2" t="inlineStr">
        <is>
          <t>Black Templars</t>
        </is>
      </c>
      <c r="C2" t="inlineStr">
        <is>
          <t>Infantry / Other</t>
        </is>
      </c>
      <c r="D2" t="inlineStr">
        <is>
          <t>Infantry</t>
        </is>
      </c>
      <c r="E2" t="inlineStr">
        <is>
          <t>Castellan</t>
        </is>
      </c>
      <c r="F2" t="inlineStr">
        <is>
          <t>1 model</t>
        </is>
      </c>
      <c r="G2" t="inlineStr">
        <is>
          <t>Infantry</t>
        </is>
      </c>
      <c r="L2" s="60" t="n">
        <v>60</v>
      </c>
      <c r="M2" s="54" t="str"/>
      <c r="N2" s="54" t="inlineStr">
        <is>
          <t>Matched to Munitorum Field Manual v2.3</t>
        </is>
      </c>
      <c r="O2" s="54" t="inlineStr">
        <is>
          <t>Uploaded PDF: Munitorum Field Manual v2.3 / March 2025, p.10</t>
        </is>
      </c>
    </row>
    <row r="3">
      <c r="A3" t="inlineStr">
        <is>
          <t>Black Templars</t>
        </is>
      </c>
      <c r="B3" t="inlineStr">
        <is>
          <t>Black Templars</t>
        </is>
      </c>
      <c r="C3" t="inlineStr">
        <is>
          <t>Character</t>
        </is>
      </c>
      <c r="D3" t="inlineStr">
        <is>
          <t>Character</t>
        </is>
      </c>
      <c r="E3" t="inlineStr">
        <is>
          <t>Chaplain Grimaldus</t>
        </is>
      </c>
      <c r="F3" t="inlineStr">
        <is>
          <t>4 models</t>
        </is>
      </c>
      <c r="G3" t="inlineStr">
        <is>
          <t>Character</t>
        </is>
      </c>
      <c r="L3" s="60" t="n">
        <v>130</v>
      </c>
      <c r="M3" s="54" t="str"/>
      <c r="N3" s="54" t="inlineStr">
        <is>
          <t>Matched to Munitorum Field Manual v2.3</t>
        </is>
      </c>
      <c r="O3" s="54" t="inlineStr">
        <is>
          <t>Uploaded PDF: Munitorum Field Manual v2.3 / March 2025, p.10</t>
        </is>
      </c>
    </row>
    <row r="4">
      <c r="A4" t="inlineStr">
        <is>
          <t>Black Templars</t>
        </is>
      </c>
      <c r="B4" t="inlineStr">
        <is>
          <t>Black Templars</t>
        </is>
      </c>
      <c r="C4" t="inlineStr">
        <is>
          <t>Infantry / Other</t>
        </is>
      </c>
      <c r="D4" t="inlineStr">
        <is>
          <t>Infantry</t>
        </is>
      </c>
      <c r="E4" t="inlineStr">
        <is>
          <t>Crusader Squad</t>
        </is>
      </c>
      <c r="F4" t="inlineStr">
        <is>
          <t>1 Sword Brother and 4 Initiates</t>
        </is>
      </c>
      <c r="G4" t="inlineStr">
        <is>
          <t>Infantry</t>
        </is>
      </c>
      <c r="L4" s="60" t="n">
        <v>85</v>
      </c>
      <c r="M4" s="54" t="inlineStr">
        <is>
          <t>Points options: 1 Sword Brother and 4 Initiates = 85 pts; 1 Sword Brother and 9 Initiates = 150 pts; 1 Sword Brother, 4 Initiates and 5 Neophytes = 135 pts; 1 Sword Brother, 9 Initiates and 10 Neophytes = 290 pts</t>
        </is>
      </c>
      <c r="N4" s="54" t="inlineStr">
        <is>
          <t>Matched to Munitorum Field Manual v2.3</t>
        </is>
      </c>
      <c r="O4" s="54" t="inlineStr">
        <is>
          <t>Uploaded PDF: Munitorum Field Manual v2.3 / March 2025, p.10</t>
        </is>
      </c>
    </row>
    <row r="5">
      <c r="A5" t="inlineStr">
        <is>
          <t>Black Templars</t>
        </is>
      </c>
      <c r="B5" t="inlineStr">
        <is>
          <t>Black Templars</t>
        </is>
      </c>
      <c r="C5" t="inlineStr">
        <is>
          <t>Character</t>
        </is>
      </c>
      <c r="D5" t="inlineStr">
        <is>
          <t>Character</t>
        </is>
      </c>
      <c r="E5" t="inlineStr">
        <is>
          <t>Emperor's Champion</t>
        </is>
      </c>
      <c r="F5" t="inlineStr">
        <is>
          <t>1 model</t>
        </is>
      </c>
      <c r="G5" t="inlineStr">
        <is>
          <t>Character</t>
        </is>
      </c>
      <c r="L5" s="60" t="n">
        <v>75</v>
      </c>
      <c r="M5" s="54" t="str"/>
      <c r="N5" s="54" t="inlineStr">
        <is>
          <t>Matched to Munitorum Field Manual v2.3</t>
        </is>
      </c>
      <c r="O5" s="54" t="inlineStr">
        <is>
          <t>Uploaded PDF: Munitorum Field Manual v2.3 / March 2025, p.10</t>
        </is>
      </c>
    </row>
    <row r="6">
      <c r="A6" t="inlineStr">
        <is>
          <t>Black Templars</t>
        </is>
      </c>
      <c r="B6" t="inlineStr">
        <is>
          <t>Black Templars</t>
        </is>
      </c>
      <c r="C6" t="inlineStr">
        <is>
          <t>Infantry / Other</t>
        </is>
      </c>
      <c r="D6" t="inlineStr">
        <is>
          <t>Infantry</t>
        </is>
      </c>
      <c r="E6" t="inlineStr">
        <is>
          <t>Helbrecht</t>
        </is>
      </c>
      <c r="F6" t="inlineStr">
        <is>
          <t>1 model</t>
        </is>
      </c>
      <c r="G6" t="inlineStr">
        <is>
          <t>Infantry</t>
        </is>
      </c>
      <c r="L6" s="60" t="n">
        <v>130</v>
      </c>
      <c r="M6" s="54" t="str"/>
      <c r="N6" s="54" t="inlineStr">
        <is>
          <t>Matched to Munitorum Field Manual v2.3</t>
        </is>
      </c>
      <c r="O6" s="54" t="inlineStr">
        <is>
          <t>Uploaded PDF: Munitorum Field Manual v2.3 / March 2025, p.10</t>
        </is>
      </c>
    </row>
    <row r="7">
      <c r="A7" t="inlineStr">
        <is>
          <t>Black Templars</t>
        </is>
      </c>
      <c r="B7" t="inlineStr">
        <is>
          <t>Black Templars</t>
        </is>
      </c>
      <c r="C7" t="inlineStr">
        <is>
          <t>Infantry / Other</t>
        </is>
      </c>
      <c r="D7" t="inlineStr">
        <is>
          <t>Infantry</t>
        </is>
      </c>
      <c r="E7" t="inlineStr">
        <is>
          <t>Primaris Crusader Squad</t>
        </is>
      </c>
      <c r="F7" t="inlineStr">
        <is>
          <t>1 Sword Brother, 5 Initiates and 4 Neophytes</t>
        </is>
      </c>
      <c r="G7" t="inlineStr">
        <is>
          <t>Infantry</t>
        </is>
      </c>
      <c r="L7" s="60" t="n">
        <v>150</v>
      </c>
      <c r="M7" s="54" t="inlineStr">
        <is>
          <t>Points options: 1 Sword Brother, 5 Initiates and 4 Neophytes = 150 pts; 1 Sword Brother, 11 Initiates and 8 Neophytes = 320 pts</t>
        </is>
      </c>
      <c r="N7" s="54" t="inlineStr">
        <is>
          <t>Matched to Munitorum Field Manual v2.3</t>
        </is>
      </c>
      <c r="O7" s="54" t="inlineStr">
        <is>
          <t>Uploaded PDF: Munitorum Field Manual v2.3 / March 2025, p.10</t>
        </is>
      </c>
    </row>
    <row r="8">
      <c r="A8" t="inlineStr">
        <is>
          <t>Black Templars</t>
        </is>
      </c>
      <c r="B8" t="inlineStr">
        <is>
          <t>Black Templars</t>
        </is>
      </c>
      <c r="C8" t="inlineStr">
        <is>
          <t>Infantry / Other</t>
        </is>
      </c>
      <c r="D8" t="inlineStr">
        <is>
          <t>Infantry</t>
        </is>
      </c>
      <c r="E8" t="inlineStr">
        <is>
          <t>Primaris Sword Brethren</t>
        </is>
      </c>
      <c r="F8" t="inlineStr">
        <is>
          <t>5 models</t>
        </is>
      </c>
      <c r="G8" t="inlineStr">
        <is>
          <t>Infantry</t>
        </is>
      </c>
      <c r="L8" s="60" t="n">
        <v>150</v>
      </c>
      <c r="M8" s="54" t="inlineStr">
        <is>
          <t>Points options: 5 models = 150 pts; 10 models = 300 pts</t>
        </is>
      </c>
      <c r="N8" s="54" t="inlineStr">
        <is>
          <t>Matched to Munitorum Field Manual v2.3</t>
        </is>
      </c>
      <c r="O8" s="54" t="inlineStr">
        <is>
          <t>Uploaded PDF: Munitorum Field Manual v2.3 / March 2025, p.10</t>
        </is>
      </c>
    </row>
    <row r="9">
      <c r="A9" t="inlineStr">
        <is>
          <t>Black Templars</t>
        </is>
      </c>
      <c r="B9" t="inlineStr">
        <is>
          <t>Black Templars</t>
        </is>
      </c>
      <c r="C9" t="inlineStr">
        <is>
          <t>Vehicle / Support</t>
        </is>
      </c>
      <c r="D9" t="inlineStr">
        <is>
          <t>Vehicle</t>
        </is>
      </c>
      <c r="E9" t="inlineStr">
        <is>
          <t>Black Templars Gladiator Lancer</t>
        </is>
      </c>
      <c r="F9" t="inlineStr">
        <is>
          <t>1 model</t>
        </is>
      </c>
      <c r="G9" t="inlineStr">
        <is>
          <t>Vehicle</t>
        </is>
      </c>
      <c r="L9" s="60" t="n">
        <v>170</v>
      </c>
      <c r="M9" s="54" t="str"/>
      <c r="N9" s="54" t="inlineStr">
        <is>
          <t>Matched to Munitorum Field Manual v2.3</t>
        </is>
      </c>
      <c r="O9" s="54" t="inlineStr">
        <is>
          <t>Uploaded PDF: Munitorum Field Manual v2.3 / March 2025, p.10</t>
        </is>
      </c>
    </row>
    <row r="10">
      <c r="A10" t="inlineStr">
        <is>
          <t>Black Templars</t>
        </is>
      </c>
      <c r="B10" t="inlineStr">
        <is>
          <t>Black Templars</t>
        </is>
      </c>
      <c r="C10" t="inlineStr">
        <is>
          <t>Vehicle / Support</t>
        </is>
      </c>
      <c r="D10" t="inlineStr">
        <is>
          <t>Vehicle</t>
        </is>
      </c>
      <c r="E10" t="inlineStr">
        <is>
          <t>Black Templars Impulsor</t>
        </is>
      </c>
      <c r="F10" t="inlineStr">
        <is>
          <t>1 model</t>
        </is>
      </c>
      <c r="G10" t="inlineStr">
        <is>
          <t>Vehicle</t>
        </is>
      </c>
      <c r="L10" s="60" t="n">
        <v>90</v>
      </c>
      <c r="M10" s="54" t="str"/>
      <c r="N10" s="54" t="inlineStr">
        <is>
          <t>Matched to Munitorum Field Manual v2.3</t>
        </is>
      </c>
      <c r="O10" s="54" t="inlineStr">
        <is>
          <t>Uploaded PDF: Munitorum Field Manual v2.3 / March 2025, p.10</t>
        </is>
      </c>
    </row>
    <row r="11">
      <c r="A11" t="inlineStr">
        <is>
          <t>Black Templars</t>
        </is>
      </c>
      <c r="B11" t="inlineStr">
        <is>
          <t>Black Templars</t>
        </is>
      </c>
      <c r="C11" t="inlineStr">
        <is>
          <t>Vehicle / Support</t>
        </is>
      </c>
      <c r="D11" t="inlineStr">
        <is>
          <t>Vehicle</t>
        </is>
      </c>
      <c r="E11" t="inlineStr">
        <is>
          <t>Black Templars Repulsor</t>
        </is>
      </c>
      <c r="F11" t="inlineStr">
        <is>
          <t>1 model</t>
        </is>
      </c>
      <c r="G11" t="inlineStr">
        <is>
          <t>Vehicle</t>
        </is>
      </c>
      <c r="L11" s="60" t="n">
        <v>190</v>
      </c>
      <c r="M11" s="54" t="str"/>
      <c r="N11" s="54" t="inlineStr">
        <is>
          <t>Matched to Munitorum Field Manual v2.3</t>
        </is>
      </c>
      <c r="O11" s="54" t="inlineStr">
        <is>
          <t>Uploaded PDF: Munitorum Field Manual v2.3 / March 2025, p.10</t>
        </is>
      </c>
    </row>
    <row r="12">
      <c r="A12" t="inlineStr">
        <is>
          <t>Black Templars</t>
        </is>
      </c>
      <c r="B12" t="inlineStr">
        <is>
          <t>Black Templars</t>
        </is>
      </c>
      <c r="C12" t="inlineStr">
        <is>
          <t>Vehicle / Support</t>
        </is>
      </c>
      <c r="D12" t="inlineStr">
        <is>
          <t>Vehicle</t>
        </is>
      </c>
      <c r="E12" t="inlineStr">
        <is>
          <t>Black Templars Repulsor Executioner</t>
        </is>
      </c>
      <c r="F12" t="inlineStr">
        <is>
          <t>1 model</t>
        </is>
      </c>
      <c r="G12" t="inlineStr">
        <is>
          <t>Vehicle</t>
        </is>
      </c>
      <c r="L12" s="60" t="n">
        <v>230</v>
      </c>
      <c r="M12" s="54" t="str"/>
      <c r="N12" s="54" t="inlineStr">
        <is>
          <t>Matched to Munitorum Field Manual v2.3</t>
        </is>
      </c>
      <c r="O12" s="54" t="inlineStr">
        <is>
          <t>Uploaded PDF: Munitorum Field Manual v2.3 / March 2025, p.10</t>
        </is>
      </c>
    </row>
    <row r="13">
      <c r="A13" t="inlineStr">
        <is>
          <t>Black Templars</t>
        </is>
      </c>
      <c r="B13" t="inlineStr">
        <is>
          <t>Black Templars</t>
        </is>
      </c>
      <c r="C13" t="inlineStr">
        <is>
          <t>Character</t>
        </is>
      </c>
      <c r="D13" t="inlineStr">
        <is>
          <t>Character</t>
        </is>
      </c>
      <c r="E13" t="inlineStr">
        <is>
          <t>Crusade Ancient</t>
        </is>
      </c>
      <c r="F13" t="inlineStr">
        <is>
          <t>1 model</t>
        </is>
      </c>
      <c r="G13" t="inlineStr">
        <is>
          <t>Character</t>
        </is>
      </c>
      <c r="L13" t="n">
        <v>45</v>
      </c>
      <c r="N13" t="inlineStr">
        <is>
          <t>Added from current Munitorum Field Manual v4.1 (non-Legends)</t>
        </is>
      </c>
      <c r="O13" t="inlineStr">
        <is>
          <t>https://www.warhammer-community.com/en-gb/downloads/warhammer-40000/</t>
        </is>
      </c>
    </row>
    <row r="14">
      <c r="A14" t="inlineStr">
        <is>
          <t>Black Templars</t>
        </is>
      </c>
      <c r="B14" t="inlineStr">
        <is>
          <t>Black Templars</t>
        </is>
      </c>
      <c r="C14" t="inlineStr">
        <is>
          <t>Character</t>
        </is>
      </c>
      <c r="D14" t="inlineStr">
        <is>
          <t>Character</t>
        </is>
      </c>
      <c r="E14" t="inlineStr">
        <is>
          <t>Execrator</t>
        </is>
      </c>
      <c r="F14" t="inlineStr">
        <is>
          <t>1 model</t>
        </is>
      </c>
      <c r="G14" t="inlineStr">
        <is>
          <t>Character</t>
        </is>
      </c>
      <c r="L14" t="n">
        <v>60</v>
      </c>
      <c r="N14" t="inlineStr">
        <is>
          <t>Added from current Munitorum Field Manual v4.1 (non-Legends)</t>
        </is>
      </c>
      <c r="O14" t="inlineStr">
        <is>
          <t>https://www.warhammer-community.com/en-gb/downloads/warhammer-40000/</t>
        </is>
      </c>
    </row>
    <row r="15">
      <c r="A15" t="inlineStr">
        <is>
          <t>Black Templars</t>
        </is>
      </c>
      <c r="B15" t="inlineStr">
        <is>
          <t>Black Templars</t>
        </is>
      </c>
      <c r="C15" t="inlineStr">
        <is>
          <t>Character</t>
        </is>
      </c>
      <c r="D15" t="inlineStr">
        <is>
          <t>Character</t>
        </is>
      </c>
      <c r="E15" t="inlineStr">
        <is>
          <t>Marshal</t>
        </is>
      </c>
      <c r="F15" t="inlineStr">
        <is>
          <t>1 model</t>
        </is>
      </c>
      <c r="G15" t="inlineStr">
        <is>
          <t>Character</t>
        </is>
      </c>
      <c r="L15" t="n">
        <v>80</v>
      </c>
      <c r="M15" t="inlineStr">
        <is>
          <t>Your 1st Unit Costs: 1 models = 80 pts | Your 2nd + Unit Costs: 1 models = 90 pts</t>
        </is>
      </c>
      <c r="N15" t="inlineStr">
        <is>
          <t>Added from current Munitorum Field Manual v4.1 (non-Legends)</t>
        </is>
      </c>
      <c r="O1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Blood Angels</t>
        </is>
      </c>
      <c r="B2" t="inlineStr">
        <is>
          <t>Blood Angels</t>
        </is>
      </c>
      <c r="C2" t="inlineStr">
        <is>
          <t>Infantry / Other</t>
        </is>
      </c>
      <c r="D2" t="inlineStr">
        <is>
          <t>Infantry</t>
        </is>
      </c>
      <c r="E2" t="inlineStr">
        <is>
          <t>Astorath</t>
        </is>
      </c>
      <c r="F2" t="inlineStr">
        <is>
          <t>1 model</t>
        </is>
      </c>
      <c r="G2" t="inlineStr">
        <is>
          <t>Infantry</t>
        </is>
      </c>
      <c r="L2" s="60" t="n">
        <v>105</v>
      </c>
      <c r="M2" s="54" t="str"/>
      <c r="N2" s="54" t="inlineStr">
        <is>
          <t>Matched to Munitorum Field Manual v2.3</t>
        </is>
      </c>
      <c r="O2" s="54" t="inlineStr">
        <is>
          <t>Uploaded PDF: Munitorum Field Manual v2.3 / March 2025, p.11</t>
        </is>
      </c>
    </row>
    <row r="3">
      <c r="A3" t="inlineStr">
        <is>
          <t>Blood Angels</t>
        </is>
      </c>
      <c r="B3" t="inlineStr">
        <is>
          <t>Blood Angels</t>
        </is>
      </c>
      <c r="C3" t="inlineStr">
        <is>
          <t>Vehicle / Support</t>
        </is>
      </c>
      <c r="D3" t="inlineStr">
        <is>
          <t>Vehicle</t>
        </is>
      </c>
      <c r="E3" t="inlineStr">
        <is>
          <t>Baal Predator</t>
        </is>
      </c>
      <c r="F3" t="inlineStr">
        <is>
          <t>1 model</t>
        </is>
      </c>
      <c r="G3" t="inlineStr">
        <is>
          <t>Vehicle</t>
        </is>
      </c>
      <c r="L3" s="60" t="n">
        <v>135</v>
      </c>
      <c r="M3" s="54" t="str"/>
      <c r="N3" s="54" t="inlineStr">
        <is>
          <t>Matched to Munitorum Field Manual v2.3</t>
        </is>
      </c>
      <c r="O3" s="54" t="inlineStr">
        <is>
          <t>Uploaded PDF: Munitorum Field Manual v2.3 / March 2025, p.11</t>
        </is>
      </c>
    </row>
    <row r="4">
      <c r="A4" t="inlineStr">
        <is>
          <t>Blood Angels</t>
        </is>
      </c>
      <c r="B4" t="inlineStr">
        <is>
          <t>Blood Angels</t>
        </is>
      </c>
      <c r="C4" t="inlineStr">
        <is>
          <t>Character</t>
        </is>
      </c>
      <c r="D4" t="inlineStr">
        <is>
          <t>Character</t>
        </is>
      </c>
      <c r="E4" t="inlineStr">
        <is>
          <t>Blood Angels Captain</t>
        </is>
      </c>
      <c r="F4" t="inlineStr">
        <is>
          <t>1 model</t>
        </is>
      </c>
      <c r="G4" t="inlineStr">
        <is>
          <t>Character</t>
        </is>
      </c>
      <c r="L4" s="60" t="n">
        <v>80</v>
      </c>
      <c r="M4" s="54" t="str"/>
      <c r="N4" s="54" t="inlineStr">
        <is>
          <t>Matched to Munitorum Field Manual v2.3</t>
        </is>
      </c>
      <c r="O4" s="54" t="inlineStr">
        <is>
          <t>Uploaded PDF: Munitorum Field Manual v2.3 / March 2025, p.11</t>
        </is>
      </c>
    </row>
    <row r="5">
      <c r="A5" t="inlineStr">
        <is>
          <t>Blood Angels</t>
        </is>
      </c>
      <c r="B5" t="inlineStr">
        <is>
          <t>Blood Angels</t>
        </is>
      </c>
      <c r="C5" t="inlineStr">
        <is>
          <t>Character</t>
        </is>
      </c>
      <c r="D5" t="inlineStr">
        <is>
          <t>Character</t>
        </is>
      </c>
      <c r="E5" t="inlineStr">
        <is>
          <t>Chief Librarian Mephiston</t>
        </is>
      </c>
      <c r="F5" t="inlineStr">
        <is>
          <t>1 model</t>
        </is>
      </c>
      <c r="G5" t="inlineStr">
        <is>
          <t>Character, Psyker</t>
        </is>
      </c>
      <c r="L5" s="60" t="n">
        <v>135</v>
      </c>
      <c r="M5" s="54" t="str"/>
      <c r="N5" s="54" t="inlineStr">
        <is>
          <t>Matched to Munitorum Field Manual v2.3</t>
        </is>
      </c>
      <c r="O5" s="54" t="inlineStr">
        <is>
          <t>Uploaded PDF: Munitorum Field Manual v2.3 / March 2025, p.11</t>
        </is>
      </c>
    </row>
    <row r="6">
      <c r="A6" t="inlineStr">
        <is>
          <t>Blood Angels</t>
        </is>
      </c>
      <c r="B6" t="inlineStr">
        <is>
          <t>Blood Angels</t>
        </is>
      </c>
      <c r="C6" t="inlineStr">
        <is>
          <t>Character</t>
        </is>
      </c>
      <c r="D6" t="inlineStr">
        <is>
          <t>Character</t>
        </is>
      </c>
      <c r="E6" t="inlineStr">
        <is>
          <t>Commander Dante</t>
        </is>
      </c>
      <c r="F6" t="inlineStr">
        <is>
          <t>1 model</t>
        </is>
      </c>
      <c r="G6" t="inlineStr">
        <is>
          <t>Character, Epic Hero</t>
        </is>
      </c>
      <c r="L6" s="60" t="n">
        <v>130</v>
      </c>
      <c r="M6" s="54" t="str"/>
      <c r="N6" s="54" t="inlineStr">
        <is>
          <t>Matched to Munitorum Field Manual v2.3</t>
        </is>
      </c>
      <c r="O6" s="54" t="inlineStr">
        <is>
          <t>Uploaded PDF: Munitorum Field Manual v2.3 / March 2025, p.11</t>
        </is>
      </c>
    </row>
    <row r="7">
      <c r="A7" t="inlineStr">
        <is>
          <t>Blood Angels</t>
        </is>
      </c>
      <c r="B7" t="inlineStr">
        <is>
          <t>Blood Angels</t>
        </is>
      </c>
      <c r="C7" t="inlineStr">
        <is>
          <t>Vehicle / Support</t>
        </is>
      </c>
      <c r="D7" t="inlineStr">
        <is>
          <t>Walker / Battlesuit</t>
        </is>
      </c>
      <c r="E7" t="inlineStr">
        <is>
          <t>Death Company Dreadnought</t>
        </is>
      </c>
      <c r="F7" t="inlineStr">
        <is>
          <t>1 model</t>
        </is>
      </c>
      <c r="G7" t="inlineStr">
        <is>
          <t>Walker / Battlesuit</t>
        </is>
      </c>
      <c r="L7" s="60" t="n">
        <v>180</v>
      </c>
      <c r="M7" s="54" t="str"/>
      <c r="N7" s="54" t="inlineStr">
        <is>
          <t>Matched to Munitorum Field Manual v2.3</t>
        </is>
      </c>
      <c r="O7" s="54" t="inlineStr">
        <is>
          <t>Uploaded PDF: Munitorum Field Manual v2.3 / March 2025, p.11</t>
        </is>
      </c>
    </row>
    <row r="8">
      <c r="A8" t="inlineStr">
        <is>
          <t>Blood Angels</t>
        </is>
      </c>
      <c r="B8" t="inlineStr">
        <is>
          <t>Blood Angels</t>
        </is>
      </c>
      <c r="C8" t="inlineStr">
        <is>
          <t>Infantry / Other</t>
        </is>
      </c>
      <c r="D8" t="inlineStr">
        <is>
          <t>Infantry</t>
        </is>
      </c>
      <c r="E8" t="inlineStr">
        <is>
          <t>Death Company Marines</t>
        </is>
      </c>
      <c r="F8" t="inlineStr">
        <is>
          <t>5 models</t>
        </is>
      </c>
      <c r="G8" t="inlineStr">
        <is>
          <t>Infantry</t>
        </is>
      </c>
      <c r="L8" s="60" t="n">
        <v>85</v>
      </c>
      <c r="M8" s="54" t="inlineStr">
        <is>
          <t>Points options: 5 models = 85 pts; 10 models = 160 pts</t>
        </is>
      </c>
      <c r="N8" s="54" t="inlineStr">
        <is>
          <t>Matched to Munitorum Field Manual v2.3</t>
        </is>
      </c>
      <c r="O8" s="54" t="inlineStr">
        <is>
          <t>Uploaded PDF: Munitorum Field Manual v2.3 / March 2025, p.11</t>
        </is>
      </c>
    </row>
    <row r="9">
      <c r="A9" t="inlineStr">
        <is>
          <t>Blood Angels</t>
        </is>
      </c>
      <c r="B9" t="inlineStr">
        <is>
          <t>Blood Angels</t>
        </is>
      </c>
      <c r="C9" t="inlineStr">
        <is>
          <t>Infantry / Other</t>
        </is>
      </c>
      <c r="D9" t="inlineStr">
        <is>
          <t>Infantry</t>
        </is>
      </c>
      <c r="E9" t="inlineStr">
        <is>
          <t>Death Company Marines with Bolt Rifles</t>
        </is>
      </c>
      <c r="F9" t="inlineStr">
        <is>
          <t>5 models</t>
        </is>
      </c>
      <c r="G9" t="inlineStr">
        <is>
          <t>Infantry</t>
        </is>
      </c>
      <c r="L9" s="60" t="n">
        <v>85</v>
      </c>
      <c r="M9" s="54" t="inlineStr">
        <is>
          <t>Points options: 5 models = 85 pts; 10 models = 160 pts</t>
        </is>
      </c>
      <c r="N9" s="54" t="inlineStr">
        <is>
          <t>Matched to Munitorum Field Manual v2.3</t>
        </is>
      </c>
      <c r="O9" s="54" t="inlineStr">
        <is>
          <t>Uploaded PDF: Munitorum Field Manual v2.3 / March 2025, p.11</t>
        </is>
      </c>
    </row>
    <row r="10">
      <c r="A10" t="inlineStr">
        <is>
          <t>Blood Angels</t>
        </is>
      </c>
      <c r="B10" t="inlineStr">
        <is>
          <t>Blood Angels</t>
        </is>
      </c>
      <c r="C10" t="inlineStr">
        <is>
          <t>Infantry / Other</t>
        </is>
      </c>
      <c r="D10" t="inlineStr">
        <is>
          <t>Infantry</t>
        </is>
      </c>
      <c r="E10" t="inlineStr">
        <is>
          <t>Death Company Marines with Jump Packs</t>
        </is>
      </c>
      <c r="F10" t="inlineStr">
        <is>
          <t>5 models</t>
        </is>
      </c>
      <c r="G10" t="inlineStr">
        <is>
          <t>Infantry</t>
        </is>
      </c>
      <c r="L10" s="60" t="n">
        <v>130</v>
      </c>
      <c r="M10" s="54" t="inlineStr">
        <is>
          <t>Points options: 5 models = 130 pts; 10 models = 240 pts</t>
        </is>
      </c>
      <c r="N10" s="54" t="inlineStr">
        <is>
          <t>Matched to Munitorum Field Manual v2.3</t>
        </is>
      </c>
      <c r="O10" s="54" t="inlineStr">
        <is>
          <t>Uploaded PDF: Munitorum Field Manual v2.3 / March 2025, p.11</t>
        </is>
      </c>
    </row>
    <row r="11">
      <c r="A11" t="inlineStr">
        <is>
          <t>Blood Angels</t>
        </is>
      </c>
      <c r="B11" t="inlineStr">
        <is>
          <t>Blood Angels</t>
        </is>
      </c>
      <c r="C11" t="inlineStr">
        <is>
          <t>Vehicle / Support</t>
        </is>
      </c>
      <c r="D11" t="inlineStr">
        <is>
          <t>Walker / Battlesuit</t>
        </is>
      </c>
      <c r="E11" t="inlineStr">
        <is>
          <t>Furioso Dreadnought</t>
        </is>
      </c>
      <c r="G11" t="inlineStr">
        <is>
          <t>Walker / Battlesuit</t>
        </is>
      </c>
      <c r="L11" s="60" t="n"/>
      <c r="M11" s="54" t="inlineStr">
        <is>
          <t>No matching points entry found in uploaded PDF; verify unit name/current support.</t>
        </is>
      </c>
      <c r="N11" s="54" t="inlineStr">
        <is>
          <t>Not found in uploaded PDF</t>
        </is>
      </c>
      <c r="O11" s="54" t="inlineStr">
        <is>
          <t>Uploaded PDF: Munitorum Field Manual v2.3 / March 2025</t>
        </is>
      </c>
    </row>
    <row r="12">
      <c r="A12" t="inlineStr">
        <is>
          <t>Blood Angels</t>
        </is>
      </c>
      <c r="B12" t="inlineStr">
        <is>
          <t>Blood Angels</t>
        </is>
      </c>
      <c r="C12" t="inlineStr">
        <is>
          <t>Infantry / Other</t>
        </is>
      </c>
      <c r="D12" t="inlineStr">
        <is>
          <t>Infantry</t>
        </is>
      </c>
      <c r="E12" t="inlineStr">
        <is>
          <t>Gabriel Seth</t>
        </is>
      </c>
      <c r="G12" t="inlineStr">
        <is>
          <t>Infantry</t>
        </is>
      </c>
      <c r="L12" s="60" t="n"/>
      <c r="M12" s="54" t="inlineStr">
        <is>
          <t>No matching points entry found in uploaded PDF; verify unit name/current support.</t>
        </is>
      </c>
      <c r="N12" s="54" t="inlineStr">
        <is>
          <t>Not found in uploaded PDF</t>
        </is>
      </c>
      <c r="O12" s="54" t="inlineStr">
        <is>
          <t>Uploaded PDF: Munitorum Field Manual v2.3 / March 2025</t>
        </is>
      </c>
    </row>
    <row r="13">
      <c r="A13" t="inlineStr">
        <is>
          <t>Blood Angels</t>
        </is>
      </c>
      <c r="B13" t="inlineStr">
        <is>
          <t>Blood Angels</t>
        </is>
      </c>
      <c r="C13" t="inlineStr">
        <is>
          <t>Infantry / Other</t>
        </is>
      </c>
      <c r="D13" t="inlineStr">
        <is>
          <t>Infantry</t>
        </is>
      </c>
      <c r="E13" t="inlineStr">
        <is>
          <t>Lemartes</t>
        </is>
      </c>
      <c r="F13" t="inlineStr">
        <is>
          <t>1 model</t>
        </is>
      </c>
      <c r="G13" t="inlineStr">
        <is>
          <t>Infantry</t>
        </is>
      </c>
      <c r="L13" s="60" t="n">
        <v>110</v>
      </c>
      <c r="M13" s="54" t="str"/>
      <c r="N13" s="54" t="inlineStr">
        <is>
          <t>Matched to Munitorum Field Manual v2.3</t>
        </is>
      </c>
      <c r="O13" s="54" t="inlineStr">
        <is>
          <t>Uploaded PDF: Munitorum Field Manual v2.3 / March 2025, p.11</t>
        </is>
      </c>
    </row>
    <row r="14">
      <c r="A14" t="inlineStr">
        <is>
          <t>Blood Angels</t>
        </is>
      </c>
      <c r="B14" t="inlineStr">
        <is>
          <t>Blood Angels</t>
        </is>
      </c>
      <c r="C14" t="inlineStr">
        <is>
          <t>Character</t>
        </is>
      </c>
      <c r="D14" t="inlineStr">
        <is>
          <t>Character</t>
        </is>
      </c>
      <c r="E14" t="inlineStr">
        <is>
          <t>Librarian Dreadnought</t>
        </is>
      </c>
      <c r="G14" t="inlineStr">
        <is>
          <t>Character, Psyker</t>
        </is>
      </c>
      <c r="L14" s="60" t="n"/>
      <c r="M14" s="54" t="inlineStr">
        <is>
          <t>No matching points entry found in uploaded PDF; verify unit name/current support.</t>
        </is>
      </c>
      <c r="N14" s="54" t="inlineStr">
        <is>
          <t>Not found in uploaded PDF</t>
        </is>
      </c>
      <c r="O14" s="54" t="inlineStr">
        <is>
          <t>Uploaded PDF: Munitorum Field Manual v2.3 / March 2025</t>
        </is>
      </c>
    </row>
    <row r="15">
      <c r="A15" t="inlineStr">
        <is>
          <t>Blood Angels</t>
        </is>
      </c>
      <c r="B15" t="inlineStr">
        <is>
          <t>Blood Angels</t>
        </is>
      </c>
      <c r="C15" t="inlineStr">
        <is>
          <t>Infantry / Other</t>
        </is>
      </c>
      <c r="D15" t="inlineStr">
        <is>
          <t>Infantry</t>
        </is>
      </c>
      <c r="E15" t="inlineStr">
        <is>
          <t>Sanguinary Guard</t>
        </is>
      </c>
      <c r="F15" t="inlineStr">
        <is>
          <t>3 models</t>
        </is>
      </c>
      <c r="G15" t="inlineStr">
        <is>
          <t>Infantry</t>
        </is>
      </c>
      <c r="L15" s="60" t="n">
        <v>130</v>
      </c>
      <c r="M15" s="54" t="inlineStr">
        <is>
          <t>Points options: 3 models = 130 pts; 6 models = 260 pts</t>
        </is>
      </c>
      <c r="N15" s="54" t="inlineStr">
        <is>
          <t>Matched to Munitorum Field Manual v2.3</t>
        </is>
      </c>
      <c r="O15" s="54" t="inlineStr">
        <is>
          <t>Uploaded PDF: Munitorum Field Manual v2.3 / March 2025, p.11</t>
        </is>
      </c>
    </row>
    <row r="16">
      <c r="A16" t="inlineStr">
        <is>
          <t>Blood Angels</t>
        </is>
      </c>
      <c r="B16" t="inlineStr">
        <is>
          <t>Blood Angels</t>
        </is>
      </c>
      <c r="C16" t="inlineStr">
        <is>
          <t>Character</t>
        </is>
      </c>
      <c r="D16" t="inlineStr">
        <is>
          <t>Character</t>
        </is>
      </c>
      <c r="E16" t="inlineStr">
        <is>
          <t>Sanguinary Priest</t>
        </is>
      </c>
      <c r="F16" t="inlineStr">
        <is>
          <t>1 model</t>
        </is>
      </c>
      <c r="G16" t="inlineStr">
        <is>
          <t>Character</t>
        </is>
      </c>
      <c r="L16" s="60" t="n">
        <v>90</v>
      </c>
      <c r="M16" s="54" t="str"/>
      <c r="N16" s="54" t="inlineStr">
        <is>
          <t>Matched to Munitorum Field Manual v2.3</t>
        </is>
      </c>
      <c r="O16" s="54" t="inlineStr">
        <is>
          <t>Uploaded PDF: Munitorum Field Manual v2.3 / March 2025, p.11</t>
        </is>
      </c>
    </row>
    <row r="17">
      <c r="A17" t="inlineStr">
        <is>
          <t>Blood Angels</t>
        </is>
      </c>
      <c r="B17" t="inlineStr">
        <is>
          <t>Blood Angels</t>
        </is>
      </c>
      <c r="C17" t="inlineStr">
        <is>
          <t>Infantry / Other</t>
        </is>
      </c>
      <c r="D17" t="inlineStr">
        <is>
          <t>Infantry</t>
        </is>
      </c>
      <c r="E17" t="inlineStr">
        <is>
          <t>The Sanguinor</t>
        </is>
      </c>
      <c r="F17" t="inlineStr">
        <is>
          <t>1 model</t>
        </is>
      </c>
      <c r="G17" t="inlineStr">
        <is>
          <t>Infantry</t>
        </is>
      </c>
      <c r="L17" s="60" t="n">
        <v>140</v>
      </c>
      <c r="M17" s="54" t="str"/>
      <c r="N17" s="54" t="inlineStr">
        <is>
          <t>Matched to Munitorum Field Manual v2.3</t>
        </is>
      </c>
      <c r="O17" s="54" t="inlineStr">
        <is>
          <t>Uploaded PDF: Munitorum Field Manual v2.3 / March 2025, p.11</t>
        </is>
      </c>
    </row>
    <row r="18">
      <c r="A18" t="inlineStr">
        <is>
          <t>Blood Angels</t>
        </is>
      </c>
      <c r="B18" t="inlineStr">
        <is>
          <t>Blood Angels</t>
        </is>
      </c>
      <c r="C18" t="inlineStr">
        <is>
          <t>Infantry / Other</t>
        </is>
      </c>
      <c r="D18" t="inlineStr">
        <is>
          <t>Infantry</t>
        </is>
      </c>
      <c r="E18" t="inlineStr">
        <is>
          <t>Tycho the Lost</t>
        </is>
      </c>
      <c r="G18" t="inlineStr">
        <is>
          <t>Infantry</t>
        </is>
      </c>
      <c r="L18" s="60" t="n"/>
      <c r="M18" s="54" t="inlineStr">
        <is>
          <t>No matching points entry found in uploaded PDF; verify unit name/current support.</t>
        </is>
      </c>
      <c r="N18" s="54" t="inlineStr">
        <is>
          <t>Not found in uploaded PDF</t>
        </is>
      </c>
      <c r="O18" s="54" t="inlineStr">
        <is>
          <t>Uploaded PDF: Munitorum Field Manual v2.3 / March 2025</t>
        </is>
      </c>
    </row>
    <row r="19">
      <c r="A19" t="inlineStr">
        <is>
          <t>Blood Angels</t>
        </is>
      </c>
      <c r="B19" t="inlineStr">
        <is>
          <t>Blood Angels</t>
        </is>
      </c>
      <c r="C19" t="inlineStr">
        <is>
          <t>Character</t>
        </is>
      </c>
      <c r="D19" t="inlineStr">
        <is>
          <t>Character</t>
        </is>
      </c>
      <c r="E19" t="inlineStr">
        <is>
          <t>Death Company Captain</t>
        </is>
      </c>
      <c r="F19" t="inlineStr">
        <is>
          <t>1 model</t>
        </is>
      </c>
      <c r="G19" t="inlineStr">
        <is>
          <t>Character</t>
        </is>
      </c>
      <c r="L19" t="n">
        <v>70</v>
      </c>
      <c r="N19" t="inlineStr">
        <is>
          <t>Added from current Munitorum Field Manual v4.1 (non-Legends)</t>
        </is>
      </c>
      <c r="O19" t="inlineStr">
        <is>
          <t>https://www.warhammer-community.com/en-gb/downloads/warhammer-40000/</t>
        </is>
      </c>
    </row>
    <row r="20">
      <c r="A20" t="inlineStr">
        <is>
          <t>Blood Angels</t>
        </is>
      </c>
      <c r="B20" t="inlineStr">
        <is>
          <t>Blood Angels</t>
        </is>
      </c>
      <c r="C20" t="inlineStr">
        <is>
          <t>Character</t>
        </is>
      </c>
      <c r="D20" t="inlineStr">
        <is>
          <t>Character</t>
        </is>
      </c>
      <c r="E20" t="inlineStr">
        <is>
          <t>Death Company Captain With Jump Pack</t>
        </is>
      </c>
      <c r="F20" t="inlineStr">
        <is>
          <t>1 model</t>
        </is>
      </c>
      <c r="G20" t="inlineStr">
        <is>
          <t>Character</t>
        </is>
      </c>
      <c r="L20" t="n">
        <v>75</v>
      </c>
      <c r="N20" t="inlineStr">
        <is>
          <t>Added from current Munitorum Field Manual v4.1 (non-Legends)</t>
        </is>
      </c>
      <c r="O20"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Chaos Daemons</t>
        </is>
      </c>
      <c r="C2" t="inlineStr">
        <is>
          <t>Monster / Heavy Support</t>
        </is>
      </c>
      <c r="D2" t="inlineStr">
        <is>
          <t>Monster</t>
        </is>
      </c>
      <c r="E2" t="inlineStr">
        <is>
          <t>Be'lakor</t>
        </is>
      </c>
      <c r="F2" t="inlineStr">
        <is>
          <t>1 model</t>
        </is>
      </c>
      <c r="G2" t="inlineStr">
        <is>
          <t>Monster, Epic Hero</t>
        </is>
      </c>
      <c r="L2" s="60" t="n">
        <v>375</v>
      </c>
      <c r="M2" s="54" t="str"/>
      <c r="N2" s="54" t="inlineStr">
        <is>
          <t>Matched to Munitorum Field Manual v2.3</t>
        </is>
      </c>
      <c r="O2" s="54" t="inlineStr">
        <is>
          <t>Uploaded PDF: Munitorum Field Manual v2.3 / March 2025, p.12</t>
        </is>
      </c>
    </row>
    <row r="3">
      <c r="A3" t="inlineStr">
        <is>
          <t>Chaos Daemons</t>
        </is>
      </c>
      <c r="C3" t="inlineStr">
        <is>
          <t>Infantry / Other</t>
        </is>
      </c>
      <c r="D3" t="inlineStr">
        <is>
          <t>Beast / Swarm</t>
        </is>
      </c>
      <c r="E3" t="inlineStr">
        <is>
          <t>Beasts of Nurgle</t>
        </is>
      </c>
      <c r="F3" t="inlineStr">
        <is>
          <t>1 model</t>
        </is>
      </c>
      <c r="G3" t="inlineStr">
        <is>
          <t>Beast / Swarm</t>
        </is>
      </c>
      <c r="L3" s="60" t="n">
        <v>65</v>
      </c>
      <c r="M3" s="54" t="inlineStr">
        <is>
          <t>Points options: 1 model = 65 pts; 2 models = 130 pts</t>
        </is>
      </c>
      <c r="N3" s="54" t="inlineStr">
        <is>
          <t>Matched to Munitorum Field Manual v2.3</t>
        </is>
      </c>
      <c r="O3" s="54" t="inlineStr">
        <is>
          <t>Uploaded PDF: Munitorum Field Manual v2.3 / March 2025, p.12</t>
        </is>
      </c>
    </row>
    <row r="4">
      <c r="A4" t="inlineStr">
        <is>
          <t>Chaos Daemons</t>
        </is>
      </c>
      <c r="C4" t="inlineStr">
        <is>
          <t>Infantry / Other</t>
        </is>
      </c>
      <c r="D4" t="inlineStr">
        <is>
          <t>Infantry</t>
        </is>
      </c>
      <c r="E4" t="inlineStr">
        <is>
          <t>Bloodcrushers</t>
        </is>
      </c>
      <c r="F4" t="inlineStr">
        <is>
          <t>3 models</t>
        </is>
      </c>
      <c r="G4" t="inlineStr">
        <is>
          <t>Infantry</t>
        </is>
      </c>
      <c r="L4" s="60" t="n">
        <v>110</v>
      </c>
      <c r="M4" s="54" t="inlineStr">
        <is>
          <t>Points options: 3 models = 110 pts; 6 models = 220 pts</t>
        </is>
      </c>
      <c r="N4" s="54" t="inlineStr">
        <is>
          <t>Matched to Munitorum Field Manual v2.3</t>
        </is>
      </c>
      <c r="O4" s="54" t="inlineStr">
        <is>
          <t>Uploaded PDF: Munitorum Field Manual v2.3 / March 2025, p.12</t>
        </is>
      </c>
    </row>
    <row r="5">
      <c r="A5" t="inlineStr">
        <is>
          <t>Chaos Daemons</t>
        </is>
      </c>
      <c r="C5" t="inlineStr">
        <is>
          <t>Infantry / Other</t>
        </is>
      </c>
      <c r="D5" t="inlineStr">
        <is>
          <t>Infantry</t>
        </is>
      </c>
      <c r="E5" t="inlineStr">
        <is>
          <t>Bloodletters</t>
        </is>
      </c>
      <c r="F5" t="inlineStr">
        <is>
          <t>10 models</t>
        </is>
      </c>
      <c r="G5" t="inlineStr">
        <is>
          <t>Infantry</t>
        </is>
      </c>
      <c r="L5" s="60" t="n">
        <v>110</v>
      </c>
      <c r="M5" s="54" t="str"/>
      <c r="N5" s="54" t="inlineStr">
        <is>
          <t>Matched to Munitorum Field Manual v2.3</t>
        </is>
      </c>
      <c r="O5" s="54" t="inlineStr">
        <is>
          <t>Uploaded PDF: Munitorum Field Manual v2.3 / March 2025, p.12</t>
        </is>
      </c>
    </row>
    <row r="6">
      <c r="A6" t="inlineStr">
        <is>
          <t>Chaos Daemons</t>
        </is>
      </c>
      <c r="C6" t="inlineStr">
        <is>
          <t>Character</t>
        </is>
      </c>
      <c r="D6" t="inlineStr">
        <is>
          <t>Character</t>
        </is>
      </c>
      <c r="E6" t="inlineStr">
        <is>
          <t>Bloodmaster</t>
        </is>
      </c>
      <c r="F6" t="inlineStr">
        <is>
          <t>1 model</t>
        </is>
      </c>
      <c r="G6" t="inlineStr">
        <is>
          <t>Character</t>
        </is>
      </c>
      <c r="L6" s="60" t="n">
        <v>65</v>
      </c>
      <c r="M6" s="54" t="str"/>
      <c r="N6" s="54" t="inlineStr">
        <is>
          <t>Matched to Munitorum Field Manual v2.3</t>
        </is>
      </c>
      <c r="O6" s="54" t="inlineStr">
        <is>
          <t>Uploaded PDF: Munitorum Field Manual v2.3 / March 2025, p.12</t>
        </is>
      </c>
    </row>
    <row r="7">
      <c r="A7" t="inlineStr">
        <is>
          <t>Chaos Daemons</t>
        </is>
      </c>
      <c r="C7" t="inlineStr">
        <is>
          <t>Monster / Heavy Support</t>
        </is>
      </c>
      <c r="D7" t="inlineStr">
        <is>
          <t>Monster</t>
        </is>
      </c>
      <c r="E7" t="inlineStr">
        <is>
          <t>Bloodthirster</t>
        </is>
      </c>
      <c r="F7" t="inlineStr">
        <is>
          <t>1 model</t>
        </is>
      </c>
      <c r="G7" t="inlineStr">
        <is>
          <t>Monster</t>
        </is>
      </c>
      <c r="L7" s="60" t="n">
        <v>305</v>
      </c>
      <c r="M7" s="54" t="str"/>
      <c r="N7" s="54" t="inlineStr">
        <is>
          <t>Matched to Munitorum Field Manual v2.3</t>
        </is>
      </c>
      <c r="O7" s="54" t="inlineStr">
        <is>
          <t>Uploaded PDF: Munitorum Field Manual v2.3 / March 2025, p.12</t>
        </is>
      </c>
    </row>
    <row r="8">
      <c r="A8" t="inlineStr">
        <is>
          <t>Chaos Daemons</t>
        </is>
      </c>
      <c r="C8" t="inlineStr">
        <is>
          <t>Infantry / Other</t>
        </is>
      </c>
      <c r="D8" t="inlineStr">
        <is>
          <t>Infantry</t>
        </is>
      </c>
      <c r="E8" t="inlineStr">
        <is>
          <t>Blue Horrors</t>
        </is>
      </c>
      <c r="F8" t="inlineStr">
        <is>
          <t>10 models</t>
        </is>
      </c>
      <c r="G8" t="inlineStr">
        <is>
          <t>Infantry</t>
        </is>
      </c>
      <c r="L8" s="60" t="n">
        <v>125</v>
      </c>
      <c r="M8" s="54" t="str"/>
      <c r="N8" s="54" t="inlineStr">
        <is>
          <t>Matched to Munitorum Field Manual v2.3</t>
        </is>
      </c>
      <c r="O8" s="54" t="inlineStr">
        <is>
          <t>Uploaded PDF: Munitorum Field Manual v2.3 / March 2025, p.12</t>
        </is>
      </c>
    </row>
    <row r="9">
      <c r="A9" t="inlineStr">
        <is>
          <t>Chaos Daemons</t>
        </is>
      </c>
      <c r="C9" t="inlineStr">
        <is>
          <t>Infantry / Other</t>
        </is>
      </c>
      <c r="D9" t="inlineStr">
        <is>
          <t>Infantry</t>
        </is>
      </c>
      <c r="E9" t="inlineStr">
        <is>
          <t>Burning Chariot</t>
        </is>
      </c>
      <c r="F9" t="inlineStr">
        <is>
          <t>1 model</t>
        </is>
      </c>
      <c r="G9" t="inlineStr">
        <is>
          <t>Infantry</t>
        </is>
      </c>
      <c r="L9" s="60" t="n">
        <v>115</v>
      </c>
      <c r="M9" s="54" t="str"/>
      <c r="N9" s="54" t="inlineStr">
        <is>
          <t>Matched to Munitorum Field Manual v2.3</t>
        </is>
      </c>
      <c r="O9" s="54" t="inlineStr">
        <is>
          <t>Uploaded PDF: Munitorum Field Manual v2.3 / March 2025, p.12</t>
        </is>
      </c>
    </row>
    <row r="10">
      <c r="A10" t="inlineStr">
        <is>
          <t>Chaos Daemons</t>
        </is>
      </c>
      <c r="C10" t="inlineStr">
        <is>
          <t>Infantry / Other</t>
        </is>
      </c>
      <c r="D10" t="inlineStr">
        <is>
          <t>Infantry</t>
        </is>
      </c>
      <c r="E10" t="inlineStr">
        <is>
          <t>Changecaster</t>
        </is>
      </c>
      <c r="F10" t="inlineStr">
        <is>
          <t>1 model</t>
        </is>
      </c>
      <c r="G10" t="inlineStr">
        <is>
          <t>Infantry</t>
        </is>
      </c>
      <c r="L10" s="60" t="n">
        <v>60</v>
      </c>
      <c r="M10" s="54" t="str"/>
      <c r="N10" s="54" t="inlineStr">
        <is>
          <t>Matched to Munitorum Field Manual v2.3</t>
        </is>
      </c>
      <c r="O10" s="54" t="inlineStr">
        <is>
          <t>Uploaded PDF: Munitorum Field Manual v2.3 / March 2025, p.12</t>
        </is>
      </c>
    </row>
    <row r="11">
      <c r="A11" t="inlineStr">
        <is>
          <t>Chaos Daemons</t>
        </is>
      </c>
      <c r="C11" t="inlineStr">
        <is>
          <t>Infantry / Other</t>
        </is>
      </c>
      <c r="D11" t="inlineStr">
        <is>
          <t>Infantry</t>
        </is>
      </c>
      <c r="E11" t="inlineStr">
        <is>
          <t>Contorted Epitome</t>
        </is>
      </c>
      <c r="F11" t="inlineStr">
        <is>
          <t>1 model</t>
        </is>
      </c>
      <c r="G11" t="inlineStr">
        <is>
          <t>Infantry</t>
        </is>
      </c>
      <c r="L11" s="60" t="n">
        <v>100</v>
      </c>
      <c r="M11" s="54" t="str"/>
      <c r="N11" s="54" t="inlineStr">
        <is>
          <t>Matched to Munitorum Field Manual v2.3</t>
        </is>
      </c>
      <c r="O11" s="54" t="inlineStr">
        <is>
          <t>Uploaded PDF: Munitorum Field Manual v2.3 / March 2025, p.12</t>
        </is>
      </c>
    </row>
    <row r="12">
      <c r="A12" t="inlineStr">
        <is>
          <t>Chaos Daemons</t>
        </is>
      </c>
      <c r="C12" t="inlineStr">
        <is>
          <t>Infantry / Other</t>
        </is>
      </c>
      <c r="D12" t="inlineStr">
        <is>
          <t>Infantry</t>
        </is>
      </c>
      <c r="E12" t="inlineStr">
        <is>
          <t>Daemonettes</t>
        </is>
      </c>
      <c r="F12" t="inlineStr">
        <is>
          <t>10 models</t>
        </is>
      </c>
      <c r="G12" t="inlineStr">
        <is>
          <t>Infantry</t>
        </is>
      </c>
      <c r="L12" s="60" t="n">
        <v>100</v>
      </c>
      <c r="M12" s="54" t="str"/>
      <c r="N12" s="54" t="inlineStr">
        <is>
          <t>Matched to Munitorum Field Manual v2.3</t>
        </is>
      </c>
      <c r="O12" s="54" t="inlineStr">
        <is>
          <t>Uploaded PDF: Munitorum Field Manual v2.3 / March 2025, p.12</t>
        </is>
      </c>
    </row>
    <row r="13">
      <c r="A13" t="inlineStr">
        <is>
          <t>Chaos Daemons</t>
        </is>
      </c>
      <c r="C13" t="inlineStr">
        <is>
          <t>Infantry / Other</t>
        </is>
      </c>
      <c r="D13" t="inlineStr">
        <is>
          <t>Infantry</t>
        </is>
      </c>
      <c r="E13" t="inlineStr">
        <is>
          <t>Epidemius</t>
        </is>
      </c>
      <c r="F13" t="inlineStr">
        <is>
          <t>1 model</t>
        </is>
      </c>
      <c r="G13" t="inlineStr">
        <is>
          <t>Infantry</t>
        </is>
      </c>
      <c r="L13" s="60" t="n">
        <v>80</v>
      </c>
      <c r="M13" s="54" t="str"/>
      <c r="N13" s="54" t="inlineStr">
        <is>
          <t>Matched to Munitorum Field Manual v2.3</t>
        </is>
      </c>
      <c r="O13" s="54" t="inlineStr">
        <is>
          <t>Uploaded PDF: Munitorum Field Manual v2.3 / March 2025, p.12</t>
        </is>
      </c>
    </row>
    <row r="14">
      <c r="A14" t="inlineStr">
        <is>
          <t>Chaos Daemons</t>
        </is>
      </c>
      <c r="C14" t="inlineStr">
        <is>
          <t>Infantry / Other</t>
        </is>
      </c>
      <c r="D14" t="inlineStr">
        <is>
          <t>Infantry</t>
        </is>
      </c>
      <c r="E14" t="inlineStr">
        <is>
          <t>Exalted Flamer</t>
        </is>
      </c>
      <c r="F14" t="inlineStr">
        <is>
          <t>1 model</t>
        </is>
      </c>
      <c r="G14" t="inlineStr">
        <is>
          <t>Infantry</t>
        </is>
      </c>
      <c r="L14" s="60" t="n">
        <v>65</v>
      </c>
      <c r="M14" s="54" t="str"/>
      <c r="N14" s="54" t="inlineStr">
        <is>
          <t>Matched to Munitorum Field Manual v2.3</t>
        </is>
      </c>
      <c r="O14" s="54" t="inlineStr">
        <is>
          <t>Uploaded PDF: Munitorum Field Manual v2.3 / March 2025, p.12</t>
        </is>
      </c>
    </row>
    <row r="15">
      <c r="A15" t="inlineStr">
        <is>
          <t>Chaos Daemons</t>
        </is>
      </c>
      <c r="C15" t="inlineStr">
        <is>
          <t>Infantry / Other</t>
        </is>
      </c>
      <c r="D15" t="inlineStr">
        <is>
          <t>Infantry</t>
        </is>
      </c>
      <c r="E15" t="inlineStr">
        <is>
          <t>Fateskimmer</t>
        </is>
      </c>
      <c r="F15" t="inlineStr">
        <is>
          <t>1 model</t>
        </is>
      </c>
      <c r="G15" t="inlineStr">
        <is>
          <t>Infantry</t>
        </is>
      </c>
      <c r="L15" s="60" t="n">
        <v>95</v>
      </c>
      <c r="M15" s="54" t="str"/>
      <c r="N15" s="54" t="inlineStr">
        <is>
          <t>Matched to Munitorum Field Manual v2.3</t>
        </is>
      </c>
      <c r="O15" s="54" t="inlineStr">
        <is>
          <t>Uploaded PDF: Munitorum Field Manual v2.3 / March 2025, p.12</t>
        </is>
      </c>
    </row>
    <row r="16">
      <c r="A16" t="inlineStr">
        <is>
          <t>Chaos Daemons</t>
        </is>
      </c>
      <c r="C16" t="inlineStr">
        <is>
          <t>Infantry / Other</t>
        </is>
      </c>
      <c r="D16" t="inlineStr">
        <is>
          <t>Beast / Swarm</t>
        </is>
      </c>
      <c r="E16" t="inlineStr">
        <is>
          <t>Flesh Hounds</t>
        </is>
      </c>
      <c r="F16" t="inlineStr">
        <is>
          <t>5 models</t>
        </is>
      </c>
      <c r="G16" t="inlineStr">
        <is>
          <t>Beast / Swarm</t>
        </is>
      </c>
      <c r="L16" s="60" t="n">
        <v>75</v>
      </c>
      <c r="M16" s="54" t="inlineStr">
        <is>
          <t>Points options: 5 models = 75 pts; 10 models = 150 pts</t>
        </is>
      </c>
      <c r="N16" s="54" t="inlineStr">
        <is>
          <t>Matched to Munitorum Field Manual v2.3</t>
        </is>
      </c>
      <c r="O16" s="54" t="inlineStr">
        <is>
          <t>Uploaded PDF: Munitorum Field Manual v2.3 / March 2025, p.12</t>
        </is>
      </c>
    </row>
    <row r="17">
      <c r="A17" t="inlineStr">
        <is>
          <t>Chaos Daemons</t>
        </is>
      </c>
      <c r="C17" t="inlineStr">
        <is>
          <t>Character</t>
        </is>
      </c>
      <c r="D17" t="inlineStr">
        <is>
          <t>Character</t>
        </is>
      </c>
      <c r="E17" t="inlineStr">
        <is>
          <t>Fluxmaster</t>
        </is>
      </c>
      <c r="F17" t="inlineStr">
        <is>
          <t>1 model</t>
        </is>
      </c>
      <c r="G17" t="inlineStr">
        <is>
          <t>Character</t>
        </is>
      </c>
      <c r="L17" s="60" t="n">
        <v>60</v>
      </c>
      <c r="M17" s="54" t="str"/>
      <c r="N17" s="54" t="inlineStr">
        <is>
          <t>Matched to Munitorum Field Manual v2.3</t>
        </is>
      </c>
      <c r="O17" s="54" t="inlineStr">
        <is>
          <t>Uploaded PDF: Munitorum Field Manual v2.3 / March 2025, p.12</t>
        </is>
      </c>
    </row>
    <row r="18">
      <c r="A18" t="inlineStr">
        <is>
          <t>Chaos Daemons</t>
        </is>
      </c>
      <c r="C18" t="inlineStr">
        <is>
          <t>Monster / Heavy Support</t>
        </is>
      </c>
      <c r="D18" t="inlineStr">
        <is>
          <t>Monster</t>
        </is>
      </c>
      <c r="E18" t="inlineStr">
        <is>
          <t>Great Unclean One</t>
        </is>
      </c>
      <c r="F18" t="inlineStr">
        <is>
          <t>1 model</t>
        </is>
      </c>
      <c r="G18" t="inlineStr">
        <is>
          <t>Monster</t>
        </is>
      </c>
      <c r="L18" s="60" t="n">
        <v>250</v>
      </c>
      <c r="M18" s="54" t="str"/>
      <c r="N18" s="54" t="inlineStr">
        <is>
          <t>Matched to Munitorum Field Manual v2.3</t>
        </is>
      </c>
      <c r="O18" s="54" t="inlineStr">
        <is>
          <t>Uploaded PDF: Munitorum Field Manual v2.3 / March 2025, p.12</t>
        </is>
      </c>
    </row>
    <row r="19">
      <c r="A19" t="inlineStr">
        <is>
          <t>Chaos Daemons</t>
        </is>
      </c>
      <c r="C19" t="inlineStr">
        <is>
          <t>Infantry / Other</t>
        </is>
      </c>
      <c r="D19" t="inlineStr">
        <is>
          <t>Infantry</t>
        </is>
      </c>
      <c r="E19" t="inlineStr">
        <is>
          <t>Horticulous Slimux</t>
        </is>
      </c>
      <c r="F19" t="inlineStr">
        <is>
          <t>1 model</t>
        </is>
      </c>
      <c r="G19" t="inlineStr">
        <is>
          <t>Infantry</t>
        </is>
      </c>
      <c r="L19" s="60" t="n">
        <v>120</v>
      </c>
      <c r="M19" s="54" t="str"/>
      <c r="N19" s="54" t="inlineStr">
        <is>
          <t>Matched to Munitorum Field Manual v2.3</t>
        </is>
      </c>
      <c r="O19" s="54" t="inlineStr">
        <is>
          <t>Uploaded PDF: Munitorum Field Manual v2.3 / March 2025, p.12</t>
        </is>
      </c>
    </row>
    <row r="20">
      <c r="A20" t="inlineStr">
        <is>
          <t>Chaos Daemons</t>
        </is>
      </c>
      <c r="C20" t="inlineStr">
        <is>
          <t>Infantry / Other</t>
        </is>
      </c>
      <c r="D20" t="inlineStr">
        <is>
          <t>Infantry</t>
        </is>
      </c>
      <c r="E20" t="inlineStr">
        <is>
          <t>Infernal Enrapturess</t>
        </is>
      </c>
      <c r="F20" t="inlineStr">
        <is>
          <t>1 model</t>
        </is>
      </c>
      <c r="G20" t="inlineStr">
        <is>
          <t>Infantry</t>
        </is>
      </c>
      <c r="L20" s="60" t="n">
        <v>60</v>
      </c>
      <c r="M20" s="54" t="str"/>
      <c r="N20" s="54" t="inlineStr">
        <is>
          <t>Matched to Munitorum Field Manual v2.3</t>
        </is>
      </c>
      <c r="O20" s="54" t="inlineStr">
        <is>
          <t>Uploaded PDF: Munitorum Field Manual v2.3 / March 2025, p.12</t>
        </is>
      </c>
    </row>
    <row r="21">
      <c r="A21" t="inlineStr">
        <is>
          <t>Chaos Daemons</t>
        </is>
      </c>
      <c r="C21" t="inlineStr">
        <is>
          <t>Infantry / Other</t>
        </is>
      </c>
      <c r="D21" t="inlineStr">
        <is>
          <t>Infantry</t>
        </is>
      </c>
      <c r="E21" t="inlineStr">
        <is>
          <t>Kairos Fateweaver</t>
        </is>
      </c>
      <c r="F21" t="inlineStr">
        <is>
          <t>1 model</t>
        </is>
      </c>
      <c r="G21" t="inlineStr">
        <is>
          <t>Infantry</t>
        </is>
      </c>
      <c r="L21" s="60" t="n">
        <v>270</v>
      </c>
      <c r="M21" s="54" t="str"/>
      <c r="N21" s="54" t="inlineStr">
        <is>
          <t>Matched to Munitorum Field Manual v2.3</t>
        </is>
      </c>
      <c r="O21" s="54" t="inlineStr">
        <is>
          <t>Uploaded PDF: Munitorum Field Manual v2.3 / March 2025, p.12</t>
        </is>
      </c>
    </row>
    <row r="22">
      <c r="A22" t="inlineStr">
        <is>
          <t>Chaos Daemons</t>
        </is>
      </c>
      <c r="C22" t="inlineStr">
        <is>
          <t>Monster / Heavy Support</t>
        </is>
      </c>
      <c r="D22" t="inlineStr">
        <is>
          <t>Monster</t>
        </is>
      </c>
      <c r="E22" t="inlineStr">
        <is>
          <t>Keeper of Secrets</t>
        </is>
      </c>
      <c r="F22" t="inlineStr">
        <is>
          <t>1 model</t>
        </is>
      </c>
      <c r="G22" t="inlineStr">
        <is>
          <t>Monster</t>
        </is>
      </c>
      <c r="L22" s="60" t="n">
        <v>290</v>
      </c>
      <c r="M22" s="54" t="str"/>
      <c r="N22" s="54" t="inlineStr">
        <is>
          <t>Matched to Munitorum Field Manual v2.3</t>
        </is>
      </c>
      <c r="O22" s="54" t="inlineStr">
        <is>
          <t>Uploaded PDF: Munitorum Field Manual v2.3 / March 2025, p.12</t>
        </is>
      </c>
    </row>
    <row r="23">
      <c r="A23" t="inlineStr">
        <is>
          <t>Chaos Daemons</t>
        </is>
      </c>
      <c r="C23" t="inlineStr">
        <is>
          <t>Infantry / Other</t>
        </is>
      </c>
      <c r="D23" t="inlineStr">
        <is>
          <t>Infantry</t>
        </is>
      </c>
      <c r="E23" t="inlineStr">
        <is>
          <t>Karanak</t>
        </is>
      </c>
      <c r="G23" t="inlineStr">
        <is>
          <t>Infantry</t>
        </is>
      </c>
      <c r="L23" s="60" t="n"/>
      <c r="M23" s="54" t="inlineStr">
        <is>
          <t>No matching points entry found in uploaded PDF; verify unit name/current support.</t>
        </is>
      </c>
      <c r="N23" s="54" t="inlineStr">
        <is>
          <t>Not found in uploaded PDF</t>
        </is>
      </c>
      <c r="O23" s="54" t="inlineStr">
        <is>
          <t>Uploaded PDF: Munitorum Field Manual v2.3 / March 2025</t>
        </is>
      </c>
    </row>
    <row r="24">
      <c r="A24" t="inlineStr">
        <is>
          <t>Chaos Daemons</t>
        </is>
      </c>
      <c r="C24" t="inlineStr">
        <is>
          <t>Character</t>
        </is>
      </c>
      <c r="D24" t="inlineStr">
        <is>
          <t>Character</t>
        </is>
      </c>
      <c r="E24" t="inlineStr">
        <is>
          <t>Lord of Change</t>
        </is>
      </c>
      <c r="F24" t="inlineStr">
        <is>
          <t>1 model</t>
        </is>
      </c>
      <c r="G24" t="inlineStr">
        <is>
          <t>Character</t>
        </is>
      </c>
      <c r="L24" s="60" t="n">
        <v>260</v>
      </c>
      <c r="M24" s="54" t="str"/>
      <c r="N24" s="54" t="inlineStr">
        <is>
          <t>Matched to Munitorum Field Manual v2.3</t>
        </is>
      </c>
      <c r="O24" s="54" t="inlineStr">
        <is>
          <t>Uploaded PDF: Munitorum Field Manual v2.3 / March 2025, p.12</t>
        </is>
      </c>
    </row>
    <row r="25">
      <c r="A25" t="inlineStr">
        <is>
          <t>Chaos Daemons</t>
        </is>
      </c>
      <c r="C25" t="inlineStr">
        <is>
          <t>Infantry / Other</t>
        </is>
      </c>
      <c r="D25" t="inlineStr">
        <is>
          <t>Beast / Swarm</t>
        </is>
      </c>
      <c r="E25" t="inlineStr">
        <is>
          <t>Nurglings</t>
        </is>
      </c>
      <c r="F25" t="inlineStr">
        <is>
          <t>3 models</t>
        </is>
      </c>
      <c r="G25" t="inlineStr">
        <is>
          <t>Beast / Swarm</t>
        </is>
      </c>
      <c r="L25" s="60" t="n">
        <v>35</v>
      </c>
      <c r="M25" s="54" t="inlineStr">
        <is>
          <t>Points options: 3 models = 35 pts; 6 models = 60 pts; 9 models = 90 pts</t>
        </is>
      </c>
      <c r="N25" s="54" t="inlineStr">
        <is>
          <t>Matched to Munitorum Field Manual v2.3</t>
        </is>
      </c>
      <c r="O25" s="54" t="inlineStr">
        <is>
          <t>Uploaded PDF: Munitorum Field Manual v2.3 / March 2025, p.12</t>
        </is>
      </c>
    </row>
    <row r="26">
      <c r="A26" t="inlineStr">
        <is>
          <t>Chaos Daemons</t>
        </is>
      </c>
      <c r="C26" t="inlineStr">
        <is>
          <t>Infantry / Other</t>
        </is>
      </c>
      <c r="D26" t="inlineStr">
        <is>
          <t>Infantry</t>
        </is>
      </c>
      <c r="E26" t="inlineStr">
        <is>
          <t>Pink Horrors</t>
        </is>
      </c>
      <c r="F26" t="inlineStr">
        <is>
          <t>10 models</t>
        </is>
      </c>
      <c r="G26" t="inlineStr">
        <is>
          <t>Infantry</t>
        </is>
      </c>
      <c r="L26" s="60" t="n">
        <v>140</v>
      </c>
      <c r="M26" s="54" t="str"/>
      <c r="N26" s="54" t="inlineStr">
        <is>
          <t>Matched to Munitorum Field Manual v2.3</t>
        </is>
      </c>
      <c r="O26" s="54" t="inlineStr">
        <is>
          <t>Uploaded PDF: Munitorum Field Manual v2.3 / March 2025, p.12</t>
        </is>
      </c>
    </row>
    <row r="27">
      <c r="A27" t="inlineStr">
        <is>
          <t>Chaos Daemons</t>
        </is>
      </c>
      <c r="C27" t="inlineStr">
        <is>
          <t>Infantry / Other</t>
        </is>
      </c>
      <c r="D27" t="inlineStr">
        <is>
          <t>Infantry</t>
        </is>
      </c>
      <c r="E27" t="inlineStr">
        <is>
          <t>Plague Drones</t>
        </is>
      </c>
      <c r="F27" t="inlineStr">
        <is>
          <t>3 models</t>
        </is>
      </c>
      <c r="G27" t="inlineStr">
        <is>
          <t>Infantry</t>
        </is>
      </c>
      <c r="L27" s="60" t="n">
        <v>110</v>
      </c>
      <c r="M27" s="54" t="inlineStr">
        <is>
          <t>Points options: 3 models = 110 pts; 6 models = 220 pts</t>
        </is>
      </c>
      <c r="N27" s="54" t="inlineStr">
        <is>
          <t>Matched to Munitorum Field Manual v2.3</t>
        </is>
      </c>
      <c r="O27" s="54" t="inlineStr">
        <is>
          <t>Uploaded PDF: Munitorum Field Manual v2.3 / March 2025, p.12</t>
        </is>
      </c>
    </row>
    <row r="28">
      <c r="A28" t="inlineStr">
        <is>
          <t>Chaos Daemons</t>
        </is>
      </c>
      <c r="C28" t="inlineStr">
        <is>
          <t>Infantry / Other</t>
        </is>
      </c>
      <c r="D28" t="inlineStr">
        <is>
          <t>Infantry</t>
        </is>
      </c>
      <c r="E28" t="inlineStr">
        <is>
          <t>Plaguebearers</t>
        </is>
      </c>
      <c r="F28" t="inlineStr">
        <is>
          <t>10 models</t>
        </is>
      </c>
      <c r="G28" t="inlineStr">
        <is>
          <t>Infantry</t>
        </is>
      </c>
      <c r="L28" s="60" t="n">
        <v>110</v>
      </c>
      <c r="M28" s="54" t="str"/>
      <c r="N28" s="54" t="inlineStr">
        <is>
          <t>Matched to Munitorum Field Manual v2.3</t>
        </is>
      </c>
      <c r="O28" s="54" t="inlineStr">
        <is>
          <t>Uploaded PDF: Munitorum Field Manual v2.3 / March 2025, p.12</t>
        </is>
      </c>
    </row>
    <row r="29">
      <c r="A29" t="inlineStr">
        <is>
          <t>Chaos Daemons</t>
        </is>
      </c>
      <c r="C29" t="inlineStr">
        <is>
          <t>Infantry / Other</t>
        </is>
      </c>
      <c r="D29" t="inlineStr">
        <is>
          <t>Infantry</t>
        </is>
      </c>
      <c r="E29" t="inlineStr">
        <is>
          <t>Poxbringer</t>
        </is>
      </c>
      <c r="F29" t="inlineStr">
        <is>
          <t>1 model</t>
        </is>
      </c>
      <c r="G29" t="inlineStr">
        <is>
          <t>Infantry</t>
        </is>
      </c>
      <c r="L29" s="60" t="n">
        <v>55</v>
      </c>
      <c r="M29" s="54" t="str"/>
      <c r="N29" s="54" t="inlineStr">
        <is>
          <t>Matched to Munitorum Field Manual v2.3</t>
        </is>
      </c>
      <c r="O29" s="54" t="inlineStr">
        <is>
          <t>Uploaded PDF: Munitorum Field Manual v2.3 / March 2025, p.12</t>
        </is>
      </c>
    </row>
    <row r="30">
      <c r="A30" t="inlineStr">
        <is>
          <t>Chaos Daemons</t>
        </is>
      </c>
      <c r="C30" t="inlineStr">
        <is>
          <t>Character</t>
        </is>
      </c>
      <c r="D30" t="inlineStr">
        <is>
          <t>Character</t>
        </is>
      </c>
      <c r="E30" t="inlineStr">
        <is>
          <t>Rendmaster on Blood Throne</t>
        </is>
      </c>
      <c r="F30" t="inlineStr">
        <is>
          <t>1 model</t>
        </is>
      </c>
      <c r="G30" t="inlineStr">
        <is>
          <t>Character</t>
        </is>
      </c>
      <c r="L30" s="60" t="n">
        <v>165</v>
      </c>
      <c r="M30" s="54" t="str"/>
      <c r="N30" s="54" t="inlineStr">
        <is>
          <t>Matched to Munitorum Field Manual v2.3</t>
        </is>
      </c>
      <c r="O30" s="54" t="inlineStr">
        <is>
          <t>Uploaded PDF: Munitorum Field Manual v2.3 / March 2025, p.12</t>
        </is>
      </c>
    </row>
    <row r="31">
      <c r="A31" t="inlineStr">
        <is>
          <t>Chaos Daemons</t>
        </is>
      </c>
      <c r="C31" t="inlineStr">
        <is>
          <t>Monster / Heavy Support</t>
        </is>
      </c>
      <c r="D31" t="inlineStr">
        <is>
          <t>Monster</t>
        </is>
      </c>
      <c r="E31" t="inlineStr">
        <is>
          <t>Rotigus</t>
        </is>
      </c>
      <c r="F31" t="inlineStr">
        <is>
          <t>1 model</t>
        </is>
      </c>
      <c r="G31" t="inlineStr">
        <is>
          <t>Monster</t>
        </is>
      </c>
      <c r="L31" s="60" t="n">
        <v>250</v>
      </c>
      <c r="M31" s="54" t="str"/>
      <c r="N31" s="54" t="inlineStr">
        <is>
          <t>Matched to Munitorum Field Manual v2.3</t>
        </is>
      </c>
      <c r="O31" s="54" t="inlineStr">
        <is>
          <t>Uploaded PDF: Munitorum Field Manual v2.3 / March 2025, p.12</t>
        </is>
      </c>
    </row>
    <row r="32">
      <c r="A32" t="inlineStr">
        <is>
          <t>Chaos Daemons</t>
        </is>
      </c>
      <c r="C32" t="inlineStr">
        <is>
          <t>Infantry / Other</t>
        </is>
      </c>
      <c r="D32" t="inlineStr">
        <is>
          <t>Infantry</t>
        </is>
      </c>
      <c r="E32" t="inlineStr">
        <is>
          <t>Screamers</t>
        </is>
      </c>
      <c r="F32" t="inlineStr">
        <is>
          <t>3 models</t>
        </is>
      </c>
      <c r="G32" t="inlineStr">
        <is>
          <t>Infantry</t>
        </is>
      </c>
      <c r="L32" s="60" t="n">
        <v>80</v>
      </c>
      <c r="M32" s="54" t="inlineStr">
        <is>
          <t>Points options: 3 models = 80 pts; 6 models = 160 pts</t>
        </is>
      </c>
      <c r="N32" s="54" t="inlineStr">
        <is>
          <t>Matched to Munitorum Field Manual v2.3</t>
        </is>
      </c>
      <c r="O32" s="54" t="inlineStr">
        <is>
          <t>Uploaded PDF: Munitorum Field Manual v2.3 / March 2025, p.12</t>
        </is>
      </c>
    </row>
    <row r="33">
      <c r="A33" t="inlineStr">
        <is>
          <t>Chaos Daemons</t>
        </is>
      </c>
      <c r="C33" t="inlineStr">
        <is>
          <t>Infantry / Other</t>
        </is>
      </c>
      <c r="D33" t="inlineStr">
        <is>
          <t>Infantry</t>
        </is>
      </c>
      <c r="E33" t="inlineStr">
        <is>
          <t>Seekers</t>
        </is>
      </c>
      <c r="F33" t="inlineStr">
        <is>
          <t>5 models</t>
        </is>
      </c>
      <c r="G33" t="inlineStr">
        <is>
          <t>Infantry</t>
        </is>
      </c>
      <c r="L33" s="60" t="n">
        <v>80</v>
      </c>
      <c r="M33" s="54" t="inlineStr">
        <is>
          <t>Points options: 5 models = 80 pts; 10 models = 160 pts</t>
        </is>
      </c>
      <c r="N33" s="54" t="inlineStr">
        <is>
          <t>Matched to Munitorum Field Manual v2.3</t>
        </is>
      </c>
      <c r="O33" s="54" t="inlineStr">
        <is>
          <t>Uploaded PDF: Munitorum Field Manual v2.3 / March 2025, p.12</t>
        </is>
      </c>
    </row>
    <row r="34">
      <c r="A34" t="inlineStr">
        <is>
          <t>Chaos Daemons</t>
        </is>
      </c>
      <c r="C34" t="inlineStr">
        <is>
          <t>Infantry / Other</t>
        </is>
      </c>
      <c r="D34" t="inlineStr">
        <is>
          <t>Infantry</t>
        </is>
      </c>
      <c r="E34" t="inlineStr">
        <is>
          <t>Shalaxi Helbane</t>
        </is>
      </c>
      <c r="F34" t="inlineStr">
        <is>
          <t>1 model</t>
        </is>
      </c>
      <c r="G34" t="inlineStr">
        <is>
          <t>Infantry</t>
        </is>
      </c>
      <c r="L34" s="60" t="n">
        <v>380</v>
      </c>
      <c r="M34" s="54" t="str"/>
      <c r="N34" s="54" t="inlineStr">
        <is>
          <t>Matched to Munitorum Field Manual v2.3</t>
        </is>
      </c>
      <c r="O34" s="54" t="inlineStr">
        <is>
          <t>Uploaded PDF: Munitorum Field Manual v2.3 / March 2025, p.12</t>
        </is>
      </c>
    </row>
    <row r="35">
      <c r="A35" t="inlineStr">
        <is>
          <t>Chaos Daemons</t>
        </is>
      </c>
      <c r="C35" t="inlineStr">
        <is>
          <t>Infantry / Other</t>
        </is>
      </c>
      <c r="D35" t="inlineStr">
        <is>
          <t>Infantry</t>
        </is>
      </c>
      <c r="E35" t="inlineStr">
        <is>
          <t>Skull Cannon</t>
        </is>
      </c>
      <c r="F35" t="inlineStr">
        <is>
          <t>1 model</t>
        </is>
      </c>
      <c r="G35" t="inlineStr">
        <is>
          <t>Infantry</t>
        </is>
      </c>
      <c r="L35" s="60" t="n">
        <v>95</v>
      </c>
      <c r="M35" s="54" t="str"/>
      <c r="N35" s="54" t="inlineStr">
        <is>
          <t>Matched to Munitorum Field Manual v2.3</t>
        </is>
      </c>
      <c r="O35" s="54" t="inlineStr">
        <is>
          <t>Uploaded PDF: Munitorum Field Manual v2.3 / March 2025, p.12</t>
        </is>
      </c>
    </row>
    <row r="36">
      <c r="A36" t="inlineStr">
        <is>
          <t>Chaos Daemons</t>
        </is>
      </c>
      <c r="C36" t="inlineStr">
        <is>
          <t>Character</t>
        </is>
      </c>
      <c r="D36" t="inlineStr">
        <is>
          <t>Character</t>
        </is>
      </c>
      <c r="E36" t="inlineStr">
        <is>
          <t>Skullmaster</t>
        </is>
      </c>
      <c r="F36" t="inlineStr">
        <is>
          <t>1 model</t>
        </is>
      </c>
      <c r="G36" t="inlineStr">
        <is>
          <t>Character</t>
        </is>
      </c>
      <c r="L36" s="60" t="n">
        <v>100</v>
      </c>
      <c r="M36" s="54" t="str"/>
      <c r="N36" s="54" t="inlineStr">
        <is>
          <t>Matched to Munitorum Field Manual v2.3</t>
        </is>
      </c>
      <c r="O36" s="54" t="inlineStr">
        <is>
          <t>Uploaded PDF: Munitorum Field Manual v2.3 / March 2025, p.12</t>
        </is>
      </c>
    </row>
    <row r="37">
      <c r="A37" t="inlineStr">
        <is>
          <t>Chaos Daemons</t>
        </is>
      </c>
      <c r="C37" t="inlineStr">
        <is>
          <t>Infantry / Other</t>
        </is>
      </c>
      <c r="D37" t="inlineStr">
        <is>
          <t>Infantry</t>
        </is>
      </c>
      <c r="E37" t="inlineStr">
        <is>
          <t>Skulltaker</t>
        </is>
      </c>
      <c r="F37" t="inlineStr">
        <is>
          <t>1 model</t>
        </is>
      </c>
      <c r="G37" t="inlineStr">
        <is>
          <t>Infantry</t>
        </is>
      </c>
      <c r="L37" s="60" t="n">
        <v>85</v>
      </c>
      <c r="M37" s="54" t="str"/>
      <c r="N37" s="54" t="inlineStr">
        <is>
          <t>Matched to Munitorum Field Manual v2.3</t>
        </is>
      </c>
      <c r="O37" s="54" t="inlineStr">
        <is>
          <t>Uploaded PDF: Munitorum Field Manual v2.3 / March 2025, p.12</t>
        </is>
      </c>
    </row>
    <row r="38">
      <c r="A38" t="inlineStr">
        <is>
          <t>Chaos Daemons</t>
        </is>
      </c>
      <c r="C38" t="inlineStr">
        <is>
          <t>Infantry / Other</t>
        </is>
      </c>
      <c r="D38" t="inlineStr">
        <is>
          <t>Infantry</t>
        </is>
      </c>
      <c r="E38" t="inlineStr">
        <is>
          <t>Sloppity Bilepiper</t>
        </is>
      </c>
      <c r="F38" t="inlineStr">
        <is>
          <t>1 model</t>
        </is>
      </c>
      <c r="G38" t="inlineStr">
        <is>
          <t>Infantry</t>
        </is>
      </c>
      <c r="L38" s="60" t="n">
        <v>55</v>
      </c>
      <c r="M38" s="54" t="str"/>
      <c r="N38" s="54" t="inlineStr">
        <is>
          <t>Matched to Munitorum Field Manual v2.3</t>
        </is>
      </c>
      <c r="O38" s="54" t="inlineStr">
        <is>
          <t>Uploaded PDF: Munitorum Field Manual v2.3 / March 2025, p.12</t>
        </is>
      </c>
    </row>
    <row r="39">
      <c r="A39" t="inlineStr">
        <is>
          <t>Chaos Daemons</t>
        </is>
      </c>
      <c r="C39" t="inlineStr">
        <is>
          <t>Monster / Heavy Support</t>
        </is>
      </c>
      <c r="D39" t="inlineStr">
        <is>
          <t>Monster</t>
        </is>
      </c>
      <c r="E39" t="inlineStr">
        <is>
          <t>Soul Grinder</t>
        </is>
      </c>
      <c r="F39" t="inlineStr">
        <is>
          <t>1 model</t>
        </is>
      </c>
      <c r="G39" t="inlineStr">
        <is>
          <t>Monster</t>
        </is>
      </c>
      <c r="L39" s="60" t="n">
        <v>180</v>
      </c>
      <c r="M39" s="54" t="str"/>
      <c r="N39" s="54" t="inlineStr">
        <is>
          <t>Matched to Munitorum Field Manual v2.3</t>
        </is>
      </c>
      <c r="O39" s="54" t="inlineStr">
        <is>
          <t>Uploaded PDF: Munitorum Field Manual v2.3 / March 2025, p.12</t>
        </is>
      </c>
    </row>
    <row r="40">
      <c r="A40" t="inlineStr">
        <is>
          <t>Chaos Daemons</t>
        </is>
      </c>
      <c r="C40" t="inlineStr">
        <is>
          <t>Infantry / Other</t>
        </is>
      </c>
      <c r="D40" t="inlineStr">
        <is>
          <t>Infantry</t>
        </is>
      </c>
      <c r="E40" t="inlineStr">
        <is>
          <t>Spoilpox Scrivener</t>
        </is>
      </c>
      <c r="F40" t="inlineStr">
        <is>
          <t>1 model</t>
        </is>
      </c>
      <c r="G40" t="inlineStr">
        <is>
          <t>Infantry</t>
        </is>
      </c>
      <c r="L40" s="60" t="n">
        <v>60</v>
      </c>
      <c r="M40" s="54" t="str"/>
      <c r="N40" s="54" t="inlineStr">
        <is>
          <t>Matched to Munitorum Field Manual v2.3</t>
        </is>
      </c>
      <c r="O40" s="54" t="inlineStr">
        <is>
          <t>Uploaded PDF: Munitorum Field Manual v2.3 / March 2025, p.12</t>
        </is>
      </c>
    </row>
    <row r="41">
      <c r="A41" t="inlineStr">
        <is>
          <t>Chaos Daemons</t>
        </is>
      </c>
      <c r="C41" t="inlineStr">
        <is>
          <t>Infantry / Other</t>
        </is>
      </c>
      <c r="D41" t="inlineStr">
        <is>
          <t>Infantry</t>
        </is>
      </c>
      <c r="E41" t="inlineStr">
        <is>
          <t>Syll'Esske</t>
        </is>
      </c>
      <c r="F41" t="inlineStr">
        <is>
          <t>1 model</t>
        </is>
      </c>
      <c r="G41" t="inlineStr">
        <is>
          <t>Infantry</t>
        </is>
      </c>
      <c r="L41" s="60" t="n">
        <v>120</v>
      </c>
      <c r="M41" s="54" t="str"/>
      <c r="N41" s="54" t="inlineStr">
        <is>
          <t>Matched to Munitorum Field Manual v2.3</t>
        </is>
      </c>
      <c r="O41" s="54" t="inlineStr">
        <is>
          <t>Uploaded PDF: Munitorum Field Manual v2.3 / March 2025, p.12</t>
        </is>
      </c>
    </row>
    <row r="42">
      <c r="A42" t="inlineStr">
        <is>
          <t>Chaos Daemons</t>
        </is>
      </c>
      <c r="C42" t="inlineStr">
        <is>
          <t>Infantry / Other</t>
        </is>
      </c>
      <c r="D42" t="inlineStr">
        <is>
          <t>Infantry</t>
        </is>
      </c>
      <c r="E42" t="inlineStr">
        <is>
          <t>The Blue Scribes</t>
        </is>
      </c>
      <c r="F42" t="inlineStr">
        <is>
          <t>1 model</t>
        </is>
      </c>
      <c r="G42" t="inlineStr">
        <is>
          <t>Infantry</t>
        </is>
      </c>
      <c r="L42" s="60" t="n">
        <v>75</v>
      </c>
      <c r="M42" s="54" t="str"/>
      <c r="N42" s="54" t="inlineStr">
        <is>
          <t>Matched to Munitorum Field Manual v2.3</t>
        </is>
      </c>
      <c r="O42" s="54" t="inlineStr">
        <is>
          <t>Uploaded PDF: Munitorum Field Manual v2.3 / March 2025, p.12</t>
        </is>
      </c>
    </row>
    <row r="43">
      <c r="A43" t="inlineStr">
        <is>
          <t>Chaos Daemons</t>
        </is>
      </c>
      <c r="C43" t="inlineStr">
        <is>
          <t>Infantry / Other</t>
        </is>
      </c>
      <c r="D43" t="inlineStr">
        <is>
          <t>Infantry</t>
        </is>
      </c>
      <c r="E43" t="inlineStr">
        <is>
          <t>The Changeling</t>
        </is>
      </c>
      <c r="F43" t="inlineStr">
        <is>
          <t>1 model</t>
        </is>
      </c>
      <c r="G43" t="inlineStr">
        <is>
          <t>Infantry</t>
        </is>
      </c>
      <c r="L43" s="60" t="n">
        <v>90</v>
      </c>
      <c r="M43" s="54" t="str"/>
      <c r="N43" s="54" t="inlineStr">
        <is>
          <t>Matched to Munitorum Field Manual v2.3</t>
        </is>
      </c>
      <c r="O43" s="54" t="inlineStr">
        <is>
          <t>Uploaded PDF: Munitorum Field Manual v2.3 / March 2025, p.12</t>
        </is>
      </c>
    </row>
    <row r="44">
      <c r="A44" t="inlineStr">
        <is>
          <t>Chaos Daemons</t>
        </is>
      </c>
      <c r="C44" t="inlineStr">
        <is>
          <t>Infantry / Other</t>
        </is>
      </c>
      <c r="D44" t="inlineStr">
        <is>
          <t>Infantry</t>
        </is>
      </c>
      <c r="E44" t="inlineStr">
        <is>
          <t>Tormentbringer on Exalted Seeker Chariot</t>
        </is>
      </c>
      <c r="G44" t="inlineStr">
        <is>
          <t>Infantry</t>
        </is>
      </c>
      <c r="L44" s="60" t="n"/>
      <c r="M44" s="54" t="inlineStr">
        <is>
          <t>No matching points entry found in uploaded PDF; verify unit name/current support.</t>
        </is>
      </c>
      <c r="N44" s="54" t="inlineStr">
        <is>
          <t>Not found in uploaded PDF</t>
        </is>
      </c>
      <c r="O44" s="54" t="inlineStr">
        <is>
          <t>Uploaded PDF: Munitorum Field Manual v2.3 / March 2025</t>
        </is>
      </c>
    </row>
    <row r="45">
      <c r="A45" t="inlineStr">
        <is>
          <t>Chaos Daemons</t>
        </is>
      </c>
      <c r="C45" t="inlineStr">
        <is>
          <t>Infantry / Other</t>
        </is>
      </c>
      <c r="D45" t="inlineStr">
        <is>
          <t>Infantry</t>
        </is>
      </c>
      <c r="E45" t="inlineStr">
        <is>
          <t>Tranceweaver</t>
        </is>
      </c>
      <c r="F45" t="inlineStr">
        <is>
          <t>1 model</t>
        </is>
      </c>
      <c r="G45" t="inlineStr">
        <is>
          <t>Infantry</t>
        </is>
      </c>
      <c r="L45" s="60" t="n">
        <v>60</v>
      </c>
      <c r="M45" s="54" t="str"/>
      <c r="N45" s="54" t="inlineStr">
        <is>
          <t>Matched to Munitorum Field Manual v2.3</t>
        </is>
      </c>
      <c r="O45" s="54" t="inlineStr">
        <is>
          <t>Uploaded PDF: Munitorum Field Manual v2.3 / March 2025, p.12</t>
        </is>
      </c>
    </row>
    <row r="46">
      <c r="A46" t="inlineStr">
        <is>
          <t>Chaos Daemons</t>
        </is>
      </c>
      <c r="C46" t="inlineStr">
        <is>
          <t>Monster / Support</t>
        </is>
      </c>
      <c r="D46" t="inlineStr">
        <is>
          <t>Monster</t>
        </is>
      </c>
      <c r="E46" t="inlineStr">
        <is>
          <t>Daemon Prince Of Chaos</t>
        </is>
      </c>
      <c r="F46" t="inlineStr">
        <is>
          <t>1 model</t>
        </is>
      </c>
      <c r="G46" t="inlineStr">
        <is>
          <t>Monster</t>
        </is>
      </c>
      <c r="L46" t="n">
        <v>165</v>
      </c>
      <c r="N46" t="inlineStr">
        <is>
          <t>Added from current Munitorum Field Manual v4.1 (non-Legends)</t>
        </is>
      </c>
      <c r="O46" t="inlineStr">
        <is>
          <t>https://www.warhammer-community.com/en-gb/downloads/warhammer-40000/</t>
        </is>
      </c>
    </row>
    <row r="47">
      <c r="A47" t="inlineStr">
        <is>
          <t>Chaos Daemons</t>
        </is>
      </c>
      <c r="C47" t="inlineStr">
        <is>
          <t>Monster / Support</t>
        </is>
      </c>
      <c r="D47" t="inlineStr">
        <is>
          <t>Monster</t>
        </is>
      </c>
      <c r="E47" t="inlineStr">
        <is>
          <t>Daemon Prince Of Chaos With Wings</t>
        </is>
      </c>
      <c r="F47" t="inlineStr">
        <is>
          <t>1 model</t>
        </is>
      </c>
      <c r="G47" t="inlineStr">
        <is>
          <t>Monster</t>
        </is>
      </c>
      <c r="L47" t="n">
        <v>190</v>
      </c>
      <c r="N47" t="inlineStr">
        <is>
          <t>Added from current Munitorum Field Manual v4.1 (non-Legends)</t>
        </is>
      </c>
      <c r="O47" t="inlineStr">
        <is>
          <t>https://www.warhammer-community.com/en-gb/downloads/warhammer-40000/</t>
        </is>
      </c>
    </row>
    <row r="48">
      <c r="A48" t="inlineStr">
        <is>
          <t>Chaos Daemons</t>
        </is>
      </c>
      <c r="C48" t="inlineStr">
        <is>
          <t>Vehicle / Support</t>
        </is>
      </c>
      <c r="D48" t="inlineStr">
        <is>
          <t>Vehicle</t>
        </is>
      </c>
      <c r="E48" t="inlineStr">
        <is>
          <t>Feculent Gnarlmaw</t>
        </is>
      </c>
      <c r="F48" t="inlineStr">
        <is>
          <t>1 model</t>
        </is>
      </c>
      <c r="G48" t="inlineStr">
        <is>
          <t>Vehicle</t>
        </is>
      </c>
      <c r="L48" t="n">
        <v>100</v>
      </c>
      <c r="N48" t="inlineStr">
        <is>
          <t>Added from current Munitorum Field Manual v4.1 (non-Legends)</t>
        </is>
      </c>
      <c r="O48" t="inlineStr">
        <is>
          <t>https://www.warhammer-community.com/en-gb/downloads/warhammer-40000/</t>
        </is>
      </c>
    </row>
    <row r="49">
      <c r="A49" t="inlineStr">
        <is>
          <t>Chaos Daemons</t>
        </is>
      </c>
      <c r="C49" t="inlineStr">
        <is>
          <t>Infantry / Other</t>
        </is>
      </c>
      <c r="D49" t="inlineStr">
        <is>
          <t>Beast / Swarm</t>
        </is>
      </c>
      <c r="E49" t="inlineStr">
        <is>
          <t>Fiends</t>
        </is>
      </c>
      <c r="F49" t="inlineStr">
        <is>
          <t>3 models</t>
        </is>
      </c>
      <c r="G49" t="inlineStr">
        <is>
          <t>Beast / Swarm</t>
        </is>
      </c>
      <c r="L49" t="n">
        <v>90</v>
      </c>
      <c r="N49" t="inlineStr">
        <is>
          <t>Added from current Munitorum Field Manual v4.1 (non-Legends)</t>
        </is>
      </c>
      <c r="O49" t="inlineStr">
        <is>
          <t>https://www.warhammer-community.com/en-gb/downloads/warhammer-40000/</t>
        </is>
      </c>
    </row>
    <row r="50">
      <c r="A50" t="inlineStr">
        <is>
          <t>Chaos Daemons</t>
        </is>
      </c>
      <c r="C50" t="inlineStr">
        <is>
          <t>Infantry / Other</t>
        </is>
      </c>
      <c r="D50" t="inlineStr">
        <is>
          <t>Infantry</t>
        </is>
      </c>
      <c r="E50" t="inlineStr">
        <is>
          <t>Flamers</t>
        </is>
      </c>
      <c r="F50" t="inlineStr">
        <is>
          <t>3 models</t>
        </is>
      </c>
      <c r="G50" t="inlineStr">
        <is>
          <t>Infantry</t>
        </is>
      </c>
      <c r="L50" t="n">
        <v>65</v>
      </c>
      <c r="N50" t="inlineStr">
        <is>
          <t>Added from current Munitorum Field Manual v4.1 (non-Legends)</t>
        </is>
      </c>
      <c r="O50" t="inlineStr">
        <is>
          <t>https://www.warhammer-community.com/en-gb/downloads/warhammer-40000/</t>
        </is>
      </c>
    </row>
    <row r="51">
      <c r="A51" t="inlineStr">
        <is>
          <t>Chaos Daemons</t>
        </is>
      </c>
      <c r="C51" t="inlineStr">
        <is>
          <t>Infantry / Other</t>
        </is>
      </c>
      <c r="D51" t="inlineStr">
        <is>
          <t>Infantry</t>
        </is>
      </c>
      <c r="E51" t="inlineStr">
        <is>
          <t>Hellflayers</t>
        </is>
      </c>
      <c r="F51" t="inlineStr">
        <is>
          <t>1 model</t>
        </is>
      </c>
      <c r="G51" t="inlineStr">
        <is>
          <t>Infantry</t>
        </is>
      </c>
      <c r="L51" t="n">
        <v>80</v>
      </c>
      <c r="N51" t="inlineStr">
        <is>
          <t>Added from current Munitorum Field Manual v4.1 (non-Legends)</t>
        </is>
      </c>
      <c r="O51" t="inlineStr">
        <is>
          <t>https://www.warhammer-community.com/en-gb/downloads/warhammer-40000/</t>
        </is>
      </c>
    </row>
    <row r="52">
      <c r="A52" t="inlineStr">
        <is>
          <t>Chaos Daemons</t>
        </is>
      </c>
      <c r="C52" t="inlineStr">
        <is>
          <t>Monster / Support</t>
        </is>
      </c>
      <c r="D52" t="inlineStr">
        <is>
          <t>Monster</t>
        </is>
      </c>
      <c r="E52" t="inlineStr">
        <is>
          <t>Skarbrand</t>
        </is>
      </c>
      <c r="F52" t="inlineStr">
        <is>
          <t>1 model</t>
        </is>
      </c>
      <c r="G52" t="inlineStr">
        <is>
          <t>Monster</t>
        </is>
      </c>
      <c r="L52" t="n">
        <v>315</v>
      </c>
      <c r="N52" t="inlineStr">
        <is>
          <t>Added from current Munitorum Field Manual v4.1 (non-Legends)</t>
        </is>
      </c>
      <c r="O52" t="inlineStr">
        <is>
          <t>https://www.warhammer-community.com/en-gb/downloads/warhammer-40000/</t>
        </is>
      </c>
    </row>
    <row r="53">
      <c r="A53" t="inlineStr">
        <is>
          <t>Chaos Daemons</t>
        </is>
      </c>
      <c r="C53" t="inlineStr">
        <is>
          <t>Vehicle / Support</t>
        </is>
      </c>
      <c r="D53" t="inlineStr">
        <is>
          <t>Vehicle</t>
        </is>
      </c>
      <c r="E53" t="inlineStr">
        <is>
          <t>Skull Altar</t>
        </is>
      </c>
      <c r="F53" t="inlineStr">
        <is>
          <t>1 model</t>
        </is>
      </c>
      <c r="G53" t="inlineStr">
        <is>
          <t>Vehicle</t>
        </is>
      </c>
      <c r="L53" t="n">
        <v>105</v>
      </c>
      <c r="N53" t="inlineStr">
        <is>
          <t>Added from current Munitorum Field Manual v4.1 (non-Legends)</t>
        </is>
      </c>
      <c r="O53" t="inlineStr">
        <is>
          <t>https://www.warhammer-community.com/en-gb/downloads/warhammer-40000/</t>
        </is>
      </c>
    </row>
    <row r="54">
      <c r="A54" t="inlineStr">
        <is>
          <t>Chaos Daemons</t>
        </is>
      </c>
      <c r="C54" t="inlineStr">
        <is>
          <t>Infantry / Other</t>
        </is>
      </c>
      <c r="D54" t="inlineStr">
        <is>
          <t>Infantry</t>
        </is>
      </c>
      <c r="E54" t="inlineStr">
        <is>
          <t>The Masque Of Slaanesh</t>
        </is>
      </c>
      <c r="F54" t="inlineStr">
        <is>
          <t>1 model</t>
        </is>
      </c>
      <c r="G54" t="inlineStr">
        <is>
          <t>Infantry</t>
        </is>
      </c>
      <c r="L54" t="n">
        <v>95</v>
      </c>
      <c r="N54" t="inlineStr">
        <is>
          <t>Added from current Munitorum Field Manual v4.1 (non-Legends)</t>
        </is>
      </c>
      <c r="O54" t="inlineStr">
        <is>
          <t>https://www.warhammer-community.com/en-gb/downloads/warhammer-40000/</t>
        </is>
      </c>
    </row>
    <row r="55">
      <c r="A55" t="inlineStr">
        <is>
          <t>Chaos Daemons</t>
        </is>
      </c>
      <c r="C55" t="inlineStr">
        <is>
          <t>Character</t>
        </is>
      </c>
      <c r="D55" t="inlineStr">
        <is>
          <t>Character</t>
        </is>
      </c>
      <c r="E55" t="inlineStr">
        <is>
          <t>Tormentbringer</t>
        </is>
      </c>
      <c r="F55" t="inlineStr">
        <is>
          <t>1 model</t>
        </is>
      </c>
      <c r="G55" t="inlineStr">
        <is>
          <t>Character</t>
        </is>
      </c>
      <c r="L55" t="n">
        <v>135</v>
      </c>
      <c r="N55" t="inlineStr">
        <is>
          <t>Added from current Munitorum Field Manual v4.1 (non-Legends)</t>
        </is>
      </c>
      <c r="O5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Chaos Knights</t>
        </is>
      </c>
      <c r="C2" t="inlineStr">
        <is>
          <t>Vehicle / Support</t>
        </is>
      </c>
      <c r="D2" t="inlineStr">
        <is>
          <t>Super-heavy Vehicle/Monster</t>
        </is>
      </c>
      <c r="E2" t="inlineStr">
        <is>
          <t>Knight Abominant</t>
        </is>
      </c>
      <c r="F2" t="inlineStr">
        <is>
          <t>1 model</t>
        </is>
      </c>
      <c r="G2" t="inlineStr">
        <is>
          <t>Super-heavy Vehicle/Monster</t>
        </is>
      </c>
      <c r="L2" s="60" t="n">
        <v>365</v>
      </c>
      <c r="M2" s="54" t="str"/>
      <c r="N2" s="54" t="inlineStr">
        <is>
          <t>Matched to Munitorum Field Manual v2.3</t>
        </is>
      </c>
      <c r="O2" s="54" t="inlineStr">
        <is>
          <t>Uploaded PDF: Munitorum Field Manual v2.3 / March 2025, p.14</t>
        </is>
      </c>
    </row>
    <row r="3">
      <c r="A3" t="inlineStr">
        <is>
          <t>Chaos Knights</t>
        </is>
      </c>
      <c r="C3" t="inlineStr">
        <is>
          <t>Vehicle / Support</t>
        </is>
      </c>
      <c r="D3" t="inlineStr">
        <is>
          <t>Super-heavy Vehicle/Monster</t>
        </is>
      </c>
      <c r="E3" t="inlineStr">
        <is>
          <t>Knight Desecrator</t>
        </is>
      </c>
      <c r="F3" t="inlineStr">
        <is>
          <t>1 model</t>
        </is>
      </c>
      <c r="G3" t="inlineStr">
        <is>
          <t>Super-heavy Vehicle/Monster</t>
        </is>
      </c>
      <c r="L3" s="60" t="n">
        <v>400</v>
      </c>
      <c r="M3" s="54" t="str"/>
      <c r="N3" s="54" t="inlineStr">
        <is>
          <t>Matched to Munitorum Field Manual v2.3</t>
        </is>
      </c>
      <c r="O3" s="54" t="inlineStr">
        <is>
          <t>Uploaded PDF: Munitorum Field Manual v2.3 / March 2025, p.14</t>
        </is>
      </c>
    </row>
    <row r="4">
      <c r="A4" t="inlineStr">
        <is>
          <t>Chaos Knights</t>
        </is>
      </c>
      <c r="C4" t="inlineStr">
        <is>
          <t>Vehicle / Support</t>
        </is>
      </c>
      <c r="D4" t="inlineStr">
        <is>
          <t>Super-heavy Vehicle/Monster</t>
        </is>
      </c>
      <c r="E4" t="inlineStr">
        <is>
          <t>Knight Despoiler</t>
        </is>
      </c>
      <c r="F4" t="inlineStr">
        <is>
          <t>1 model</t>
        </is>
      </c>
      <c r="G4" t="inlineStr">
        <is>
          <t>Super-heavy Vehicle/Monster</t>
        </is>
      </c>
      <c r="L4" s="60" t="n">
        <v>400</v>
      </c>
      <c r="M4" s="54" t="str"/>
      <c r="N4" s="54" t="inlineStr">
        <is>
          <t>Matched to Munitorum Field Manual v2.3</t>
        </is>
      </c>
      <c r="O4" s="54" t="inlineStr">
        <is>
          <t>Uploaded PDF: Munitorum Field Manual v2.3 / March 2025, p.14</t>
        </is>
      </c>
    </row>
    <row r="5">
      <c r="A5" t="inlineStr">
        <is>
          <t>Chaos Knights</t>
        </is>
      </c>
      <c r="C5" t="inlineStr">
        <is>
          <t>Vehicle / Support</t>
        </is>
      </c>
      <c r="D5" t="inlineStr">
        <is>
          <t>Super-heavy Vehicle/Monster</t>
        </is>
      </c>
      <c r="E5" t="inlineStr">
        <is>
          <t>Knight Rampager</t>
        </is>
      </c>
      <c r="F5" t="inlineStr">
        <is>
          <t>1 model</t>
        </is>
      </c>
      <c r="G5" t="inlineStr">
        <is>
          <t>Super-heavy Vehicle/Monster</t>
        </is>
      </c>
      <c r="L5" s="60" t="n">
        <v>380</v>
      </c>
      <c r="M5" s="54" t="str"/>
      <c r="N5" s="54" t="inlineStr">
        <is>
          <t>Matched to Munitorum Field Manual v2.3</t>
        </is>
      </c>
      <c r="O5" s="54" t="inlineStr">
        <is>
          <t>Uploaded PDF: Munitorum Field Manual v2.3 / March 2025, p.14</t>
        </is>
      </c>
    </row>
    <row r="6">
      <c r="A6" t="inlineStr">
        <is>
          <t>Chaos Knights</t>
        </is>
      </c>
      <c r="C6" t="inlineStr">
        <is>
          <t>Vehicle / Support</t>
        </is>
      </c>
      <c r="D6" t="inlineStr">
        <is>
          <t>Super-heavy Vehicle/Monster</t>
        </is>
      </c>
      <c r="E6" t="inlineStr">
        <is>
          <t>Knight Tyrant</t>
        </is>
      </c>
      <c r="F6" t="inlineStr">
        <is>
          <t>1 model</t>
        </is>
      </c>
      <c r="G6" t="inlineStr">
        <is>
          <t>Super-heavy Vehicle/Monster</t>
        </is>
      </c>
      <c r="L6" s="60" t="n">
        <v>480</v>
      </c>
      <c r="M6" s="54" t="str"/>
      <c r="N6" s="54" t="inlineStr">
        <is>
          <t>Matched to Munitorum Field Manual v2.3</t>
        </is>
      </c>
      <c r="O6" s="54" t="inlineStr">
        <is>
          <t>Uploaded PDF: Munitorum Field Manual v2.3 / March 2025, p.14</t>
        </is>
      </c>
    </row>
    <row r="7">
      <c r="A7" t="inlineStr">
        <is>
          <t>Chaos Knights</t>
        </is>
      </c>
      <c r="C7" t="inlineStr">
        <is>
          <t>Vehicle / Support</t>
        </is>
      </c>
      <c r="D7" t="inlineStr">
        <is>
          <t>Vehicle</t>
        </is>
      </c>
      <c r="E7" t="inlineStr">
        <is>
          <t>War Dog Brigand</t>
        </is>
      </c>
      <c r="F7" t="inlineStr">
        <is>
          <t>1 model</t>
        </is>
      </c>
      <c r="G7" t="inlineStr">
        <is>
          <t>Vehicle</t>
        </is>
      </c>
      <c r="L7" s="60" t="n">
        <v>165</v>
      </c>
      <c r="M7" s="54" t="str"/>
      <c r="N7" s="54" t="inlineStr">
        <is>
          <t>Matched to Munitorum Field Manual v2.3</t>
        </is>
      </c>
      <c r="O7" s="54" t="inlineStr">
        <is>
          <t>Uploaded PDF: Munitorum Field Manual v2.3 / March 2025, p.14</t>
        </is>
      </c>
    </row>
    <row r="8">
      <c r="A8" t="inlineStr">
        <is>
          <t>Chaos Knights</t>
        </is>
      </c>
      <c r="C8" t="inlineStr">
        <is>
          <t>Vehicle / Support</t>
        </is>
      </c>
      <c r="D8" t="inlineStr">
        <is>
          <t>Vehicle</t>
        </is>
      </c>
      <c r="E8" t="inlineStr">
        <is>
          <t>War Dog Executioner</t>
        </is>
      </c>
      <c r="F8" t="inlineStr">
        <is>
          <t>1 model</t>
        </is>
      </c>
      <c r="G8" t="inlineStr">
        <is>
          <t>Vehicle</t>
        </is>
      </c>
      <c r="L8" s="60" t="n">
        <v>130</v>
      </c>
      <c r="M8" s="54" t="str"/>
      <c r="N8" s="54" t="inlineStr">
        <is>
          <t>Matched to Munitorum Field Manual v2.3</t>
        </is>
      </c>
      <c r="O8" s="54" t="inlineStr">
        <is>
          <t>Uploaded PDF: Munitorum Field Manual v2.3 / March 2025, p.14</t>
        </is>
      </c>
    </row>
    <row r="9">
      <c r="A9" t="inlineStr">
        <is>
          <t>Chaos Knights</t>
        </is>
      </c>
      <c r="C9" t="inlineStr">
        <is>
          <t>Vehicle / Support</t>
        </is>
      </c>
      <c r="D9" t="inlineStr">
        <is>
          <t>Vehicle</t>
        </is>
      </c>
      <c r="E9" t="inlineStr">
        <is>
          <t>War Dog Huntsman</t>
        </is>
      </c>
      <c r="F9" t="inlineStr">
        <is>
          <t>1 model</t>
        </is>
      </c>
      <c r="G9" t="inlineStr">
        <is>
          <t>Vehicle</t>
        </is>
      </c>
      <c r="L9" s="60" t="n">
        <v>140</v>
      </c>
      <c r="M9" s="54" t="str"/>
      <c r="N9" s="54" t="inlineStr">
        <is>
          <t>Matched to Munitorum Field Manual v2.3</t>
        </is>
      </c>
      <c r="O9" s="54" t="inlineStr">
        <is>
          <t>Uploaded PDF: Munitorum Field Manual v2.3 / March 2025, p.14</t>
        </is>
      </c>
    </row>
    <row r="10">
      <c r="A10" t="inlineStr">
        <is>
          <t>Chaos Knights</t>
        </is>
      </c>
      <c r="C10" t="inlineStr">
        <is>
          <t>Vehicle / Support</t>
        </is>
      </c>
      <c r="D10" t="inlineStr">
        <is>
          <t>Vehicle</t>
        </is>
      </c>
      <c r="E10" t="inlineStr">
        <is>
          <t>War Dog Karnivore</t>
        </is>
      </c>
      <c r="F10" t="inlineStr">
        <is>
          <t>1 model</t>
        </is>
      </c>
      <c r="G10" t="inlineStr">
        <is>
          <t>Vehicle</t>
        </is>
      </c>
      <c r="L10" s="60" t="n">
        <v>140</v>
      </c>
      <c r="M10" s="54" t="str"/>
      <c r="N10" s="54" t="inlineStr">
        <is>
          <t>Matched to Munitorum Field Manual v2.3</t>
        </is>
      </c>
      <c r="O10" s="54" t="inlineStr">
        <is>
          <t>Uploaded PDF: Munitorum Field Manual v2.3 / March 2025, p.14</t>
        </is>
      </c>
    </row>
    <row r="11">
      <c r="A11" t="inlineStr">
        <is>
          <t>Chaos Knights</t>
        </is>
      </c>
      <c r="C11" t="inlineStr">
        <is>
          <t>Vehicle / Support</t>
        </is>
      </c>
      <c r="D11" t="inlineStr">
        <is>
          <t>Walker / Battlesuit</t>
        </is>
      </c>
      <c r="E11" t="inlineStr">
        <is>
          <t>War Dog Stalker</t>
        </is>
      </c>
      <c r="F11" t="inlineStr">
        <is>
          <t>1 model</t>
        </is>
      </c>
      <c r="G11" t="inlineStr">
        <is>
          <t>Walker / Battlesuit</t>
        </is>
      </c>
      <c r="L11" s="60" t="n">
        <v>140</v>
      </c>
      <c r="M11" s="54" t="str"/>
      <c r="N11" s="54" t="inlineStr">
        <is>
          <t>Matched to Munitorum Field Manual v2.3</t>
        </is>
      </c>
      <c r="O11" s="54" t="inlineStr">
        <is>
          <t>Uploaded PDF: Munitorum Field Manual v2.3 / March 2025, p.14</t>
        </is>
      </c>
    </row>
    <row r="12">
      <c r="A12" t="inlineStr">
        <is>
          <t>Chaos Knights</t>
        </is>
      </c>
      <c r="C12" t="inlineStr">
        <is>
          <t>Infantry / Other</t>
        </is>
      </c>
      <c r="D12" t="inlineStr">
        <is>
          <t>Infantry</t>
        </is>
      </c>
      <c r="E12" t="inlineStr">
        <is>
          <t>Chaos Acastus Knight Asterius</t>
        </is>
      </c>
      <c r="F12" t="inlineStr">
        <is>
          <t>1 model</t>
        </is>
      </c>
      <c r="G12" t="inlineStr">
        <is>
          <t>Infantry</t>
        </is>
      </c>
      <c r="L12" t="n">
        <v>785</v>
      </c>
      <c r="M12" t="inlineStr">
        <is>
          <t>Your 1st Unit Costs: 1 models = 785 pts | Your 2nd + Unit Costs: 1 models = 860 pts</t>
        </is>
      </c>
      <c r="N12" t="inlineStr">
        <is>
          <t>Added from current Munitorum Field Manual v4.1 (non-Legends)</t>
        </is>
      </c>
      <c r="O12" t="inlineStr">
        <is>
          <t>https://www.warhammer-community.com/en-gb/downloads/warhammer-40000/</t>
        </is>
      </c>
    </row>
    <row r="13">
      <c r="A13" t="inlineStr">
        <is>
          <t>Chaos Knights</t>
        </is>
      </c>
      <c r="C13" t="inlineStr">
        <is>
          <t>Infantry / Other</t>
        </is>
      </c>
      <c r="D13" t="inlineStr">
        <is>
          <t>Infantry</t>
        </is>
      </c>
      <c r="E13" t="inlineStr">
        <is>
          <t>Chaos Acastus Knight Porphyrion</t>
        </is>
      </c>
      <c r="F13" t="inlineStr">
        <is>
          <t>1 model</t>
        </is>
      </c>
      <c r="G13" t="inlineStr">
        <is>
          <t>Infantry</t>
        </is>
      </c>
      <c r="L13" t="n">
        <v>725</v>
      </c>
      <c r="M13" t="inlineStr">
        <is>
          <t>Your 1st Unit Costs: 1 models = 725 pts | Your 2nd + Unit Costs: 1 models = 800 pts</t>
        </is>
      </c>
      <c r="N13" t="inlineStr">
        <is>
          <t>Added from current Munitorum Field Manual v4.1 (non-Legends)</t>
        </is>
      </c>
      <c r="O13" t="inlineStr">
        <is>
          <t>https://www.warhammer-community.com/en-gb/downloads/warhammer-40000/</t>
        </is>
      </c>
    </row>
    <row r="14">
      <c r="A14" t="inlineStr">
        <is>
          <t>Chaos Knights</t>
        </is>
      </c>
      <c r="C14" t="inlineStr">
        <is>
          <t>Infantry / Other</t>
        </is>
      </c>
      <c r="D14" t="inlineStr">
        <is>
          <t>Infantry</t>
        </is>
      </c>
      <c r="E14" t="inlineStr">
        <is>
          <t>Chaos Cerastus Knight Acheron</t>
        </is>
      </c>
      <c r="F14" t="inlineStr">
        <is>
          <t>1 model</t>
        </is>
      </c>
      <c r="G14" t="inlineStr">
        <is>
          <t>Infantry</t>
        </is>
      </c>
      <c r="L14" t="n">
        <v>370</v>
      </c>
      <c r="M14" t="inlineStr">
        <is>
          <t>Your 1st Unit Costs: 1 models = 370 pts | Your 2nd + Unit Costs: 1 models = 385 pts</t>
        </is>
      </c>
      <c r="N14" t="inlineStr">
        <is>
          <t>Added from current Munitorum Field Manual v4.1 (non-Legends)</t>
        </is>
      </c>
      <c r="O14" t="inlineStr">
        <is>
          <t>https://www.warhammer-community.com/en-gb/downloads/warhammer-40000/</t>
        </is>
      </c>
    </row>
    <row r="15">
      <c r="A15" t="inlineStr">
        <is>
          <t>Chaos Knights</t>
        </is>
      </c>
      <c r="C15" t="inlineStr">
        <is>
          <t>Infantry / Other</t>
        </is>
      </c>
      <c r="D15" t="inlineStr">
        <is>
          <t>Infantry</t>
        </is>
      </c>
      <c r="E15" t="inlineStr">
        <is>
          <t>Chaos Cerastus Knight Atrapos</t>
        </is>
      </c>
      <c r="F15" t="inlineStr">
        <is>
          <t>1 model</t>
        </is>
      </c>
      <c r="G15" t="inlineStr">
        <is>
          <t>Infantry</t>
        </is>
      </c>
      <c r="L15" t="n">
        <v>395</v>
      </c>
      <c r="M15" t="inlineStr">
        <is>
          <t>Your 1st Unit Costs: 1 models = 395 pts | Your 2nd + Unit Costs: 1 models = 415 pts</t>
        </is>
      </c>
      <c r="N15" t="inlineStr">
        <is>
          <t>Added from current Munitorum Field Manual v4.1 (non-Legends)</t>
        </is>
      </c>
      <c r="O15" t="inlineStr">
        <is>
          <t>https://www.warhammer-community.com/en-gb/downloads/warhammer-40000/</t>
        </is>
      </c>
    </row>
    <row r="16">
      <c r="A16" t="inlineStr">
        <is>
          <t>Chaos Knights</t>
        </is>
      </c>
      <c r="C16" t="inlineStr">
        <is>
          <t>Infantry / Other</t>
        </is>
      </c>
      <c r="D16" t="inlineStr">
        <is>
          <t>Infantry</t>
        </is>
      </c>
      <c r="E16" t="inlineStr">
        <is>
          <t>Chaos Cerastus Knight Castigator</t>
        </is>
      </c>
      <c r="F16" t="inlineStr">
        <is>
          <t>1 model</t>
        </is>
      </c>
      <c r="G16" t="inlineStr">
        <is>
          <t>Infantry</t>
        </is>
      </c>
      <c r="L16" t="n">
        <v>370</v>
      </c>
      <c r="M16" t="inlineStr">
        <is>
          <t>Your 1st Unit Costs: 1 models = 370 pts | Your 2nd + Unit Costs: 1 models = 385 pts</t>
        </is>
      </c>
      <c r="N16" t="inlineStr">
        <is>
          <t>Added from current Munitorum Field Manual v4.1 (non-Legends)</t>
        </is>
      </c>
      <c r="O16" t="inlineStr">
        <is>
          <t>https://www.warhammer-community.com/en-gb/downloads/warhammer-40000/</t>
        </is>
      </c>
    </row>
    <row r="17">
      <c r="A17" t="inlineStr">
        <is>
          <t>Chaos Knights</t>
        </is>
      </c>
      <c r="C17" t="inlineStr">
        <is>
          <t>Infantry / Other</t>
        </is>
      </c>
      <c r="D17" t="inlineStr">
        <is>
          <t>Infantry</t>
        </is>
      </c>
      <c r="E17" t="inlineStr">
        <is>
          <t>Chaos Cerastus Knight Lancer</t>
        </is>
      </c>
      <c r="F17" t="inlineStr">
        <is>
          <t>1 model</t>
        </is>
      </c>
      <c r="G17" t="inlineStr">
        <is>
          <t>Infantry</t>
        </is>
      </c>
      <c r="L17" t="n">
        <v>395</v>
      </c>
      <c r="M17" t="inlineStr">
        <is>
          <t>Your 1st Unit Costs: 1 models = 395 pts | Your 2nd + Unit Costs: 1 models = 415 pts</t>
        </is>
      </c>
      <c r="N17" t="inlineStr">
        <is>
          <t>Added from current Munitorum Field Manual v4.1 (non-Legends)</t>
        </is>
      </c>
      <c r="O17" t="inlineStr">
        <is>
          <t>https://www.warhammer-community.com/en-gb/downloads/warhammer-40000/</t>
        </is>
      </c>
    </row>
    <row r="18">
      <c r="A18" t="inlineStr">
        <is>
          <t>Chaos Knights</t>
        </is>
      </c>
      <c r="C18" t="inlineStr">
        <is>
          <t>Infantry / Other</t>
        </is>
      </c>
      <c r="D18" t="inlineStr">
        <is>
          <t>Infantry</t>
        </is>
      </c>
      <c r="E18" t="inlineStr">
        <is>
          <t>Chaos Questoris Knight Magaera</t>
        </is>
      </c>
      <c r="F18" t="inlineStr">
        <is>
          <t>1 model</t>
        </is>
      </c>
      <c r="G18" t="inlineStr">
        <is>
          <t>Infantry</t>
        </is>
      </c>
      <c r="L18" t="n">
        <v>375</v>
      </c>
      <c r="M18" t="inlineStr">
        <is>
          <t>Your 1st Unit Costs: 1 models = 375 pts | Your 2nd + Unit Costs: 1 models = 390 pts</t>
        </is>
      </c>
      <c r="N18" t="inlineStr">
        <is>
          <t>Added from current Munitorum Field Manual v4.1 (non-Legends)</t>
        </is>
      </c>
      <c r="O18" t="inlineStr">
        <is>
          <t>https://www.warhammer-community.com/en-gb/downloads/warhammer-40000/</t>
        </is>
      </c>
    </row>
    <row r="19">
      <c r="A19" t="inlineStr">
        <is>
          <t>Chaos Knights</t>
        </is>
      </c>
      <c r="C19" t="inlineStr">
        <is>
          <t>Infantry / Other</t>
        </is>
      </c>
      <c r="D19" t="inlineStr">
        <is>
          <t>Infantry</t>
        </is>
      </c>
      <c r="E19" t="inlineStr">
        <is>
          <t>Chaos Questoris Knight Styrix</t>
        </is>
      </c>
      <c r="F19" t="inlineStr">
        <is>
          <t>1 model</t>
        </is>
      </c>
      <c r="G19" t="inlineStr">
        <is>
          <t>Infantry</t>
        </is>
      </c>
      <c r="L19" t="n">
        <v>365</v>
      </c>
      <c r="M19" t="inlineStr">
        <is>
          <t>Your 1st Unit Costs: 1 models = 365 pts | Your 2nd + Unit Costs: 1 models = 380 pts</t>
        </is>
      </c>
      <c r="N19" t="inlineStr">
        <is>
          <t>Added from current Munitorum Field Manual v4.1 (non-Legends)</t>
        </is>
      </c>
      <c r="O19" t="inlineStr">
        <is>
          <t>https://www.warhammer-community.com/en-gb/downloads/warhammer-40000/</t>
        </is>
      </c>
    </row>
    <row r="20">
      <c r="A20" t="inlineStr">
        <is>
          <t>Chaos Knights</t>
        </is>
      </c>
      <c r="C20" t="inlineStr">
        <is>
          <t>Infantry / Other</t>
        </is>
      </c>
      <c r="D20" t="inlineStr">
        <is>
          <t>Infantry</t>
        </is>
      </c>
      <c r="E20" t="inlineStr">
        <is>
          <t>Knight Ruinator</t>
        </is>
      </c>
      <c r="F20" t="inlineStr">
        <is>
          <t>1 model</t>
        </is>
      </c>
      <c r="G20" t="inlineStr">
        <is>
          <t>Infantry</t>
        </is>
      </c>
      <c r="L20" t="n">
        <v>340</v>
      </c>
      <c r="M20" t="inlineStr">
        <is>
          <t>Your 1st To 2nd Units Cost: 1 models = 340 pts | Your 3rd + Unit Costs: 1 models = 355 pts</t>
        </is>
      </c>
      <c r="N20" t="inlineStr">
        <is>
          <t>Added from current Munitorum Field Manual v4.1 (non-Legends)</t>
        </is>
      </c>
      <c r="O20" t="inlineStr">
        <is>
          <t>https://www.warhammer-community.com/en-gb/downloads/warhammer-40000/</t>
        </is>
      </c>
    </row>
    <row r="21">
      <c r="A21" t="inlineStr">
        <is>
          <t>Chaos Knights</t>
        </is>
      </c>
      <c r="C21" t="inlineStr">
        <is>
          <t>Infantry / Other</t>
        </is>
      </c>
      <c r="D21" t="inlineStr">
        <is>
          <t>Infantry</t>
        </is>
      </c>
      <c r="E21" t="inlineStr">
        <is>
          <t>War Dog Moirax</t>
        </is>
      </c>
      <c r="F21" t="inlineStr">
        <is>
          <t>1 model</t>
        </is>
      </c>
      <c r="G21" t="inlineStr">
        <is>
          <t>Infantry</t>
        </is>
      </c>
      <c r="L21" t="n">
        <v>150</v>
      </c>
      <c r="M21" t="inlineStr">
        <is>
          <t>Your 1st To 2nd Units Cost: 1 models = 150 pts | Your 3rd + Unit Costs: 1 models = 160 pts</t>
        </is>
      </c>
      <c r="N21" t="inlineStr">
        <is>
          <t>Added from current Munitorum Field Manual v4.1 (non-Legends)</t>
        </is>
      </c>
      <c r="O21"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Chaos Space Marines</t>
        </is>
      </c>
      <c r="C2" t="inlineStr">
        <is>
          <t>Vehicle / Support</t>
        </is>
      </c>
      <c r="D2" t="inlineStr">
        <is>
          <t>Vehicle</t>
        </is>
      </c>
      <c r="E2" t="inlineStr">
        <is>
          <t>Abaddon the Despoiler</t>
        </is>
      </c>
      <c r="F2" t="inlineStr">
        <is>
          <t>1 model</t>
        </is>
      </c>
      <c r="G2" t="inlineStr">
        <is>
          <t>Vehicle, Epic Hero</t>
        </is>
      </c>
      <c r="L2" s="60" t="n">
        <v>280</v>
      </c>
      <c r="M2" s="54" t="str"/>
      <c r="N2" s="54" t="inlineStr">
        <is>
          <t>Matched to Munitorum Field Manual v2.3</t>
        </is>
      </c>
      <c r="O2" s="54" t="inlineStr">
        <is>
          <t>Uploaded PDF: Munitorum Field Manual v2.3 / March 2025, p.15</t>
        </is>
      </c>
    </row>
    <row r="3">
      <c r="A3" t="inlineStr">
        <is>
          <t>Chaos Space Marines</t>
        </is>
      </c>
      <c r="C3" t="inlineStr">
        <is>
          <t>Infantry / Other</t>
        </is>
      </c>
      <c r="D3" t="inlineStr">
        <is>
          <t>Infantry</t>
        </is>
      </c>
      <c r="E3" t="inlineStr">
        <is>
          <t>Accursed Cultists</t>
        </is>
      </c>
      <c r="F3" t="inlineStr">
        <is>
          <t>8 models</t>
        </is>
      </c>
      <c r="G3" t="inlineStr">
        <is>
          <t>Infantry</t>
        </is>
      </c>
      <c r="L3" s="60" t="n">
        <v>90</v>
      </c>
      <c r="M3" s="54" t="inlineStr">
        <is>
          <t>Points options: 8 models = 90 pts; 16 models = 195 pts</t>
        </is>
      </c>
      <c r="N3" s="54" t="inlineStr">
        <is>
          <t>Matched to Munitorum Field Manual v2.3</t>
        </is>
      </c>
      <c r="O3" s="54" t="inlineStr">
        <is>
          <t>Uploaded PDF: Munitorum Field Manual v2.3 / March 2025, p.15</t>
        </is>
      </c>
    </row>
    <row r="4">
      <c r="A4" t="inlineStr">
        <is>
          <t>Chaos Space Marines</t>
        </is>
      </c>
      <c r="C4" t="inlineStr">
        <is>
          <t>Infantry / Other</t>
        </is>
      </c>
      <c r="D4" t="inlineStr">
        <is>
          <t>Mounted / Bike</t>
        </is>
      </c>
      <c r="E4" t="inlineStr">
        <is>
          <t>Chaos Bikers</t>
        </is>
      </c>
      <c r="F4" t="inlineStr">
        <is>
          <t>3 models</t>
        </is>
      </c>
      <c r="G4" t="inlineStr">
        <is>
          <t>Mounted / Bike</t>
        </is>
      </c>
      <c r="L4" s="60" t="n">
        <v>70</v>
      </c>
      <c r="M4" s="54" t="inlineStr">
        <is>
          <t>Points options: 3 models = 70 pts; 6 models = 130 pts</t>
        </is>
      </c>
      <c r="N4" s="54" t="inlineStr">
        <is>
          <t>Matched to Munitorum Field Manual v2.3</t>
        </is>
      </c>
      <c r="O4" s="54" t="inlineStr">
        <is>
          <t>Uploaded PDF: Munitorum Field Manual v2.3 / March 2025, p.15</t>
        </is>
      </c>
    </row>
    <row r="5">
      <c r="A5" t="inlineStr">
        <is>
          <t>Chaos Space Marines</t>
        </is>
      </c>
      <c r="C5" t="inlineStr">
        <is>
          <t>Vehicle / Support</t>
        </is>
      </c>
      <c r="D5" t="inlineStr">
        <is>
          <t>Vehicle</t>
        </is>
      </c>
      <c r="E5" t="inlineStr">
        <is>
          <t>Chaos Land Raider</t>
        </is>
      </c>
      <c r="F5" t="inlineStr">
        <is>
          <t>1 model</t>
        </is>
      </c>
      <c r="G5" t="inlineStr">
        <is>
          <t>Vehicle</t>
        </is>
      </c>
      <c r="L5" s="60" t="n">
        <v>240</v>
      </c>
      <c r="M5" s="54" t="str"/>
      <c r="N5" s="54" t="inlineStr">
        <is>
          <t>Matched to Munitorum Field Manual v2.3</t>
        </is>
      </c>
      <c r="O5" s="54" t="inlineStr">
        <is>
          <t>Uploaded PDF: Munitorum Field Manual v2.3 / March 2025, p.15</t>
        </is>
      </c>
    </row>
    <row r="6">
      <c r="A6" t="inlineStr">
        <is>
          <t>Chaos Space Marines</t>
        </is>
      </c>
      <c r="C6" t="inlineStr">
        <is>
          <t>Character</t>
        </is>
      </c>
      <c r="D6" t="inlineStr">
        <is>
          <t>Character</t>
        </is>
      </c>
      <c r="E6" t="inlineStr">
        <is>
          <t>Chaos Lord</t>
        </is>
      </c>
      <c r="F6" t="inlineStr">
        <is>
          <t>1 model</t>
        </is>
      </c>
      <c r="G6" t="inlineStr">
        <is>
          <t>Character</t>
        </is>
      </c>
      <c r="L6" s="60" t="n">
        <v>90</v>
      </c>
      <c r="M6" s="54" t="str"/>
      <c r="N6" s="54" t="inlineStr">
        <is>
          <t>Matched to Munitorum Field Manual v2.3</t>
        </is>
      </c>
      <c r="O6" s="54" t="inlineStr">
        <is>
          <t>Uploaded PDF: Munitorum Field Manual v2.3 / March 2025, p.15</t>
        </is>
      </c>
    </row>
    <row r="7">
      <c r="A7" t="inlineStr">
        <is>
          <t>Chaos Space Marines</t>
        </is>
      </c>
      <c r="C7" t="inlineStr">
        <is>
          <t>Character</t>
        </is>
      </c>
      <c r="D7" t="inlineStr">
        <is>
          <t>Character</t>
        </is>
      </c>
      <c r="E7" t="inlineStr">
        <is>
          <t>Chaos Lord in Terminator Armour</t>
        </is>
      </c>
      <c r="F7" t="inlineStr">
        <is>
          <t>1 model</t>
        </is>
      </c>
      <c r="G7" t="inlineStr">
        <is>
          <t>Character</t>
        </is>
      </c>
      <c r="L7" s="60" t="n">
        <v>95</v>
      </c>
      <c r="M7" s="54" t="str"/>
      <c r="N7" s="54" t="inlineStr">
        <is>
          <t>Matched to Munitorum Field Manual v2.3</t>
        </is>
      </c>
      <c r="O7" s="54" t="inlineStr">
        <is>
          <t>Uploaded PDF: Munitorum Field Manual v2.3 / March 2025, p.15</t>
        </is>
      </c>
    </row>
    <row r="8">
      <c r="A8" t="inlineStr">
        <is>
          <t>Chaos Space Marines</t>
        </is>
      </c>
      <c r="C8" t="inlineStr">
        <is>
          <t>Vehicle / Support</t>
        </is>
      </c>
      <c r="D8" t="inlineStr">
        <is>
          <t>Vehicle</t>
        </is>
      </c>
      <c r="E8" t="inlineStr">
        <is>
          <t>Chaos Predator Annihilator</t>
        </is>
      </c>
      <c r="F8" t="inlineStr">
        <is>
          <t>1 model</t>
        </is>
      </c>
      <c r="G8" t="inlineStr">
        <is>
          <t>Vehicle</t>
        </is>
      </c>
      <c r="L8" s="60" t="n">
        <v>135</v>
      </c>
      <c r="M8" s="54" t="str"/>
      <c r="N8" s="54" t="inlineStr">
        <is>
          <t>Matched to Munitorum Field Manual v2.3</t>
        </is>
      </c>
      <c r="O8" s="54" t="inlineStr">
        <is>
          <t>Uploaded PDF: Munitorum Field Manual v2.3 / March 2025, p.15</t>
        </is>
      </c>
    </row>
    <row r="9">
      <c r="A9" t="inlineStr">
        <is>
          <t>Chaos Space Marines</t>
        </is>
      </c>
      <c r="C9" t="inlineStr">
        <is>
          <t>Vehicle / Support</t>
        </is>
      </c>
      <c r="D9" t="inlineStr">
        <is>
          <t>Vehicle</t>
        </is>
      </c>
      <c r="E9" t="inlineStr">
        <is>
          <t>Chaos Predator Destructor</t>
        </is>
      </c>
      <c r="F9" t="inlineStr">
        <is>
          <t>1 model</t>
        </is>
      </c>
      <c r="G9" t="inlineStr">
        <is>
          <t>Vehicle</t>
        </is>
      </c>
      <c r="L9" s="60" t="n">
        <v>140</v>
      </c>
      <c r="M9" s="54" t="str"/>
      <c r="N9" s="54" t="inlineStr">
        <is>
          <t>Matched to Munitorum Field Manual v2.3</t>
        </is>
      </c>
      <c r="O9" s="54" t="inlineStr">
        <is>
          <t>Uploaded PDF: Munitorum Field Manual v2.3 / March 2025, p.15</t>
        </is>
      </c>
    </row>
    <row r="10">
      <c r="A10" t="inlineStr">
        <is>
          <t>Chaos Space Marines</t>
        </is>
      </c>
      <c r="C10" t="inlineStr">
        <is>
          <t>Vehicle / Support</t>
        </is>
      </c>
      <c r="D10" t="inlineStr">
        <is>
          <t>Vehicle</t>
        </is>
      </c>
      <c r="E10" t="inlineStr">
        <is>
          <t>Chaos Rhino</t>
        </is>
      </c>
      <c r="F10" t="inlineStr">
        <is>
          <t>1 model</t>
        </is>
      </c>
      <c r="G10" t="inlineStr">
        <is>
          <t>Vehicle</t>
        </is>
      </c>
      <c r="L10" s="60" t="n">
        <v>75</v>
      </c>
      <c r="M10" s="54" t="str"/>
      <c r="N10" s="54" t="inlineStr">
        <is>
          <t>Matched to Munitorum Field Manual v2.3</t>
        </is>
      </c>
      <c r="O10" s="54" t="inlineStr">
        <is>
          <t>Uploaded PDF: Munitorum Field Manual v2.3 / March 2025, p.15</t>
        </is>
      </c>
    </row>
    <row r="11">
      <c r="A11" t="inlineStr">
        <is>
          <t>Chaos Space Marines</t>
        </is>
      </c>
      <c r="C11" t="inlineStr">
        <is>
          <t>Infantry / Other</t>
        </is>
      </c>
      <c r="D11" t="inlineStr">
        <is>
          <t>Infantry</t>
        </is>
      </c>
      <c r="E11" t="inlineStr">
        <is>
          <t>Chaos Spawn</t>
        </is>
      </c>
      <c r="F11" t="inlineStr">
        <is>
          <t>2 models</t>
        </is>
      </c>
      <c r="G11" t="inlineStr">
        <is>
          <t>Infantry</t>
        </is>
      </c>
      <c r="L11" s="60" t="n">
        <v>70</v>
      </c>
      <c r="M11" s="54" t="str"/>
      <c r="N11" s="54" t="inlineStr">
        <is>
          <t>Matched to Munitorum Field Manual v2.3</t>
        </is>
      </c>
      <c r="O11" s="54" t="inlineStr">
        <is>
          <t>Uploaded PDF: Munitorum Field Manual v2.3 / March 2025, p.15</t>
        </is>
      </c>
    </row>
    <row r="12">
      <c r="A12" t="inlineStr">
        <is>
          <t>Chaos Space Marines</t>
        </is>
      </c>
      <c r="C12" t="inlineStr">
        <is>
          <t>Infantry / Other</t>
        </is>
      </c>
      <c r="D12" t="inlineStr">
        <is>
          <t>Infantry</t>
        </is>
      </c>
      <c r="E12" t="inlineStr">
        <is>
          <t>Chaos Terminator Squad</t>
        </is>
      </c>
      <c r="F12" t="inlineStr">
        <is>
          <t>5 models</t>
        </is>
      </c>
      <c r="G12" t="inlineStr">
        <is>
          <t>Infantry</t>
        </is>
      </c>
      <c r="L12" s="60" t="n">
        <v>180</v>
      </c>
      <c r="M12" s="54" t="inlineStr">
        <is>
          <t>Points options: 5 models = 180 pts; 10 models = 360 pts</t>
        </is>
      </c>
      <c r="N12" s="54" t="inlineStr">
        <is>
          <t>Matched to Munitorum Field Manual v2.3</t>
        </is>
      </c>
      <c r="O12" s="54" t="inlineStr">
        <is>
          <t>Uploaded PDF: Munitorum Field Manual v2.3 / March 2025, p.15</t>
        </is>
      </c>
    </row>
    <row r="13">
      <c r="A13" t="inlineStr">
        <is>
          <t>Chaos Space Marines</t>
        </is>
      </c>
      <c r="C13" t="inlineStr">
        <is>
          <t>Vehicle / Support</t>
        </is>
      </c>
      <c r="D13" t="inlineStr">
        <is>
          <t>Vehicle</t>
        </is>
      </c>
      <c r="E13" t="inlineStr">
        <is>
          <t>Chaos Vindicator</t>
        </is>
      </c>
      <c r="F13" t="inlineStr">
        <is>
          <t>1 model</t>
        </is>
      </c>
      <c r="G13" t="inlineStr">
        <is>
          <t>Vehicle</t>
        </is>
      </c>
      <c r="L13" s="60" t="n">
        <v>185</v>
      </c>
      <c r="M13" s="54" t="str"/>
      <c r="N13" s="54" t="inlineStr">
        <is>
          <t>Matched to Munitorum Field Manual v2.3</t>
        </is>
      </c>
      <c r="O13" s="54" t="inlineStr">
        <is>
          <t>Uploaded PDF: Munitorum Field Manual v2.3 / March 2025, p.15</t>
        </is>
      </c>
    </row>
    <row r="14">
      <c r="A14" t="inlineStr">
        <is>
          <t>Chaos Space Marines</t>
        </is>
      </c>
      <c r="C14" t="inlineStr">
        <is>
          <t>Infantry / Other</t>
        </is>
      </c>
      <c r="D14" t="inlineStr">
        <is>
          <t>Infantry</t>
        </is>
      </c>
      <c r="E14" t="inlineStr">
        <is>
          <t>Chosen</t>
        </is>
      </c>
      <c r="F14" t="inlineStr">
        <is>
          <t>5 models</t>
        </is>
      </c>
      <c r="G14" t="inlineStr">
        <is>
          <t>Infantry</t>
        </is>
      </c>
      <c r="L14" s="60" t="n">
        <v>125</v>
      </c>
      <c r="M14" s="54" t="inlineStr">
        <is>
          <t>Points options: 5 models = 125 pts; 10 models = 250 pts</t>
        </is>
      </c>
      <c r="N14" s="54" t="inlineStr">
        <is>
          <t>Matched to Munitorum Field Manual v2.3</t>
        </is>
      </c>
      <c r="O14" s="54" t="inlineStr">
        <is>
          <t>Uploaded PDF: Munitorum Field Manual v2.3 / March 2025, p.15</t>
        </is>
      </c>
    </row>
    <row r="15">
      <c r="A15" t="inlineStr">
        <is>
          <t>Chaos Space Marines</t>
        </is>
      </c>
      <c r="C15" t="inlineStr">
        <is>
          <t>Infantry / Other</t>
        </is>
      </c>
      <c r="D15" t="inlineStr">
        <is>
          <t>Infantry</t>
        </is>
      </c>
      <c r="E15" t="inlineStr">
        <is>
          <t>Cultist Mob</t>
        </is>
      </c>
      <c r="F15" t="inlineStr">
        <is>
          <t>10 models</t>
        </is>
      </c>
      <c r="G15" t="inlineStr">
        <is>
          <t>Infantry</t>
        </is>
      </c>
      <c r="L15" s="60" t="n">
        <v>50</v>
      </c>
      <c r="M15" s="54" t="inlineStr">
        <is>
          <t>Points options: 10 models = 50 pts; 20 models = 100 pts</t>
        </is>
      </c>
      <c r="N15" s="54" t="inlineStr">
        <is>
          <t>Matched to Munitorum Field Manual v2.3</t>
        </is>
      </c>
      <c r="O15" s="54" t="inlineStr">
        <is>
          <t>Uploaded PDF: Munitorum Field Manual v2.3 / March 2025, p.15</t>
        </is>
      </c>
    </row>
    <row r="16">
      <c r="A16" t="inlineStr">
        <is>
          <t>Chaos Space Marines</t>
        </is>
      </c>
      <c r="C16" t="inlineStr">
        <is>
          <t>Infantry / Other</t>
        </is>
      </c>
      <c r="D16" t="inlineStr">
        <is>
          <t>Infantry</t>
        </is>
      </c>
      <c r="E16" t="inlineStr">
        <is>
          <t>Cypher</t>
        </is>
      </c>
      <c r="F16" t="inlineStr">
        <is>
          <t>1 model</t>
        </is>
      </c>
      <c r="G16" t="inlineStr">
        <is>
          <t>Infantry</t>
        </is>
      </c>
      <c r="L16" s="60" t="n">
        <v>90</v>
      </c>
      <c r="M16" s="54" t="str"/>
      <c r="N16" s="54" t="inlineStr">
        <is>
          <t>Matched to Munitorum Field Manual v2.3</t>
        </is>
      </c>
      <c r="O16" s="54" t="inlineStr">
        <is>
          <t>Uploaded PDF: Munitorum Field Manual v2.3 / March 2025, p.15</t>
        </is>
      </c>
    </row>
    <row r="17">
      <c r="A17" t="inlineStr">
        <is>
          <t>Chaos Space Marines</t>
        </is>
      </c>
      <c r="C17" t="inlineStr">
        <is>
          <t>Infantry / Other</t>
        </is>
      </c>
      <c r="D17" t="inlineStr">
        <is>
          <t>Infantry</t>
        </is>
      </c>
      <c r="E17" t="inlineStr">
        <is>
          <t>Dark Apostle</t>
        </is>
      </c>
      <c r="F17" t="inlineStr">
        <is>
          <t>3 models</t>
        </is>
      </c>
      <c r="G17" t="inlineStr">
        <is>
          <t>Infantry</t>
        </is>
      </c>
      <c r="L17" s="60" t="n">
        <v>75</v>
      </c>
      <c r="M17" s="54" t="str"/>
      <c r="N17" s="54" t="inlineStr">
        <is>
          <t>Matched to Munitorum Field Manual v2.3</t>
        </is>
      </c>
      <c r="O17" s="54" t="inlineStr">
        <is>
          <t>Uploaded PDF: Munitorum Field Manual v2.3 / March 2025, p.15</t>
        </is>
      </c>
    </row>
    <row r="18">
      <c r="A18" t="inlineStr">
        <is>
          <t>Chaos Space Marines</t>
        </is>
      </c>
      <c r="C18" t="inlineStr">
        <is>
          <t>Infantry / Other</t>
        </is>
      </c>
      <c r="D18" t="inlineStr">
        <is>
          <t>Infantry</t>
        </is>
      </c>
      <c r="E18" t="inlineStr">
        <is>
          <t>Dark Commune</t>
        </is>
      </c>
      <c r="F18" t="inlineStr">
        <is>
          <t>5 models</t>
        </is>
      </c>
      <c r="G18" t="inlineStr">
        <is>
          <t>Infantry</t>
        </is>
      </c>
      <c r="L18" s="60" t="n">
        <v>80</v>
      </c>
      <c r="M18" s="54" t="str"/>
      <c r="N18" s="54" t="inlineStr">
        <is>
          <t>Matched to Munitorum Field Manual v2.3</t>
        </is>
      </c>
      <c r="O18" s="54" t="inlineStr">
        <is>
          <t>Uploaded PDF: Munitorum Field Manual v2.3 / March 2025, p.15</t>
        </is>
      </c>
    </row>
    <row r="19">
      <c r="A19" t="inlineStr">
        <is>
          <t>Chaos Space Marines</t>
        </is>
      </c>
      <c r="C19" t="inlineStr">
        <is>
          <t>Vehicle / Support</t>
        </is>
      </c>
      <c r="D19" t="inlineStr">
        <is>
          <t>Walker / Battlesuit</t>
        </is>
      </c>
      <c r="E19" t="inlineStr">
        <is>
          <t>Defiler</t>
        </is>
      </c>
      <c r="F19" t="inlineStr">
        <is>
          <t>1 model</t>
        </is>
      </c>
      <c r="G19" t="inlineStr">
        <is>
          <t>Walker / Battlesuit</t>
        </is>
      </c>
      <c r="L19" s="60" t="n">
        <v>190</v>
      </c>
      <c r="M19" s="54" t="str"/>
      <c r="N19" s="54" t="inlineStr">
        <is>
          <t>Matched to Munitorum Field Manual v2.3</t>
        </is>
      </c>
      <c r="O19" s="54" t="inlineStr">
        <is>
          <t>Uploaded PDF: Munitorum Field Manual v2.3 / March 2025, p.15</t>
        </is>
      </c>
    </row>
    <row r="20">
      <c r="A20" t="inlineStr">
        <is>
          <t>Chaos Space Marines</t>
        </is>
      </c>
      <c r="C20" t="inlineStr">
        <is>
          <t>Vehicle / Support</t>
        </is>
      </c>
      <c r="D20" t="inlineStr">
        <is>
          <t>Walker / Battlesuit</t>
        </is>
      </c>
      <c r="E20" t="inlineStr">
        <is>
          <t>Forgefiend</t>
        </is>
      </c>
      <c r="F20" t="inlineStr">
        <is>
          <t>1 model</t>
        </is>
      </c>
      <c r="G20" t="inlineStr">
        <is>
          <t>Walker / Battlesuit</t>
        </is>
      </c>
      <c r="L20" s="60" t="n">
        <v>180</v>
      </c>
      <c r="M20" s="54" t="str"/>
      <c r="N20" s="54" t="inlineStr">
        <is>
          <t>Matched to Munitorum Field Manual v2.3</t>
        </is>
      </c>
      <c r="O20" s="54" t="inlineStr">
        <is>
          <t>Uploaded PDF: Munitorum Field Manual v2.3 / March 2025, p.15</t>
        </is>
      </c>
    </row>
    <row r="21">
      <c r="A21" t="inlineStr">
        <is>
          <t>Chaos Space Marines</t>
        </is>
      </c>
      <c r="C21" t="inlineStr">
        <is>
          <t>Infantry / Other</t>
        </is>
      </c>
      <c r="D21" t="inlineStr">
        <is>
          <t>Infantry</t>
        </is>
      </c>
      <c r="E21" t="inlineStr">
        <is>
          <t>Haarken Worldclaimer</t>
        </is>
      </c>
      <c r="F21" t="inlineStr">
        <is>
          <t>1 model</t>
        </is>
      </c>
      <c r="G21" t="inlineStr">
        <is>
          <t>Infantry</t>
        </is>
      </c>
      <c r="L21" s="60" t="n">
        <v>90</v>
      </c>
      <c r="M21" s="54" t="str"/>
      <c r="N21" s="54" t="inlineStr">
        <is>
          <t>Matched to Munitorum Field Manual v2.3</t>
        </is>
      </c>
      <c r="O21" s="54" t="inlineStr">
        <is>
          <t>Uploaded PDF: Munitorum Field Manual v2.3 / March 2025, p.15</t>
        </is>
      </c>
    </row>
    <row r="22">
      <c r="A22" t="inlineStr">
        <is>
          <t>Chaos Space Marines</t>
        </is>
      </c>
      <c r="C22" t="inlineStr">
        <is>
          <t>Infantry / Other</t>
        </is>
      </c>
      <c r="D22" t="inlineStr">
        <is>
          <t>Infantry</t>
        </is>
      </c>
      <c r="E22" t="inlineStr">
        <is>
          <t>Havocs</t>
        </is>
      </c>
      <c r="F22" t="inlineStr">
        <is>
          <t>5 models</t>
        </is>
      </c>
      <c r="G22" t="inlineStr">
        <is>
          <t>Infantry</t>
        </is>
      </c>
      <c r="L22" s="60" t="n">
        <v>125</v>
      </c>
      <c r="M22" s="54" t="str"/>
      <c r="N22" s="54" t="inlineStr">
        <is>
          <t>Matched to Munitorum Field Manual v2.3</t>
        </is>
      </c>
      <c r="O22" s="54" t="inlineStr">
        <is>
          <t>Uploaded PDF: Munitorum Field Manual v2.3 / March 2025, p.15</t>
        </is>
      </c>
    </row>
    <row r="23">
      <c r="A23" t="inlineStr">
        <is>
          <t>Chaos Space Marines</t>
        </is>
      </c>
      <c r="C23" t="inlineStr">
        <is>
          <t>Infantry / Other</t>
        </is>
      </c>
      <c r="D23" t="inlineStr">
        <is>
          <t>Infantry</t>
        </is>
      </c>
      <c r="E23" t="inlineStr">
        <is>
          <t>Heldrake</t>
        </is>
      </c>
      <c r="F23" t="inlineStr">
        <is>
          <t>1 model</t>
        </is>
      </c>
      <c r="G23" t="inlineStr">
        <is>
          <t>Infantry</t>
        </is>
      </c>
      <c r="L23" s="60" t="n">
        <v>205</v>
      </c>
      <c r="M23" s="54" t="str"/>
      <c r="N23" s="54" t="inlineStr">
        <is>
          <t>Matched to Munitorum Field Manual v2.3</t>
        </is>
      </c>
      <c r="O23" s="54" t="inlineStr">
        <is>
          <t>Uploaded PDF: Munitorum Field Manual v2.3 / March 2025, p.15</t>
        </is>
      </c>
    </row>
    <row r="24">
      <c r="A24" t="inlineStr">
        <is>
          <t>Chaos Space Marines</t>
        </is>
      </c>
      <c r="C24" t="inlineStr">
        <is>
          <t>Vehicle / Support</t>
        </is>
      </c>
      <c r="D24" t="inlineStr">
        <is>
          <t>Walker / Battlesuit</t>
        </is>
      </c>
      <c r="E24" t="inlineStr">
        <is>
          <t>Helbrute</t>
        </is>
      </c>
      <c r="F24" t="inlineStr">
        <is>
          <t>1 model</t>
        </is>
      </c>
      <c r="G24" t="inlineStr">
        <is>
          <t>Walker / Battlesuit</t>
        </is>
      </c>
      <c r="L24" s="60" t="n">
        <v>130</v>
      </c>
      <c r="M24" s="54" t="str"/>
      <c r="N24" s="54" t="inlineStr">
        <is>
          <t>Matched to Munitorum Field Manual v2.3</t>
        </is>
      </c>
      <c r="O24" s="54" t="inlineStr">
        <is>
          <t>Uploaded PDF: Munitorum Field Manual v2.3 / March 2025, p.15</t>
        </is>
      </c>
    </row>
    <row r="25">
      <c r="A25" t="inlineStr">
        <is>
          <t>Chaos Space Marines</t>
        </is>
      </c>
      <c r="C25" t="inlineStr">
        <is>
          <t>Infantry / Other</t>
        </is>
      </c>
      <c r="D25" t="inlineStr">
        <is>
          <t>Infantry</t>
        </is>
      </c>
      <c r="E25" t="inlineStr">
        <is>
          <t>Heretic Astartes Daemon Prince</t>
        </is>
      </c>
      <c r="F25" t="inlineStr">
        <is>
          <t>1 model</t>
        </is>
      </c>
      <c r="G25" t="inlineStr">
        <is>
          <t>Infantry</t>
        </is>
      </c>
      <c r="L25" s="60" t="n">
        <v>165</v>
      </c>
      <c r="M25" s="54" t="inlineStr">
        <is>
          <t>Points options: 1 model = 165 pts; with Wings 1 model = 180 pts</t>
        </is>
      </c>
      <c r="N25" s="54" t="inlineStr">
        <is>
          <t>Matched to Munitorum Field Manual v2.3</t>
        </is>
      </c>
      <c r="O25" s="54" t="inlineStr">
        <is>
          <t>Uploaded PDF: Munitorum Field Manual v2.3 / March 2025, p.15</t>
        </is>
      </c>
    </row>
    <row r="26">
      <c r="A26" t="inlineStr">
        <is>
          <t>Chaos Space Marines</t>
        </is>
      </c>
      <c r="C26" t="inlineStr">
        <is>
          <t>Infantry / Other</t>
        </is>
      </c>
      <c r="D26" t="inlineStr">
        <is>
          <t>Infantry</t>
        </is>
      </c>
      <c r="E26" t="inlineStr">
        <is>
          <t>Heretic Astartes Daemon Prince with Wings</t>
        </is>
      </c>
      <c r="G26" t="inlineStr">
        <is>
          <t>Infantry</t>
        </is>
      </c>
      <c r="L26" s="60" t="n"/>
      <c r="M26" s="54" t="inlineStr">
        <is>
          <t>No matching points entry found in uploaded PDF; verify unit name/current support.</t>
        </is>
      </c>
      <c r="N26" s="54" t="inlineStr">
        <is>
          <t>Not found in uploaded PDF</t>
        </is>
      </c>
      <c r="O26" s="54" t="inlineStr">
        <is>
          <t>Uploaded PDF: Munitorum Field Manual v2.3 / March 2025</t>
        </is>
      </c>
    </row>
    <row r="27">
      <c r="A27" t="inlineStr">
        <is>
          <t>Chaos Space Marines</t>
        </is>
      </c>
      <c r="C27" t="inlineStr">
        <is>
          <t>Infantry / Other</t>
        </is>
      </c>
      <c r="D27" t="inlineStr">
        <is>
          <t>Infantry</t>
        </is>
      </c>
      <c r="E27" t="inlineStr">
        <is>
          <t>Huron Blackheart</t>
        </is>
      </c>
      <c r="F27" t="inlineStr">
        <is>
          <t>1 model</t>
        </is>
      </c>
      <c r="G27" t="inlineStr">
        <is>
          <t>Infantry</t>
        </is>
      </c>
      <c r="L27" s="60" t="n">
        <v>80</v>
      </c>
      <c r="M27" s="54" t="str"/>
      <c r="N27" s="54" t="inlineStr">
        <is>
          <t>Matched to Munitorum Field Manual v2.3</t>
        </is>
      </c>
      <c r="O27" s="54" t="inlineStr">
        <is>
          <t>Uploaded PDF: Munitorum Field Manual v2.3 / March 2025, p.15</t>
        </is>
      </c>
    </row>
    <row r="28">
      <c r="A28" t="inlineStr">
        <is>
          <t>Chaos Space Marines</t>
        </is>
      </c>
      <c r="C28" t="inlineStr">
        <is>
          <t>Vehicle / Support</t>
        </is>
      </c>
      <c r="D28" t="inlineStr">
        <is>
          <t>Super-heavy Vehicle/Monster</t>
        </is>
      </c>
      <c r="E28" t="inlineStr">
        <is>
          <t>Khorne Lord of Skulls</t>
        </is>
      </c>
      <c r="F28" t="inlineStr">
        <is>
          <t>1 model</t>
        </is>
      </c>
      <c r="G28" t="inlineStr">
        <is>
          <t>Super-heavy Vehicle/Monster</t>
        </is>
      </c>
      <c r="L28" s="60" t="n">
        <v>450</v>
      </c>
      <c r="M28" s="54" t="str"/>
      <c r="N28" s="54" t="inlineStr">
        <is>
          <t>Matched to Munitorum Field Manual v2.3</t>
        </is>
      </c>
      <c r="O28" s="54" t="inlineStr">
        <is>
          <t>Uploaded PDF: Munitorum Field Manual v2.3 / March 2025, p.15</t>
        </is>
      </c>
    </row>
    <row r="29">
      <c r="A29" t="inlineStr">
        <is>
          <t>Chaos Space Marines</t>
        </is>
      </c>
      <c r="C29" t="inlineStr">
        <is>
          <t>Battleline / Core</t>
        </is>
      </c>
      <c r="D29" t="inlineStr">
        <is>
          <t>Infantry</t>
        </is>
      </c>
      <c r="E29" t="inlineStr">
        <is>
          <t>Legionaries</t>
        </is>
      </c>
      <c r="F29" t="inlineStr">
        <is>
          <t>5 models</t>
        </is>
      </c>
      <c r="G29" t="inlineStr">
        <is>
          <t>Infantry</t>
        </is>
      </c>
      <c r="L29" s="60" t="n">
        <v>90</v>
      </c>
      <c r="M29" s="54" t="inlineStr">
        <is>
          <t>Points options: 5 models = 90 pts; 10 models = 170 pts</t>
        </is>
      </c>
      <c r="N29" s="54" t="inlineStr">
        <is>
          <t>Matched to Munitorum Field Manual v2.3</t>
        </is>
      </c>
      <c r="O29" s="54" t="inlineStr">
        <is>
          <t>Uploaded PDF: Munitorum Field Manual v2.3 / March 2025, p.15</t>
        </is>
      </c>
    </row>
    <row r="30">
      <c r="A30" t="inlineStr">
        <is>
          <t>Chaos Space Marines</t>
        </is>
      </c>
      <c r="C30" t="inlineStr">
        <is>
          <t>Character</t>
        </is>
      </c>
      <c r="D30" t="inlineStr">
        <is>
          <t>Character</t>
        </is>
      </c>
      <c r="E30" t="inlineStr">
        <is>
          <t>Lord Discordant on Helstalker</t>
        </is>
      </c>
      <c r="F30" t="inlineStr">
        <is>
          <t>1 model</t>
        </is>
      </c>
      <c r="G30" t="inlineStr">
        <is>
          <t>Character</t>
        </is>
      </c>
      <c r="L30" s="60" t="n">
        <v>160</v>
      </c>
      <c r="M30" s="54" t="str"/>
      <c r="N30" s="54" t="inlineStr">
        <is>
          <t>Matched to Munitorum Field Manual v2.3</t>
        </is>
      </c>
      <c r="O30" s="54" t="inlineStr">
        <is>
          <t>Uploaded PDF: Munitorum Field Manual v2.3 / March 2025, p.15</t>
        </is>
      </c>
    </row>
    <row r="31">
      <c r="A31" t="inlineStr">
        <is>
          <t>Chaos Space Marines</t>
        </is>
      </c>
      <c r="C31" t="inlineStr">
        <is>
          <t>Character</t>
        </is>
      </c>
      <c r="D31" t="inlineStr">
        <is>
          <t>Character</t>
        </is>
      </c>
      <c r="E31" t="inlineStr">
        <is>
          <t>Master of Executions</t>
        </is>
      </c>
      <c r="F31" t="inlineStr">
        <is>
          <t>1 model</t>
        </is>
      </c>
      <c r="G31" t="inlineStr">
        <is>
          <t>Character</t>
        </is>
      </c>
      <c r="L31" s="60" t="n">
        <v>80</v>
      </c>
      <c r="M31" s="54" t="str"/>
      <c r="N31" s="54" t="inlineStr">
        <is>
          <t>Matched to Munitorum Field Manual v2.3</t>
        </is>
      </c>
      <c r="O31" s="54" t="inlineStr">
        <is>
          <t>Uploaded PDF: Munitorum Field Manual v2.3 / March 2025, p.15</t>
        </is>
      </c>
    </row>
    <row r="32">
      <c r="A32" t="inlineStr">
        <is>
          <t>Chaos Space Marines</t>
        </is>
      </c>
      <c r="C32" t="inlineStr">
        <is>
          <t>Character</t>
        </is>
      </c>
      <c r="D32" t="inlineStr">
        <is>
          <t>Character</t>
        </is>
      </c>
      <c r="E32" t="inlineStr">
        <is>
          <t>Master of Possession</t>
        </is>
      </c>
      <c r="F32" t="inlineStr">
        <is>
          <t>1 model</t>
        </is>
      </c>
      <c r="G32" t="inlineStr">
        <is>
          <t>Character</t>
        </is>
      </c>
      <c r="L32" s="60" t="n">
        <v>70</v>
      </c>
      <c r="M32" s="54" t="str"/>
      <c r="N32" s="54" t="inlineStr">
        <is>
          <t>Matched to Munitorum Field Manual v2.3</t>
        </is>
      </c>
      <c r="O32" s="54" t="inlineStr">
        <is>
          <t>Uploaded PDF: Munitorum Field Manual v2.3 / March 2025, p.15</t>
        </is>
      </c>
    </row>
    <row r="33">
      <c r="A33" t="inlineStr">
        <is>
          <t>Chaos Space Marines</t>
        </is>
      </c>
      <c r="C33" t="inlineStr">
        <is>
          <t>Vehicle / Support</t>
        </is>
      </c>
      <c r="D33" t="inlineStr">
        <is>
          <t>Walker / Battlesuit</t>
        </is>
      </c>
      <c r="E33" t="inlineStr">
        <is>
          <t>Maulerfiend</t>
        </is>
      </c>
      <c r="F33" t="inlineStr">
        <is>
          <t>1 model</t>
        </is>
      </c>
      <c r="G33" t="inlineStr">
        <is>
          <t>Walker / Battlesuit</t>
        </is>
      </c>
      <c r="L33" s="60" t="n">
        <v>130</v>
      </c>
      <c r="M33" s="54" t="str"/>
      <c r="N33" s="54" t="inlineStr">
        <is>
          <t>Matched to Munitorum Field Manual v2.3</t>
        </is>
      </c>
      <c r="O33" s="54" t="inlineStr">
        <is>
          <t>Uploaded PDF: Munitorum Field Manual v2.3 / March 2025, p.15</t>
        </is>
      </c>
    </row>
    <row r="34">
      <c r="A34" t="inlineStr">
        <is>
          <t>Chaos Space Marines</t>
        </is>
      </c>
      <c r="C34" t="inlineStr">
        <is>
          <t>Infantry / Other</t>
        </is>
      </c>
      <c r="D34" t="inlineStr">
        <is>
          <t>Infantry</t>
        </is>
      </c>
      <c r="E34" t="inlineStr">
        <is>
          <t>Nemesis Claw</t>
        </is>
      </c>
      <c r="F34" t="inlineStr">
        <is>
          <t>5 models</t>
        </is>
      </c>
      <c r="G34" t="inlineStr">
        <is>
          <t>Infantry</t>
        </is>
      </c>
      <c r="L34" s="60" t="n">
        <v>110</v>
      </c>
      <c r="M34" s="54" t="inlineStr">
        <is>
          <t>Points options: 5 models = 110 pts; 10 models = 190 pts</t>
        </is>
      </c>
      <c r="N34" s="54" t="inlineStr">
        <is>
          <t>Matched to Munitorum Field Manual v2.3</t>
        </is>
      </c>
      <c r="O34" s="54" t="inlineStr">
        <is>
          <t>Uploaded PDF: Munitorum Field Manual v2.3 / March 2025, p.15</t>
        </is>
      </c>
    </row>
    <row r="35">
      <c r="A35" t="inlineStr">
        <is>
          <t>Chaos Space Marines</t>
        </is>
      </c>
      <c r="C35" t="inlineStr">
        <is>
          <t>Infantry / Other</t>
        </is>
      </c>
      <c r="D35" t="inlineStr">
        <is>
          <t>Infantry</t>
        </is>
      </c>
      <c r="E35" t="inlineStr">
        <is>
          <t>Noise Marines</t>
        </is>
      </c>
      <c r="G35" t="inlineStr">
        <is>
          <t>Infantry</t>
        </is>
      </c>
      <c r="L35" s="60" t="n"/>
      <c r="M35" s="54" t="inlineStr">
        <is>
          <t>No matching points entry found in uploaded PDF; verify unit name/current support.</t>
        </is>
      </c>
      <c r="N35" s="54" t="inlineStr">
        <is>
          <t>Not found in uploaded PDF</t>
        </is>
      </c>
      <c r="O35" s="54" t="inlineStr">
        <is>
          <t>Uploaded PDF: Munitorum Field Manual v2.3 / March 2025</t>
        </is>
      </c>
    </row>
    <row r="36">
      <c r="A36" t="inlineStr">
        <is>
          <t>Chaos Space Marines</t>
        </is>
      </c>
      <c r="C36" t="inlineStr">
        <is>
          <t>Infantry / Other</t>
        </is>
      </c>
      <c r="D36" t="inlineStr">
        <is>
          <t>Infantry</t>
        </is>
      </c>
      <c r="E36" t="inlineStr">
        <is>
          <t>Obliterators</t>
        </is>
      </c>
      <c r="F36" t="inlineStr">
        <is>
          <t>2 models</t>
        </is>
      </c>
      <c r="G36" t="inlineStr">
        <is>
          <t>Infantry</t>
        </is>
      </c>
      <c r="L36" s="60" t="n">
        <v>160</v>
      </c>
      <c r="M36" s="54" t="str"/>
      <c r="N36" s="54" t="inlineStr">
        <is>
          <t>Matched to Munitorum Field Manual v2.3</t>
        </is>
      </c>
      <c r="O36" s="54" t="inlineStr">
        <is>
          <t>Uploaded PDF: Munitorum Field Manual v2.3 / March 2025, p.15</t>
        </is>
      </c>
    </row>
    <row r="37">
      <c r="A37" t="inlineStr">
        <is>
          <t>Chaos Space Marines</t>
        </is>
      </c>
      <c r="C37" t="inlineStr">
        <is>
          <t>Infantry / Other</t>
        </is>
      </c>
      <c r="D37" t="inlineStr">
        <is>
          <t>Infantry</t>
        </is>
      </c>
      <c r="E37" t="inlineStr">
        <is>
          <t>Possessed</t>
        </is>
      </c>
      <c r="F37" t="inlineStr">
        <is>
          <t>5 models</t>
        </is>
      </c>
      <c r="G37" t="inlineStr">
        <is>
          <t>Infantry</t>
        </is>
      </c>
      <c r="L37" s="60" t="n">
        <v>120</v>
      </c>
      <c r="M37" s="54" t="inlineStr">
        <is>
          <t>Points options: 5 models = 120 pts; 10 models = 240 pts</t>
        </is>
      </c>
      <c r="N37" s="54" t="inlineStr">
        <is>
          <t>Matched to Munitorum Field Manual v2.3</t>
        </is>
      </c>
      <c r="O37" s="54" t="inlineStr">
        <is>
          <t>Uploaded PDF: Munitorum Field Manual v2.3 / March 2025, p.15</t>
        </is>
      </c>
    </row>
    <row r="38">
      <c r="A38" t="inlineStr">
        <is>
          <t>Chaos Space Marines</t>
        </is>
      </c>
      <c r="C38" t="inlineStr">
        <is>
          <t>Infantry / Other</t>
        </is>
      </c>
      <c r="D38" t="inlineStr">
        <is>
          <t>Infantry</t>
        </is>
      </c>
      <c r="E38" t="inlineStr">
        <is>
          <t>Raptors</t>
        </is>
      </c>
      <c r="F38" t="inlineStr">
        <is>
          <t>5 models</t>
        </is>
      </c>
      <c r="G38" t="inlineStr">
        <is>
          <t>Infantry</t>
        </is>
      </c>
      <c r="L38" s="60" t="n">
        <v>90</v>
      </c>
      <c r="M38" s="54" t="inlineStr">
        <is>
          <t>Points options: 5 models = 90 pts; 10 models = 170 pts</t>
        </is>
      </c>
      <c r="N38" s="54" t="inlineStr">
        <is>
          <t>Matched to Munitorum Field Manual v2.3</t>
        </is>
      </c>
      <c r="O38" s="54" t="inlineStr">
        <is>
          <t>Uploaded PDF: Munitorum Field Manual v2.3 / March 2025, p.15</t>
        </is>
      </c>
    </row>
    <row r="39">
      <c r="A39" t="inlineStr">
        <is>
          <t>Chaos Space Marines</t>
        </is>
      </c>
      <c r="C39" t="inlineStr">
        <is>
          <t>Infantry / Other</t>
        </is>
      </c>
      <c r="D39" t="inlineStr">
        <is>
          <t>Infantry</t>
        </is>
      </c>
      <c r="E39" t="inlineStr">
        <is>
          <t>Sorcerer</t>
        </is>
      </c>
      <c r="F39" t="inlineStr">
        <is>
          <t>1 model</t>
        </is>
      </c>
      <c r="G39" t="inlineStr">
        <is>
          <t>Infantry, Psyker</t>
        </is>
      </c>
      <c r="L39" s="60" t="n">
        <v>60</v>
      </c>
      <c r="M39" s="54" t="str"/>
      <c r="N39" s="54" t="inlineStr">
        <is>
          <t>Matched to Munitorum Field Manual v2.3</t>
        </is>
      </c>
      <c r="O39" s="54" t="inlineStr">
        <is>
          <t>Uploaded PDF: Munitorum Field Manual v2.3 / March 2025, p.15</t>
        </is>
      </c>
    </row>
    <row r="40">
      <c r="A40" t="inlineStr">
        <is>
          <t>Chaos Space Marines</t>
        </is>
      </c>
      <c r="C40" t="inlineStr">
        <is>
          <t>Infantry / Other</t>
        </is>
      </c>
      <c r="D40" t="inlineStr">
        <is>
          <t>Infantry</t>
        </is>
      </c>
      <c r="E40" t="inlineStr">
        <is>
          <t>Sorcerer in Terminator Armour</t>
        </is>
      </c>
      <c r="F40" t="inlineStr">
        <is>
          <t>1 model</t>
        </is>
      </c>
      <c r="G40" t="inlineStr">
        <is>
          <t>Infantry, Psyker</t>
        </is>
      </c>
      <c r="L40" s="60" t="n">
        <v>80</v>
      </c>
      <c r="M40" s="54" t="str"/>
      <c r="N40" s="54" t="inlineStr">
        <is>
          <t>Matched to Munitorum Field Manual v2.3</t>
        </is>
      </c>
      <c r="O40" s="54" t="inlineStr">
        <is>
          <t>Uploaded PDF: Munitorum Field Manual v2.3 / March 2025, p.15</t>
        </is>
      </c>
    </row>
    <row r="41">
      <c r="A41" t="inlineStr">
        <is>
          <t>Chaos Space Marines</t>
        </is>
      </c>
      <c r="C41" t="inlineStr">
        <is>
          <t>Infantry / Other</t>
        </is>
      </c>
      <c r="D41" t="inlineStr">
        <is>
          <t>Infantry</t>
        </is>
      </c>
      <c r="E41" t="inlineStr">
        <is>
          <t>Traitor Guardsmen Squad</t>
        </is>
      </c>
      <c r="F41" t="inlineStr">
        <is>
          <t>10 models</t>
        </is>
      </c>
      <c r="G41" t="inlineStr">
        <is>
          <t>Infantry</t>
        </is>
      </c>
      <c r="L41" s="60" t="n">
        <v>70</v>
      </c>
      <c r="M41" s="54" t="str"/>
      <c r="N41" s="54" t="inlineStr">
        <is>
          <t>Matched to Munitorum Field Manual v2.3</t>
        </is>
      </c>
      <c r="O41" s="54" t="inlineStr">
        <is>
          <t>Uploaded PDF: Munitorum Field Manual v2.3 / March 2025, p.15</t>
        </is>
      </c>
    </row>
    <row r="42">
      <c r="A42" t="inlineStr">
        <is>
          <t>Chaos Space Marines</t>
        </is>
      </c>
      <c r="C42" t="inlineStr">
        <is>
          <t>Infantry / Other</t>
        </is>
      </c>
      <c r="D42" t="inlineStr">
        <is>
          <t>Infantry</t>
        </is>
      </c>
      <c r="E42" t="inlineStr">
        <is>
          <t>Vashtorr the Arkifane</t>
        </is>
      </c>
      <c r="F42" t="inlineStr">
        <is>
          <t>1 model</t>
        </is>
      </c>
      <c r="G42" t="inlineStr">
        <is>
          <t>Infantry</t>
        </is>
      </c>
      <c r="L42" s="60" t="n">
        <v>175</v>
      </c>
      <c r="M42" s="54" t="str"/>
      <c r="N42" s="54" t="inlineStr">
        <is>
          <t>Matched to Munitorum Field Manual v2.3</t>
        </is>
      </c>
      <c r="O42" s="54" t="inlineStr">
        <is>
          <t>Uploaded PDF: Munitorum Field Manual v2.3 / March 2025, p.15</t>
        </is>
      </c>
    </row>
    <row r="43">
      <c r="A43" t="inlineStr">
        <is>
          <t>Chaos Space Marines</t>
        </is>
      </c>
      <c r="C43" t="inlineStr">
        <is>
          <t>Vehicle / Support</t>
        </is>
      </c>
      <c r="D43" t="inlineStr">
        <is>
          <t>Walker / Battlesuit</t>
        </is>
      </c>
      <c r="E43" t="inlineStr">
        <is>
          <t>Venomcrawler</t>
        </is>
      </c>
      <c r="F43" t="inlineStr">
        <is>
          <t>1 model</t>
        </is>
      </c>
      <c r="G43" t="inlineStr">
        <is>
          <t>Walker / Battlesuit</t>
        </is>
      </c>
      <c r="L43" s="60" t="n">
        <v>120</v>
      </c>
      <c r="M43" s="54" t="str"/>
      <c r="N43" s="54" t="inlineStr">
        <is>
          <t>Matched to Munitorum Field Manual v2.3</t>
        </is>
      </c>
      <c r="O43" s="54" t="inlineStr">
        <is>
          <t>Uploaded PDF: Munitorum Field Manual v2.3 / March 2025, p.15</t>
        </is>
      </c>
    </row>
    <row r="44">
      <c r="A44" t="inlineStr">
        <is>
          <t>Chaos Space Marines</t>
        </is>
      </c>
      <c r="C44" t="inlineStr">
        <is>
          <t>Infantry / Other</t>
        </is>
      </c>
      <c r="D44" t="inlineStr">
        <is>
          <t>Infantry</t>
        </is>
      </c>
      <c r="E44" t="inlineStr">
        <is>
          <t>Warp Talons</t>
        </is>
      </c>
      <c r="F44" t="inlineStr">
        <is>
          <t>5 models</t>
        </is>
      </c>
      <c r="G44" t="inlineStr">
        <is>
          <t>Infantry</t>
        </is>
      </c>
      <c r="L44" s="60" t="n">
        <v>125</v>
      </c>
      <c r="M44" s="54" t="inlineStr">
        <is>
          <t>Points options: 5 models = 125 pts; 10 models = 270 pts</t>
        </is>
      </c>
      <c r="N44" s="54" t="inlineStr">
        <is>
          <t>Matched to Munitorum Field Manual v2.3</t>
        </is>
      </c>
      <c r="O44" s="54" t="inlineStr">
        <is>
          <t>Uploaded PDF: Munitorum Field Manual v2.3 / March 2025, p.15</t>
        </is>
      </c>
    </row>
    <row r="45">
      <c r="A45" t="inlineStr">
        <is>
          <t>Chaos Space Marines</t>
        </is>
      </c>
      <c r="C45" t="inlineStr">
        <is>
          <t>Infantry / Other</t>
        </is>
      </c>
      <c r="D45" t="inlineStr">
        <is>
          <t>Infantry</t>
        </is>
      </c>
      <c r="E45" t="inlineStr">
        <is>
          <t>Warpsmith</t>
        </is>
      </c>
      <c r="F45" t="inlineStr">
        <is>
          <t>1 model</t>
        </is>
      </c>
      <c r="G45" t="inlineStr">
        <is>
          <t>Infantry</t>
        </is>
      </c>
      <c r="L45" s="60" t="n">
        <v>70</v>
      </c>
      <c r="M45" s="54" t="str"/>
      <c r="N45" s="54" t="inlineStr">
        <is>
          <t>Matched to Munitorum Field Manual v2.3</t>
        </is>
      </c>
      <c r="O45" s="54" t="inlineStr">
        <is>
          <t>Uploaded PDF: Munitorum Field Manual v2.3 / March 2025, p.15</t>
        </is>
      </c>
    </row>
    <row r="46">
      <c r="A46" t="inlineStr">
        <is>
          <t>Chaos Space Marines</t>
        </is>
      </c>
      <c r="C46" t="inlineStr">
        <is>
          <t>Character</t>
        </is>
      </c>
      <c r="D46" t="inlineStr">
        <is>
          <t>Character</t>
        </is>
      </c>
      <c r="E46" t="inlineStr">
        <is>
          <t>Chaos Lord With Jump Pack</t>
        </is>
      </c>
      <c r="F46" t="inlineStr">
        <is>
          <t>1 model</t>
        </is>
      </c>
      <c r="G46" t="inlineStr">
        <is>
          <t>Character</t>
        </is>
      </c>
      <c r="L46" t="n">
        <v>90</v>
      </c>
      <c r="N46" t="inlineStr">
        <is>
          <t>Added from current Munitorum Field Manual v4.1 (non-Legends)</t>
        </is>
      </c>
      <c r="O46" t="inlineStr">
        <is>
          <t>https://www.warhammer-community.com/en-gb/downloads/warhammer-40000/</t>
        </is>
      </c>
    </row>
    <row r="47">
      <c r="A47" t="inlineStr">
        <is>
          <t>Chaos Space Marines</t>
        </is>
      </c>
      <c r="C47" t="inlineStr">
        <is>
          <t>Character</t>
        </is>
      </c>
      <c r="D47" t="inlineStr">
        <is>
          <t>Character</t>
        </is>
      </c>
      <c r="E47" t="inlineStr">
        <is>
          <t>Cultist Firebrand</t>
        </is>
      </c>
      <c r="F47" t="inlineStr">
        <is>
          <t>1 model</t>
        </is>
      </c>
      <c r="G47" t="inlineStr">
        <is>
          <t>Character</t>
        </is>
      </c>
      <c r="L47" t="n">
        <v>45</v>
      </c>
      <c r="M47" t="inlineStr">
        <is>
          <t>Your 1st To 2nd Units Cost: 1 models = 45 pts | Your 3rd + Unit Costs: 1 models = 50 pts</t>
        </is>
      </c>
      <c r="N47" t="inlineStr">
        <is>
          <t>Added from current Munitorum Field Manual v4.1 (non-Legends)</t>
        </is>
      </c>
      <c r="O47" t="inlineStr">
        <is>
          <t>https://www.warhammer-community.com/en-gb/downloads/warhammer-40000/</t>
        </is>
      </c>
    </row>
    <row r="48">
      <c r="A48" t="inlineStr">
        <is>
          <t>Chaos Space Marines</t>
        </is>
      </c>
      <c r="C48" t="inlineStr">
        <is>
          <t>Character</t>
        </is>
      </c>
      <c r="D48" t="inlineStr">
        <is>
          <t>Character</t>
        </is>
      </c>
      <c r="E48" t="inlineStr">
        <is>
          <t>Fabius Bile</t>
        </is>
      </c>
      <c r="F48" t="inlineStr">
        <is>
          <t>2 models</t>
        </is>
      </c>
      <c r="G48" t="inlineStr">
        <is>
          <t>Character</t>
        </is>
      </c>
      <c r="L48" t="n">
        <v>100</v>
      </c>
      <c r="N48" t="inlineStr">
        <is>
          <t>Added from current Munitorum Field Manual v4.1 (non-Legends)</t>
        </is>
      </c>
      <c r="O48" t="inlineStr">
        <is>
          <t>https://www.warhammer-community.com/en-gb/downloads/warhammer-40000/</t>
        </is>
      </c>
    </row>
    <row r="49">
      <c r="A49" t="inlineStr">
        <is>
          <t>Chaos Space Marines</t>
        </is>
      </c>
      <c r="C49" t="inlineStr">
        <is>
          <t>Infantry / Other</t>
        </is>
      </c>
      <c r="D49" t="inlineStr">
        <is>
          <t>Beast / Swarm</t>
        </is>
      </c>
      <c r="E49" t="inlineStr">
        <is>
          <t>Fellgor Beastmen</t>
        </is>
      </c>
      <c r="F49" t="inlineStr">
        <is>
          <t>10 models</t>
        </is>
      </c>
      <c r="G49" t="inlineStr">
        <is>
          <t>Beast / Swarm</t>
        </is>
      </c>
      <c r="L49" t="n">
        <v>60</v>
      </c>
      <c r="N49" t="inlineStr">
        <is>
          <t>Added from current Munitorum Field Manual v4.1 (non-Legends)</t>
        </is>
      </c>
      <c r="O49" t="inlineStr">
        <is>
          <t>https://www.warhammer-community.com/en-gb/downloads/warhammer-40000/</t>
        </is>
      </c>
    </row>
    <row r="50">
      <c r="A50" t="inlineStr">
        <is>
          <t>Chaos Space Marines</t>
        </is>
      </c>
      <c r="C50" t="inlineStr">
        <is>
          <t>Character</t>
        </is>
      </c>
      <c r="D50" t="inlineStr">
        <is>
          <t>Character</t>
        </is>
      </c>
      <c r="E50" t="inlineStr">
        <is>
          <t>Kravek Morne</t>
        </is>
      </c>
      <c r="F50" t="inlineStr">
        <is>
          <t>1 model</t>
        </is>
      </c>
      <c r="G50" t="inlineStr">
        <is>
          <t>Character</t>
        </is>
      </c>
      <c r="L50" t="n">
        <v>120</v>
      </c>
      <c r="N50" t="inlineStr">
        <is>
          <t>Added from current Munitorum Field Manual v4.1 (non-Legends)</t>
        </is>
      </c>
      <c r="O50" t="inlineStr">
        <is>
          <t>https://www.warhammer-community.com/en-gb/downloads/warhammer-40000/</t>
        </is>
      </c>
    </row>
    <row r="51">
      <c r="A51" t="inlineStr">
        <is>
          <t>Chaos Space Marines</t>
        </is>
      </c>
      <c r="C51" t="inlineStr">
        <is>
          <t>Character</t>
        </is>
      </c>
      <c r="D51" t="inlineStr">
        <is>
          <t>Character</t>
        </is>
      </c>
      <c r="E51" t="inlineStr">
        <is>
          <t>Masters Of The Maelstrom</t>
        </is>
      </c>
      <c r="F51" t="inlineStr">
        <is>
          <t>5 models</t>
        </is>
      </c>
      <c r="G51" t="inlineStr">
        <is>
          <t>Character</t>
        </is>
      </c>
      <c r="L51" t="n">
        <v>135</v>
      </c>
      <c r="N51" t="inlineStr">
        <is>
          <t>Added from current Munitorum Field Manual v4.1 (non-Legends)</t>
        </is>
      </c>
      <c r="O51" t="inlineStr">
        <is>
          <t>https://www.warhammer-community.com/en-gb/downloads/warhammer-40000/</t>
        </is>
      </c>
    </row>
    <row r="52">
      <c r="A52" t="inlineStr">
        <is>
          <t>Chaos Space Marines</t>
        </is>
      </c>
      <c r="C52" t="inlineStr">
        <is>
          <t>Infantry / Other</t>
        </is>
      </c>
      <c r="D52" t="inlineStr">
        <is>
          <t>Infantry</t>
        </is>
      </c>
      <c r="E52" t="inlineStr">
        <is>
          <t>Mutilators</t>
        </is>
      </c>
      <c r="F52" t="inlineStr">
        <is>
          <t>3 models</t>
        </is>
      </c>
      <c r="G52" t="inlineStr">
        <is>
          <t>Infantry</t>
        </is>
      </c>
      <c r="L52" t="n">
        <v>180</v>
      </c>
      <c r="M52" t="inlineStr">
        <is>
          <t>Your 1st To 2nd Units Cost: 3 models = 180 pts | Your 3rd + Unit Costs: 3 models = 190 pts</t>
        </is>
      </c>
      <c r="N52" t="inlineStr">
        <is>
          <t>Added from current Munitorum Field Manual v4.1 (non-Legends)</t>
        </is>
      </c>
      <c r="O52" t="inlineStr">
        <is>
          <t>https://www.warhammer-community.com/en-gb/downloads/warhammer-40000/</t>
        </is>
      </c>
    </row>
    <row r="53">
      <c r="A53" t="inlineStr">
        <is>
          <t>Chaos Space Marines</t>
        </is>
      </c>
      <c r="C53" t="inlineStr">
        <is>
          <t>Vehicle / Support</t>
        </is>
      </c>
      <c r="D53" t="inlineStr">
        <is>
          <t>Vehicle</t>
        </is>
      </c>
      <c r="E53" t="inlineStr">
        <is>
          <t>Noctilith Crown</t>
        </is>
      </c>
      <c r="F53" t="inlineStr">
        <is>
          <t>1 model</t>
        </is>
      </c>
      <c r="G53" t="inlineStr">
        <is>
          <t>Vehicle</t>
        </is>
      </c>
      <c r="L53" t="n">
        <v>125</v>
      </c>
      <c r="N53" t="inlineStr">
        <is>
          <t>Added from current Munitorum Field Manual v4.1 (non-Legends)</t>
        </is>
      </c>
      <c r="O53" t="inlineStr">
        <is>
          <t>https://www.warhammer-community.com/en-gb/downloads/warhammer-40000/</t>
        </is>
      </c>
    </row>
    <row r="54">
      <c r="A54" t="inlineStr">
        <is>
          <t>Chaos Space Marines</t>
        </is>
      </c>
      <c r="C54" t="inlineStr">
        <is>
          <t>Vehicle / Support</t>
        </is>
      </c>
      <c r="D54" t="inlineStr">
        <is>
          <t>Vehicle</t>
        </is>
      </c>
      <c r="E54" t="inlineStr">
        <is>
          <t>Red Corsairs Raiders</t>
        </is>
      </c>
      <c r="F54" t="inlineStr">
        <is>
          <t>5 models</t>
        </is>
      </c>
      <c r="G54" t="inlineStr">
        <is>
          <t>Vehicle</t>
        </is>
      </c>
      <c r="L54" t="n">
        <v>110</v>
      </c>
      <c r="M54" t="inlineStr">
        <is>
          <t>Your 1st To 2nd Units Cost: 5 models = 110 pts; 10 models = 210 pts | Your 3rd + Unit Costs: 5 models = 120 pts; 10 models = 220 pts</t>
        </is>
      </c>
      <c r="N54" t="inlineStr">
        <is>
          <t>Added from current Munitorum Field Manual v4.1 (non-Legends)</t>
        </is>
      </c>
      <c r="O54" t="inlineStr">
        <is>
          <t>https://www.warhammer-community.com/en-gb/downloads/warhammer-40000/</t>
        </is>
      </c>
    </row>
    <row r="55">
      <c r="A55" t="inlineStr">
        <is>
          <t>Chaos Space Marines</t>
        </is>
      </c>
      <c r="C55" t="inlineStr">
        <is>
          <t>Character</t>
        </is>
      </c>
      <c r="D55" t="inlineStr">
        <is>
          <t>Character</t>
        </is>
      </c>
      <c r="E55" t="inlineStr">
        <is>
          <t>Red Corsairs Reave-Captain</t>
        </is>
      </c>
      <c r="F55" t="inlineStr">
        <is>
          <t>1 model</t>
        </is>
      </c>
      <c r="G55" t="inlineStr">
        <is>
          <t>Character</t>
        </is>
      </c>
      <c r="L55" t="n">
        <v>70</v>
      </c>
      <c r="N55" t="inlineStr">
        <is>
          <t>Added from current Munitorum Field Manual v4.1 (non-Legends)</t>
        </is>
      </c>
      <c r="O55" t="inlineStr">
        <is>
          <t>https://www.warhammer-community.com/en-gb/downloads/warhammer-40000/</t>
        </is>
      </c>
    </row>
    <row r="56">
      <c r="A56" t="inlineStr">
        <is>
          <t>Chaos Space Marines</t>
        </is>
      </c>
      <c r="C56" t="inlineStr">
        <is>
          <t>Character</t>
        </is>
      </c>
      <c r="D56" t="inlineStr">
        <is>
          <t>Character</t>
        </is>
      </c>
      <c r="E56" t="inlineStr">
        <is>
          <t>Traitor Enforcer</t>
        </is>
      </c>
      <c r="F56" t="inlineStr">
        <is>
          <t>2 models</t>
        </is>
      </c>
      <c r="G56" t="inlineStr">
        <is>
          <t>Character</t>
        </is>
      </c>
      <c r="L56" t="n">
        <v>70</v>
      </c>
      <c r="N56" t="inlineStr">
        <is>
          <t>Added from current Munitorum Field Manual v4.1 (non-Legends)</t>
        </is>
      </c>
      <c r="O56"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Dark Angels</t>
        </is>
      </c>
      <c r="B2" t="inlineStr">
        <is>
          <t>Dark Angels</t>
        </is>
      </c>
      <c r="C2" t="inlineStr">
        <is>
          <t>Infantry / Other</t>
        </is>
      </c>
      <c r="D2" t="inlineStr">
        <is>
          <t>Infantry</t>
        </is>
      </c>
      <c r="E2" t="inlineStr">
        <is>
          <t>Asmodai</t>
        </is>
      </c>
      <c r="F2" t="inlineStr">
        <is>
          <t>1 model</t>
        </is>
      </c>
      <c r="G2" t="inlineStr">
        <is>
          <t>Infantry</t>
        </is>
      </c>
      <c r="L2" s="60" t="n">
        <v>70</v>
      </c>
      <c r="M2" s="54" t="str"/>
      <c r="N2" s="54" t="inlineStr">
        <is>
          <t>Matched to Munitorum Field Manual v2.3</t>
        </is>
      </c>
      <c r="O2" s="54" t="inlineStr">
        <is>
          <t>Uploaded PDF: Munitorum Field Manual v2.3 / March 2025, p.17</t>
        </is>
      </c>
    </row>
    <row r="3">
      <c r="A3" t="inlineStr">
        <is>
          <t>Dark Angels</t>
        </is>
      </c>
      <c r="B3" t="inlineStr">
        <is>
          <t>Dark Angels</t>
        </is>
      </c>
      <c r="C3" t="inlineStr">
        <is>
          <t>Infantry / Other</t>
        </is>
      </c>
      <c r="D3" t="inlineStr">
        <is>
          <t>Infantry</t>
        </is>
      </c>
      <c r="E3" t="inlineStr">
        <is>
          <t>Azrael</t>
        </is>
      </c>
      <c r="F3" t="inlineStr">
        <is>
          <t>1 model</t>
        </is>
      </c>
      <c r="G3" t="inlineStr">
        <is>
          <t>Infantry</t>
        </is>
      </c>
      <c r="L3" s="60" t="n">
        <v>115</v>
      </c>
      <c r="M3" s="54" t="str"/>
      <c r="N3" s="54" t="inlineStr">
        <is>
          <t>Matched to Munitorum Field Manual v2.3</t>
        </is>
      </c>
      <c r="O3" s="54" t="inlineStr">
        <is>
          <t>Uploaded PDF: Munitorum Field Manual v2.3 / March 2025, p.17</t>
        </is>
      </c>
    </row>
    <row r="4">
      <c r="A4" t="inlineStr">
        <is>
          <t>Dark Angels</t>
        </is>
      </c>
      <c r="B4" t="inlineStr">
        <is>
          <t>Dark Angels</t>
        </is>
      </c>
      <c r="C4" t="inlineStr">
        <is>
          <t>Infantry / Other</t>
        </is>
      </c>
      <c r="D4" t="inlineStr">
        <is>
          <t>Infantry</t>
        </is>
      </c>
      <c r="E4" t="inlineStr">
        <is>
          <t>Belial</t>
        </is>
      </c>
      <c r="F4" t="inlineStr">
        <is>
          <t>1 model</t>
        </is>
      </c>
      <c r="G4" t="inlineStr">
        <is>
          <t>Infantry</t>
        </is>
      </c>
      <c r="L4" s="60" t="n">
        <v>85</v>
      </c>
      <c r="M4" s="54" t="str"/>
      <c r="N4" s="54" t="inlineStr">
        <is>
          <t>Matched to Munitorum Field Manual v2.3</t>
        </is>
      </c>
      <c r="O4" s="54" t="inlineStr">
        <is>
          <t>Uploaded PDF: Munitorum Field Manual v2.3 / March 2025, p.17</t>
        </is>
      </c>
    </row>
    <row r="5">
      <c r="A5" t="inlineStr">
        <is>
          <t>Dark Angels</t>
        </is>
      </c>
      <c r="B5" t="inlineStr">
        <is>
          <t>Dark Angels</t>
        </is>
      </c>
      <c r="C5" t="inlineStr">
        <is>
          <t>Vehicle / Support</t>
        </is>
      </c>
      <c r="D5" t="inlineStr">
        <is>
          <t>Super-heavy Vehicle/Monster</t>
        </is>
      </c>
      <c r="E5" t="inlineStr">
        <is>
          <t>Black Knights</t>
        </is>
      </c>
      <c r="G5" t="inlineStr">
        <is>
          <t>Super-heavy Vehicle/Monster</t>
        </is>
      </c>
      <c r="L5" s="60" t="n"/>
      <c r="M5" s="54" t="inlineStr">
        <is>
          <t>No matching points entry found in uploaded PDF; verify unit name/current support.</t>
        </is>
      </c>
      <c r="N5" s="54" t="inlineStr">
        <is>
          <t>Not found in uploaded PDF</t>
        </is>
      </c>
      <c r="O5" s="54" t="inlineStr">
        <is>
          <t>Uploaded PDF: Munitorum Field Manual v2.3 / March 2025</t>
        </is>
      </c>
    </row>
    <row r="6">
      <c r="A6" t="inlineStr">
        <is>
          <t>Dark Angels</t>
        </is>
      </c>
      <c r="B6" t="inlineStr">
        <is>
          <t>Dark Angels</t>
        </is>
      </c>
      <c r="C6" t="inlineStr">
        <is>
          <t>Infantry / Other</t>
        </is>
      </c>
      <c r="D6" t="inlineStr">
        <is>
          <t>Infantry</t>
        </is>
      </c>
      <c r="E6" t="inlineStr">
        <is>
          <t>Deathwing Command Squad</t>
        </is>
      </c>
      <c r="G6" t="inlineStr">
        <is>
          <t>Infantry</t>
        </is>
      </c>
      <c r="L6" s="60" t="n"/>
      <c r="M6" s="54" t="inlineStr">
        <is>
          <t>No matching points entry found in uploaded PDF; verify unit name/current support.</t>
        </is>
      </c>
      <c r="N6" s="54" t="inlineStr">
        <is>
          <t>Not found in uploaded PDF</t>
        </is>
      </c>
      <c r="O6" s="54" t="inlineStr">
        <is>
          <t>Uploaded PDF: Munitorum Field Manual v2.3 / March 2025</t>
        </is>
      </c>
    </row>
    <row r="7">
      <c r="A7" t="inlineStr">
        <is>
          <t>Dark Angels</t>
        </is>
      </c>
      <c r="B7" t="inlineStr">
        <is>
          <t>Dark Angels</t>
        </is>
      </c>
      <c r="C7" t="inlineStr">
        <is>
          <t>Vehicle / Support</t>
        </is>
      </c>
      <c r="D7" t="inlineStr">
        <is>
          <t>Super-heavy Vehicle/Monster</t>
        </is>
      </c>
      <c r="E7" t="inlineStr">
        <is>
          <t>Deathwing Knights</t>
        </is>
      </c>
      <c r="F7" t="inlineStr">
        <is>
          <t>5 models</t>
        </is>
      </c>
      <c r="G7" t="inlineStr">
        <is>
          <t>Super-heavy Vehicle/Monster</t>
        </is>
      </c>
      <c r="L7" s="60" t="n">
        <v>250</v>
      </c>
      <c r="M7" s="54" t="str"/>
      <c r="N7" s="54" t="inlineStr">
        <is>
          <t>Matched to Munitorum Field Manual v2.3</t>
        </is>
      </c>
      <c r="O7" s="54" t="inlineStr">
        <is>
          <t>Uploaded PDF: Munitorum Field Manual v2.3 / March 2025, p.17</t>
        </is>
      </c>
    </row>
    <row r="8">
      <c r="A8" t="inlineStr">
        <is>
          <t>Dark Angels</t>
        </is>
      </c>
      <c r="B8" t="inlineStr">
        <is>
          <t>Dark Angels</t>
        </is>
      </c>
      <c r="C8" t="inlineStr">
        <is>
          <t>Infantry / Other</t>
        </is>
      </c>
      <c r="D8" t="inlineStr">
        <is>
          <t>Infantry</t>
        </is>
      </c>
      <c r="E8" t="inlineStr">
        <is>
          <t>Deathwing Terminator Squad</t>
        </is>
      </c>
      <c r="F8" t="inlineStr">
        <is>
          <t>5 models</t>
        </is>
      </c>
      <c r="G8" t="inlineStr">
        <is>
          <t>Infantry</t>
        </is>
      </c>
      <c r="L8" s="60" t="n">
        <v>180</v>
      </c>
      <c r="M8" s="54" t="inlineStr">
        <is>
          <t>Points options: 5 models = 180 pts; 10 models = 360 pts</t>
        </is>
      </c>
      <c r="N8" s="54" t="inlineStr">
        <is>
          <t>Matched to Munitorum Field Manual v2.3</t>
        </is>
      </c>
      <c r="O8" s="54" t="inlineStr">
        <is>
          <t>Uploaded PDF: Munitorum Field Manual v2.3 / March 2025, p.17</t>
        </is>
      </c>
    </row>
    <row r="9">
      <c r="A9" t="inlineStr">
        <is>
          <t>Dark Angels</t>
        </is>
      </c>
      <c r="B9" t="inlineStr">
        <is>
          <t>Dark Angels</t>
        </is>
      </c>
      <c r="C9" t="inlineStr">
        <is>
          <t>Infantry / Other</t>
        </is>
      </c>
      <c r="D9" t="inlineStr">
        <is>
          <t>Infantry</t>
        </is>
      </c>
      <c r="E9" t="inlineStr">
        <is>
          <t>Ezekiel</t>
        </is>
      </c>
      <c r="F9" t="inlineStr">
        <is>
          <t>1 model</t>
        </is>
      </c>
      <c r="G9" t="inlineStr">
        <is>
          <t>Infantry</t>
        </is>
      </c>
      <c r="L9" s="60" t="n">
        <v>75</v>
      </c>
      <c r="M9" s="54" t="str"/>
      <c r="N9" s="54" t="inlineStr">
        <is>
          <t>Matched to Munitorum Field Manual v2.3</t>
        </is>
      </c>
      <c r="O9" s="54" t="inlineStr">
        <is>
          <t>Uploaded PDF: Munitorum Field Manual v2.3 / March 2025, p.17</t>
        </is>
      </c>
    </row>
    <row r="10">
      <c r="A10" t="inlineStr">
        <is>
          <t>Dark Angels</t>
        </is>
      </c>
      <c r="B10" t="inlineStr">
        <is>
          <t>Dark Angels</t>
        </is>
      </c>
      <c r="C10" t="inlineStr">
        <is>
          <t>Infantry / Other</t>
        </is>
      </c>
      <c r="D10" t="inlineStr">
        <is>
          <t>Infantry</t>
        </is>
      </c>
      <c r="E10" t="inlineStr">
        <is>
          <t>Inner Circle Companions</t>
        </is>
      </c>
      <c r="F10" t="inlineStr">
        <is>
          <t>3 models</t>
        </is>
      </c>
      <c r="G10" t="inlineStr">
        <is>
          <t>Infantry</t>
        </is>
      </c>
      <c r="L10" s="60" t="n">
        <v>90</v>
      </c>
      <c r="M10" s="54" t="inlineStr">
        <is>
          <t>Points options: 3 models = 90 pts; 6 models = 180 pts</t>
        </is>
      </c>
      <c r="N10" s="54" t="inlineStr">
        <is>
          <t>Matched to Munitorum Field Manual v2.3</t>
        </is>
      </c>
      <c r="O10" s="54" t="inlineStr">
        <is>
          <t>Uploaded PDF: Munitorum Field Manual v2.3 / March 2025, p.17</t>
        </is>
      </c>
    </row>
    <row r="11">
      <c r="A11" t="inlineStr">
        <is>
          <t>Dark Angels</t>
        </is>
      </c>
      <c r="B11" t="inlineStr">
        <is>
          <t>Dark Angels</t>
        </is>
      </c>
      <c r="C11" t="inlineStr">
        <is>
          <t>Infantry / Other</t>
        </is>
      </c>
      <c r="D11" t="inlineStr">
        <is>
          <t>Infantry</t>
        </is>
      </c>
      <c r="E11" t="inlineStr">
        <is>
          <t>Land Speeder Vengeance</t>
        </is>
      </c>
      <c r="F11" t="inlineStr">
        <is>
          <t>1 model</t>
        </is>
      </c>
      <c r="G11" t="inlineStr">
        <is>
          <t>Infantry</t>
        </is>
      </c>
      <c r="L11" s="60" t="n">
        <v>120</v>
      </c>
      <c r="M11" s="54" t="str"/>
      <c r="N11" s="54" t="inlineStr">
        <is>
          <t>Matched to Munitorum Field Manual v2.3</t>
        </is>
      </c>
      <c r="O11" s="54" t="inlineStr">
        <is>
          <t>Uploaded PDF: Munitorum Field Manual v2.3 / March 2025, p.17</t>
        </is>
      </c>
    </row>
    <row r="12">
      <c r="A12" t="inlineStr">
        <is>
          <t>Dark Angels</t>
        </is>
      </c>
      <c r="B12" t="inlineStr">
        <is>
          <t>Dark Angels</t>
        </is>
      </c>
      <c r="C12" t="inlineStr">
        <is>
          <t>Infantry / Other</t>
        </is>
      </c>
      <c r="D12" t="inlineStr">
        <is>
          <t>Infantry</t>
        </is>
      </c>
      <c r="E12" t="inlineStr">
        <is>
          <t>Lion El'Jonson</t>
        </is>
      </c>
      <c r="F12" t="inlineStr">
        <is>
          <t>1 model</t>
        </is>
      </c>
      <c r="G12" t="inlineStr">
        <is>
          <t>Infantry, Epic Hero</t>
        </is>
      </c>
      <c r="L12" s="60" t="n">
        <v>315</v>
      </c>
      <c r="M12" s="54" t="str"/>
      <c r="N12" s="54" t="inlineStr">
        <is>
          <t>Matched to Munitorum Field Manual v2.3</t>
        </is>
      </c>
      <c r="O12" s="54" t="inlineStr">
        <is>
          <t>Uploaded PDF: Munitorum Field Manual v2.3 / March 2025, p.17</t>
        </is>
      </c>
    </row>
    <row r="13">
      <c r="A13" t="inlineStr">
        <is>
          <t>Dark Angels</t>
        </is>
      </c>
      <c r="B13" t="inlineStr">
        <is>
          <t>Dark Angels</t>
        </is>
      </c>
      <c r="C13" t="inlineStr">
        <is>
          <t>Infantry / Other</t>
        </is>
      </c>
      <c r="D13" t="inlineStr">
        <is>
          <t>Infantry</t>
        </is>
      </c>
      <c r="E13" t="inlineStr">
        <is>
          <t>Ravenwing Command Squad</t>
        </is>
      </c>
      <c r="F13" t="inlineStr">
        <is>
          <t>3 models</t>
        </is>
      </c>
      <c r="G13" t="inlineStr">
        <is>
          <t>Infantry</t>
        </is>
      </c>
      <c r="L13" s="60" t="n">
        <v>120</v>
      </c>
      <c r="M13" s="54" t="str"/>
      <c r="N13" s="54" t="inlineStr">
        <is>
          <t>Matched to Munitorum Field Manual v2.3</t>
        </is>
      </c>
      <c r="O13" s="54" t="inlineStr">
        <is>
          <t>Uploaded PDF: Munitorum Field Manual v2.3 / March 2025, p.17</t>
        </is>
      </c>
    </row>
    <row r="14">
      <c r="A14" t="inlineStr">
        <is>
          <t>Dark Angels</t>
        </is>
      </c>
      <c r="B14" t="inlineStr">
        <is>
          <t>Dark Angels</t>
        </is>
      </c>
      <c r="C14" t="inlineStr">
        <is>
          <t>Infantry / Other</t>
        </is>
      </c>
      <c r="D14" t="inlineStr">
        <is>
          <t>Infantry</t>
        </is>
      </c>
      <c r="E14" t="inlineStr">
        <is>
          <t>Ravenwing Darkshroud</t>
        </is>
      </c>
      <c r="F14" t="inlineStr">
        <is>
          <t>1 model</t>
        </is>
      </c>
      <c r="G14" t="inlineStr">
        <is>
          <t>Infantry</t>
        </is>
      </c>
      <c r="L14" s="60" t="n">
        <v>115</v>
      </c>
      <c r="M14" s="54" t="str"/>
      <c r="N14" s="54" t="inlineStr">
        <is>
          <t>Matched to Munitorum Field Manual v2.3</t>
        </is>
      </c>
      <c r="O14" s="54" t="inlineStr">
        <is>
          <t>Uploaded PDF: Munitorum Field Manual v2.3 / March 2025, p.17</t>
        </is>
      </c>
    </row>
    <row r="15">
      <c r="A15" t="inlineStr">
        <is>
          <t>Dark Angels</t>
        </is>
      </c>
      <c r="B15" t="inlineStr">
        <is>
          <t>Dark Angels</t>
        </is>
      </c>
      <c r="C15" t="inlineStr">
        <is>
          <t>Character</t>
        </is>
      </c>
      <c r="D15" t="inlineStr">
        <is>
          <t>Character</t>
        </is>
      </c>
      <c r="E15" t="inlineStr">
        <is>
          <t>Ravenwing Talonmaster</t>
        </is>
      </c>
      <c r="G15" t="inlineStr">
        <is>
          <t>Character</t>
        </is>
      </c>
      <c r="L15" s="60" t="n"/>
      <c r="M15" s="54" t="inlineStr">
        <is>
          <t>No matching points entry found in uploaded PDF; verify unit name/current support.</t>
        </is>
      </c>
      <c r="N15" s="54" t="inlineStr">
        <is>
          <t>Not found in uploaded PDF</t>
        </is>
      </c>
      <c r="O15" s="54" t="inlineStr">
        <is>
          <t>Uploaded PDF: Munitorum Field Manual v2.3 / March 2025</t>
        </is>
      </c>
    </row>
    <row r="16">
      <c r="A16" t="inlineStr">
        <is>
          <t>Dark Angels</t>
        </is>
      </c>
      <c r="B16" t="inlineStr">
        <is>
          <t>Dark Angels</t>
        </is>
      </c>
      <c r="C16" t="inlineStr">
        <is>
          <t>Infantry / Other</t>
        </is>
      </c>
      <c r="D16" t="inlineStr">
        <is>
          <t>Infantry</t>
        </is>
      </c>
      <c r="E16" t="inlineStr">
        <is>
          <t>Sammael</t>
        </is>
      </c>
      <c r="F16" t="inlineStr">
        <is>
          <t>1 model</t>
        </is>
      </c>
      <c r="G16" t="inlineStr">
        <is>
          <t>Infantry</t>
        </is>
      </c>
      <c r="L16" s="60" t="n">
        <v>115</v>
      </c>
      <c r="M16" s="54" t="str"/>
      <c r="N16" s="54" t="inlineStr">
        <is>
          <t>Matched to Munitorum Field Manual v2.3</t>
        </is>
      </c>
      <c r="O16" s="54" t="inlineStr">
        <is>
          <t>Uploaded PDF: Munitorum Field Manual v2.3 / March 2025, p.17</t>
        </is>
      </c>
    </row>
    <row r="17">
      <c r="A17" t="inlineStr">
        <is>
          <t>Dark Angels</t>
        </is>
      </c>
      <c r="B17" t="inlineStr">
        <is>
          <t>Dark Angels</t>
        </is>
      </c>
      <c r="C17" t="inlineStr">
        <is>
          <t>Vehicle / Support</t>
        </is>
      </c>
      <c r="D17" t="inlineStr">
        <is>
          <t>Vehicle</t>
        </is>
      </c>
      <c r="E17" t="inlineStr">
        <is>
          <t>Storm Speeder Darkshroud</t>
        </is>
      </c>
      <c r="G17" t="inlineStr">
        <is>
          <t>Vehicle</t>
        </is>
      </c>
      <c r="L17" s="60" t="n"/>
      <c r="M17" s="54" t="inlineStr">
        <is>
          <t>No matching points entry found in uploaded PDF; verify unit name/current support.</t>
        </is>
      </c>
      <c r="N17" s="54" t="inlineStr">
        <is>
          <t>Not found in uploaded PDF</t>
        </is>
      </c>
      <c r="O17" s="54" t="inlineStr">
        <is>
          <t>Uploaded PDF: Munitorum Field Manual v2.3 / March 2025</t>
        </is>
      </c>
    </row>
    <row r="18">
      <c r="A18" t="inlineStr">
        <is>
          <t>Dark Angels</t>
        </is>
      </c>
      <c r="B18" t="inlineStr">
        <is>
          <t>Dark Angels</t>
        </is>
      </c>
      <c r="C18" t="inlineStr">
        <is>
          <t>Vehicle / Support</t>
        </is>
      </c>
      <c r="D18" t="inlineStr">
        <is>
          <t>Vehicle</t>
        </is>
      </c>
      <c r="E18" t="inlineStr">
        <is>
          <t>Storm Speeder Vengeance</t>
        </is>
      </c>
      <c r="G18" t="inlineStr">
        <is>
          <t>Vehicle</t>
        </is>
      </c>
      <c r="L18" s="60" t="n"/>
      <c r="M18" s="54" t="inlineStr">
        <is>
          <t>No matching points entry found in uploaded PDF; verify unit name/current support.</t>
        </is>
      </c>
      <c r="N18" s="54" t="inlineStr">
        <is>
          <t>Not found in uploaded PDF</t>
        </is>
      </c>
      <c r="O18" s="54" t="inlineStr">
        <is>
          <t>Uploaded PDF: Munitorum Field Manual v2.3 / March 2025</t>
        </is>
      </c>
    </row>
    <row r="19">
      <c r="A19" t="inlineStr">
        <is>
          <t>Dark Angels</t>
        </is>
      </c>
      <c r="B19" t="inlineStr">
        <is>
          <t>Dark Angels</t>
        </is>
      </c>
      <c r="C19" t="inlineStr">
        <is>
          <t>Character</t>
        </is>
      </c>
      <c r="D19" t="inlineStr">
        <is>
          <t>Character</t>
        </is>
      </c>
      <c r="E19" t="inlineStr">
        <is>
          <t>Lazarus</t>
        </is>
      </c>
      <c r="F19" t="inlineStr">
        <is>
          <t>1 model</t>
        </is>
      </c>
      <c r="G19" t="inlineStr">
        <is>
          <t>Character</t>
        </is>
      </c>
      <c r="L19" t="n">
        <v>70</v>
      </c>
      <c r="N19" t="inlineStr">
        <is>
          <t>Added from current Munitorum Field Manual v4.1 (non-Legends)</t>
        </is>
      </c>
      <c r="O19" t="inlineStr">
        <is>
          <t>https://www.warhammer-community.com/en-gb/downloads/warhammer-40000/</t>
        </is>
      </c>
    </row>
    <row r="20">
      <c r="A20" t="inlineStr">
        <is>
          <t>Dark Angels</t>
        </is>
      </c>
      <c r="B20" t="inlineStr">
        <is>
          <t>Dark Angels</t>
        </is>
      </c>
      <c r="C20" t="inlineStr">
        <is>
          <t>Vehicle / Support</t>
        </is>
      </c>
      <c r="D20" t="inlineStr">
        <is>
          <t>Vehicle</t>
        </is>
      </c>
      <c r="E20" t="inlineStr">
        <is>
          <t>Nephilim Jetfighter</t>
        </is>
      </c>
      <c r="F20" t="inlineStr">
        <is>
          <t>1 model</t>
        </is>
      </c>
      <c r="G20" t="inlineStr">
        <is>
          <t>Vehicle</t>
        </is>
      </c>
      <c r="L20" t="n">
        <v>195</v>
      </c>
      <c r="N20" t="inlineStr">
        <is>
          <t>Added from current Munitorum Field Manual v4.1 (non-Legends)</t>
        </is>
      </c>
      <c r="O20" t="inlineStr">
        <is>
          <t>https://www.warhammer-community.com/en-gb/downloads/warhammer-40000/</t>
        </is>
      </c>
    </row>
    <row r="21">
      <c r="A21" t="inlineStr">
        <is>
          <t>Dark Angels</t>
        </is>
      </c>
      <c r="B21" t="inlineStr">
        <is>
          <t>Dark Angels</t>
        </is>
      </c>
      <c r="C21" t="inlineStr">
        <is>
          <t>Infantry / Other</t>
        </is>
      </c>
      <c r="D21" t="inlineStr">
        <is>
          <t>Infantry</t>
        </is>
      </c>
      <c r="E21" t="inlineStr">
        <is>
          <t>Ravenwing Dark Talon</t>
        </is>
      </c>
      <c r="F21" t="inlineStr">
        <is>
          <t>1 model</t>
        </is>
      </c>
      <c r="G21" t="inlineStr">
        <is>
          <t>Infantry</t>
        </is>
      </c>
      <c r="L21" t="n">
        <v>200</v>
      </c>
      <c r="N21" t="inlineStr">
        <is>
          <t>Added from current Munitorum Field Manual v4.1 (non-Legends)</t>
        </is>
      </c>
      <c r="O21"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Death Guard</t>
        </is>
      </c>
      <c r="C2" t="inlineStr">
        <is>
          <t>Infantry / Other</t>
        </is>
      </c>
      <c r="D2" t="inlineStr">
        <is>
          <t>Infantry</t>
        </is>
      </c>
      <c r="E2" t="inlineStr">
        <is>
          <t>Biologus Putrifier</t>
        </is>
      </c>
      <c r="F2" t="inlineStr">
        <is>
          <t>1 model</t>
        </is>
      </c>
      <c r="G2" t="inlineStr">
        <is>
          <t>Infantry</t>
        </is>
      </c>
      <c r="L2" s="60" t="n">
        <v>50</v>
      </c>
      <c r="M2" s="54" t="str"/>
      <c r="N2" s="54" t="inlineStr">
        <is>
          <t>Matched to Munitorum Field Manual v2.3</t>
        </is>
      </c>
      <c r="O2" s="54" t="inlineStr">
        <is>
          <t>Uploaded PDF: Munitorum Field Manual v2.3 / March 2025, p.18</t>
        </is>
      </c>
    </row>
    <row r="3">
      <c r="A3" t="inlineStr">
        <is>
          <t>Death Guard</t>
        </is>
      </c>
      <c r="C3" t="inlineStr">
        <is>
          <t>Character</t>
        </is>
      </c>
      <c r="D3" t="inlineStr">
        <is>
          <t>Character</t>
        </is>
      </c>
      <c r="E3" t="inlineStr">
        <is>
          <t>Blightlord Terminators</t>
        </is>
      </c>
      <c r="F3" t="inlineStr">
        <is>
          <t>5 models</t>
        </is>
      </c>
      <c r="G3" t="inlineStr">
        <is>
          <t>Character</t>
        </is>
      </c>
      <c r="L3" s="60" t="n">
        <v>155</v>
      </c>
      <c r="M3" s="54" t="inlineStr">
        <is>
          <t>Points options: 5 models = 155 pts; 10 models = 310 pts</t>
        </is>
      </c>
      <c r="N3" s="54" t="inlineStr">
        <is>
          <t>Matched to Munitorum Field Manual v2.3</t>
        </is>
      </c>
      <c r="O3" s="54" t="inlineStr">
        <is>
          <t>Uploaded PDF: Munitorum Field Manual v2.3 / March 2025, p.18</t>
        </is>
      </c>
    </row>
    <row r="4">
      <c r="A4" t="inlineStr">
        <is>
          <t>Death Guard</t>
        </is>
      </c>
      <c r="C4" t="inlineStr">
        <is>
          <t>Character</t>
        </is>
      </c>
      <c r="D4" t="inlineStr">
        <is>
          <t>Character</t>
        </is>
      </c>
      <c r="E4" t="inlineStr">
        <is>
          <t>Death Guard Chaos Lord</t>
        </is>
      </c>
      <c r="F4" t="inlineStr">
        <is>
          <t>1 model</t>
        </is>
      </c>
      <c r="G4" t="inlineStr">
        <is>
          <t>Character</t>
        </is>
      </c>
      <c r="L4" s="60" t="n">
        <v>65</v>
      </c>
      <c r="M4" s="54" t="str"/>
      <c r="N4" s="54" t="inlineStr">
        <is>
          <t>Matched to Munitorum Field Manual v2.3</t>
        </is>
      </c>
      <c r="O4" s="54" t="inlineStr">
        <is>
          <t>Uploaded PDF: Munitorum Field Manual v2.3 / March 2025, p.18</t>
        </is>
      </c>
    </row>
    <row r="5">
      <c r="A5" t="inlineStr">
        <is>
          <t>Death Guard</t>
        </is>
      </c>
      <c r="C5" t="inlineStr">
        <is>
          <t>Character</t>
        </is>
      </c>
      <c r="D5" t="inlineStr">
        <is>
          <t>Character</t>
        </is>
      </c>
      <c r="E5" t="inlineStr">
        <is>
          <t>Death Guard Chaos Lord in Terminator Armour</t>
        </is>
      </c>
      <c r="F5" t="inlineStr">
        <is>
          <t>1 model</t>
        </is>
      </c>
      <c r="G5" t="inlineStr">
        <is>
          <t>Character</t>
        </is>
      </c>
      <c r="L5" s="60" t="n">
        <v>85</v>
      </c>
      <c r="M5" s="54" t="str"/>
      <c r="N5" s="54" t="inlineStr">
        <is>
          <t>Matched to Munitorum Field Manual v2.3</t>
        </is>
      </c>
      <c r="O5" s="54" t="inlineStr">
        <is>
          <t>Uploaded PDF: Munitorum Field Manual v2.3 / March 2025, p.18</t>
        </is>
      </c>
    </row>
    <row r="6">
      <c r="A6" t="inlineStr">
        <is>
          <t>Death Guard</t>
        </is>
      </c>
      <c r="C6" t="inlineStr">
        <is>
          <t>Infantry / Other</t>
        </is>
      </c>
      <c r="D6" t="inlineStr">
        <is>
          <t>Infantry</t>
        </is>
      </c>
      <c r="E6" t="inlineStr">
        <is>
          <t>Death Guard Cultists</t>
        </is>
      </c>
      <c r="F6" t="inlineStr">
        <is>
          <t>10 models</t>
        </is>
      </c>
      <c r="G6" t="inlineStr">
        <is>
          <t>Infantry</t>
        </is>
      </c>
      <c r="L6" s="60" t="n">
        <v>50</v>
      </c>
      <c r="M6" s="54" t="inlineStr">
        <is>
          <t>Points options: 10 models = 50 pts; 20 models = 100 pts</t>
        </is>
      </c>
      <c r="N6" s="54" t="inlineStr">
        <is>
          <t>Matched to Munitorum Field Manual v2.3</t>
        </is>
      </c>
      <c r="O6" s="54" t="inlineStr">
        <is>
          <t>Uploaded PDF: Munitorum Field Manual v2.3 / March 2025, p.18</t>
        </is>
      </c>
    </row>
    <row r="7">
      <c r="A7" t="inlineStr">
        <is>
          <t>Death Guard</t>
        </is>
      </c>
      <c r="C7" t="inlineStr">
        <is>
          <t>Infantry / Other</t>
        </is>
      </c>
      <c r="D7" t="inlineStr">
        <is>
          <t>Infantry</t>
        </is>
      </c>
      <c r="E7" t="inlineStr">
        <is>
          <t>Death Guard Daemon Prince</t>
        </is>
      </c>
      <c r="F7" t="inlineStr">
        <is>
          <t>1 model</t>
        </is>
      </c>
      <c r="G7" t="inlineStr">
        <is>
          <t>Infantry</t>
        </is>
      </c>
      <c r="L7" s="60" t="n">
        <v>160</v>
      </c>
      <c r="M7" s="54" t="str"/>
      <c r="N7" s="54" t="inlineStr">
        <is>
          <t>Matched to Munitorum Field Manual v2.3</t>
        </is>
      </c>
      <c r="O7" s="54" t="inlineStr">
        <is>
          <t>Uploaded PDF: Munitorum Field Manual v2.3 / March 2025, p.18</t>
        </is>
      </c>
    </row>
    <row r="8">
      <c r="A8" t="inlineStr">
        <is>
          <t>Death Guard</t>
        </is>
      </c>
      <c r="C8" t="inlineStr">
        <is>
          <t>Infantry / Other</t>
        </is>
      </c>
      <c r="D8" t="inlineStr">
        <is>
          <t>Infantry</t>
        </is>
      </c>
      <c r="E8" t="inlineStr">
        <is>
          <t>Death Guard Daemon Prince with Wings</t>
        </is>
      </c>
      <c r="F8" t="inlineStr">
        <is>
          <t>1 model</t>
        </is>
      </c>
      <c r="G8" t="inlineStr">
        <is>
          <t>Infantry</t>
        </is>
      </c>
      <c r="L8" s="60" t="n">
        <v>195</v>
      </c>
      <c r="M8" s="54" t="str"/>
      <c r="N8" s="54" t="inlineStr">
        <is>
          <t>Matched to Munitorum Field Manual v2.3</t>
        </is>
      </c>
      <c r="O8" s="54" t="inlineStr">
        <is>
          <t>Uploaded PDF: Munitorum Field Manual v2.3 / March 2025, p.18</t>
        </is>
      </c>
    </row>
    <row r="9">
      <c r="A9" t="inlineStr">
        <is>
          <t>Death Guard</t>
        </is>
      </c>
      <c r="C9" t="inlineStr">
        <is>
          <t>Vehicle / Support</t>
        </is>
      </c>
      <c r="D9" t="inlineStr">
        <is>
          <t>Walker / Battlesuit</t>
        </is>
      </c>
      <c r="E9" t="inlineStr">
        <is>
          <t>Death Guard Defiler</t>
        </is>
      </c>
      <c r="F9" t="inlineStr">
        <is>
          <t>1 model</t>
        </is>
      </c>
      <c r="G9" t="inlineStr">
        <is>
          <t>Walker / Battlesuit</t>
        </is>
      </c>
      <c r="L9" s="60" t="n">
        <v>190</v>
      </c>
      <c r="M9" s="54" t="str"/>
      <c r="N9" s="54" t="inlineStr">
        <is>
          <t>Matched to Munitorum Field Manual v2.3</t>
        </is>
      </c>
      <c r="O9" s="54" t="inlineStr">
        <is>
          <t>Uploaded PDF: Munitorum Field Manual v2.3 / March 2025, p.18</t>
        </is>
      </c>
    </row>
    <row r="10">
      <c r="A10" t="inlineStr">
        <is>
          <t>Death Guard</t>
        </is>
      </c>
      <c r="C10" t="inlineStr">
        <is>
          <t>Vehicle / Support</t>
        </is>
      </c>
      <c r="D10" t="inlineStr">
        <is>
          <t>Walker / Battlesuit</t>
        </is>
      </c>
      <c r="E10" t="inlineStr">
        <is>
          <t>Death Guard Helbrute</t>
        </is>
      </c>
      <c r="F10" t="inlineStr">
        <is>
          <t>1 model</t>
        </is>
      </c>
      <c r="G10" t="inlineStr">
        <is>
          <t>Walker / Battlesuit</t>
        </is>
      </c>
      <c r="L10" s="60" t="n">
        <v>130</v>
      </c>
      <c r="M10" s="54" t="str"/>
      <c r="N10" s="54" t="inlineStr">
        <is>
          <t>Matched to Munitorum Field Manual v2.3</t>
        </is>
      </c>
      <c r="O10" s="54" t="inlineStr">
        <is>
          <t>Uploaded PDF: Munitorum Field Manual v2.3 / March 2025, p.18</t>
        </is>
      </c>
    </row>
    <row r="11">
      <c r="A11" t="inlineStr">
        <is>
          <t>Death Guard</t>
        </is>
      </c>
      <c r="C11" t="inlineStr">
        <is>
          <t>Infantry / Other</t>
        </is>
      </c>
      <c r="D11" t="inlineStr">
        <is>
          <t>Infantry</t>
        </is>
      </c>
      <c r="E11" t="inlineStr">
        <is>
          <t>Death Guard Icon Bearer</t>
        </is>
      </c>
      <c r="F11" t="inlineStr">
        <is>
          <t>1 model</t>
        </is>
      </c>
      <c r="G11" t="inlineStr">
        <is>
          <t>Infantry</t>
        </is>
      </c>
      <c r="L11" s="60" t="n">
        <v>45</v>
      </c>
      <c r="M11" s="54" t="str"/>
      <c r="N11" s="54" t="inlineStr">
        <is>
          <t>Matched to Munitorum Field Manual v2.3</t>
        </is>
      </c>
      <c r="O11" s="54" t="inlineStr">
        <is>
          <t>Uploaded PDF: Munitorum Field Manual v2.3 / March 2025, p.18</t>
        </is>
      </c>
    </row>
    <row r="12">
      <c r="A12" t="inlineStr">
        <is>
          <t>Death Guard</t>
        </is>
      </c>
      <c r="C12" t="inlineStr">
        <is>
          <t>Vehicle / Support</t>
        </is>
      </c>
      <c r="D12" t="inlineStr">
        <is>
          <t>Vehicle</t>
        </is>
      </c>
      <c r="E12" t="inlineStr">
        <is>
          <t>Death Guard Land Raider</t>
        </is>
      </c>
      <c r="F12" t="inlineStr">
        <is>
          <t>1 model</t>
        </is>
      </c>
      <c r="G12" t="inlineStr">
        <is>
          <t>Vehicle</t>
        </is>
      </c>
      <c r="L12" s="60" t="n">
        <v>240</v>
      </c>
      <c r="M12" s="54" t="str"/>
      <c r="N12" s="54" t="inlineStr">
        <is>
          <t>Matched to Munitorum Field Manual v2.3</t>
        </is>
      </c>
      <c r="O12" s="54" t="inlineStr">
        <is>
          <t>Uploaded PDF: Munitorum Field Manual v2.3 / March 2025, p.18</t>
        </is>
      </c>
    </row>
    <row r="13">
      <c r="A13" t="inlineStr">
        <is>
          <t>Death Guard</t>
        </is>
      </c>
      <c r="C13" t="inlineStr">
        <is>
          <t>Vehicle / Support</t>
        </is>
      </c>
      <c r="D13" t="inlineStr">
        <is>
          <t>Vehicle</t>
        </is>
      </c>
      <c r="E13" t="inlineStr">
        <is>
          <t>Death Guard Predator Annihilator</t>
        </is>
      </c>
      <c r="F13" t="inlineStr">
        <is>
          <t>1 model</t>
        </is>
      </c>
      <c r="G13" t="inlineStr">
        <is>
          <t>Vehicle</t>
        </is>
      </c>
      <c r="L13" s="60" t="n">
        <v>135</v>
      </c>
      <c r="M13" s="54" t="str"/>
      <c r="N13" s="54" t="inlineStr">
        <is>
          <t>Matched to Munitorum Field Manual v2.3</t>
        </is>
      </c>
      <c r="O13" s="54" t="inlineStr">
        <is>
          <t>Uploaded PDF: Munitorum Field Manual v2.3 / March 2025, p.18</t>
        </is>
      </c>
    </row>
    <row r="14">
      <c r="A14" t="inlineStr">
        <is>
          <t>Death Guard</t>
        </is>
      </c>
      <c r="C14" t="inlineStr">
        <is>
          <t>Vehicle / Support</t>
        </is>
      </c>
      <c r="D14" t="inlineStr">
        <is>
          <t>Vehicle</t>
        </is>
      </c>
      <c r="E14" t="inlineStr">
        <is>
          <t>Death Guard Predator Destructor</t>
        </is>
      </c>
      <c r="F14" t="inlineStr">
        <is>
          <t>1 model</t>
        </is>
      </c>
      <c r="G14" t="inlineStr">
        <is>
          <t>Vehicle</t>
        </is>
      </c>
      <c r="L14" s="60" t="n">
        <v>140</v>
      </c>
      <c r="M14" s="54" t="str"/>
      <c r="N14" s="54" t="inlineStr">
        <is>
          <t>Matched to Munitorum Field Manual v2.3</t>
        </is>
      </c>
      <c r="O14" s="54" t="inlineStr">
        <is>
          <t>Uploaded PDF: Munitorum Field Manual v2.3 / March 2025, p.18</t>
        </is>
      </c>
    </row>
    <row r="15">
      <c r="A15" t="inlineStr">
        <is>
          <t>Death Guard</t>
        </is>
      </c>
      <c r="C15" t="inlineStr">
        <is>
          <t>Vehicle / Support</t>
        </is>
      </c>
      <c r="D15" t="inlineStr">
        <is>
          <t>Vehicle</t>
        </is>
      </c>
      <c r="E15" t="inlineStr">
        <is>
          <t>Death Guard Rhino</t>
        </is>
      </c>
      <c r="F15" t="inlineStr">
        <is>
          <t>1 model</t>
        </is>
      </c>
      <c r="G15" t="inlineStr">
        <is>
          <t>Vehicle</t>
        </is>
      </c>
      <c r="L15" s="60" t="n">
        <v>75</v>
      </c>
      <c r="M15" s="54" t="str"/>
      <c r="N15" s="54" t="inlineStr">
        <is>
          <t>Matched to Munitorum Field Manual v2.3</t>
        </is>
      </c>
      <c r="O15" s="54" t="inlineStr">
        <is>
          <t>Uploaded PDF: Munitorum Field Manual v2.3 / March 2025, p.18</t>
        </is>
      </c>
    </row>
    <row r="16">
      <c r="A16" t="inlineStr">
        <is>
          <t>Death Guard</t>
        </is>
      </c>
      <c r="C16" t="inlineStr">
        <is>
          <t>Infantry / Other</t>
        </is>
      </c>
      <c r="D16" t="inlineStr">
        <is>
          <t>Infantry</t>
        </is>
      </c>
      <c r="E16" t="inlineStr">
        <is>
          <t>Death Guard Sorcerer in Terminator Armour</t>
        </is>
      </c>
      <c r="F16" t="inlineStr">
        <is>
          <t>1 model</t>
        </is>
      </c>
      <c r="G16" t="inlineStr">
        <is>
          <t>Infantry, Psyker</t>
        </is>
      </c>
      <c r="L16" s="60" t="n">
        <v>70</v>
      </c>
      <c r="M16" s="54" t="str"/>
      <c r="N16" s="54" t="inlineStr">
        <is>
          <t>Matched to Munitorum Field Manual v2.3</t>
        </is>
      </c>
      <c r="O16" s="54" t="inlineStr">
        <is>
          <t>Uploaded PDF: Munitorum Field Manual v2.3 / March 2025, p.18</t>
        </is>
      </c>
    </row>
    <row r="17">
      <c r="A17" t="inlineStr">
        <is>
          <t>Death Guard</t>
        </is>
      </c>
      <c r="C17" t="inlineStr">
        <is>
          <t>Infantry / Other</t>
        </is>
      </c>
      <c r="D17" t="inlineStr">
        <is>
          <t>Infantry</t>
        </is>
      </c>
      <c r="E17" t="inlineStr">
        <is>
          <t>Deathshroud Terminators</t>
        </is>
      </c>
      <c r="F17" t="inlineStr">
        <is>
          <t>3 models</t>
        </is>
      </c>
      <c r="G17" t="inlineStr">
        <is>
          <t>Infantry</t>
        </is>
      </c>
      <c r="L17" s="60" t="n">
        <v>110</v>
      </c>
      <c r="M17" s="54" t="inlineStr">
        <is>
          <t>Points options: 3 models = 110 pts; 6 models = 220 pts</t>
        </is>
      </c>
      <c r="N17" s="54" t="inlineStr">
        <is>
          <t>Matched to Munitorum Field Manual v2.3</t>
        </is>
      </c>
      <c r="O17" s="54" t="inlineStr">
        <is>
          <t>Uploaded PDF: Munitorum Field Manual v2.3 / March 2025, p.18</t>
        </is>
      </c>
    </row>
    <row r="18">
      <c r="A18" t="inlineStr">
        <is>
          <t>Death Guard</t>
        </is>
      </c>
      <c r="C18" t="inlineStr">
        <is>
          <t>Vehicle / Support</t>
        </is>
      </c>
      <c r="D18" t="inlineStr">
        <is>
          <t>Walker / Battlesuit</t>
        </is>
      </c>
      <c r="E18" t="inlineStr">
        <is>
          <t>Foetid Bloat-drone</t>
        </is>
      </c>
      <c r="F18" t="inlineStr">
        <is>
          <t>1 model</t>
        </is>
      </c>
      <c r="G18" t="inlineStr">
        <is>
          <t>Walker / Battlesuit</t>
        </is>
      </c>
      <c r="L18" s="60" t="n">
        <v>90</v>
      </c>
      <c r="M18" s="54" t="str"/>
      <c r="N18" s="54" t="inlineStr">
        <is>
          <t>Matched to Munitorum Field Manual v2.3</t>
        </is>
      </c>
      <c r="O18" s="54" t="inlineStr">
        <is>
          <t>Uploaded PDF: Munitorum Field Manual v2.3 / March 2025, p.18</t>
        </is>
      </c>
    </row>
    <row r="19">
      <c r="A19" t="inlineStr">
        <is>
          <t>Death Guard</t>
        </is>
      </c>
      <c r="C19" t="inlineStr">
        <is>
          <t>Infantry / Other</t>
        </is>
      </c>
      <c r="D19" t="inlineStr">
        <is>
          <t>Infantry</t>
        </is>
      </c>
      <c r="E19" t="inlineStr">
        <is>
          <t>Foul Blightspawn</t>
        </is>
      </c>
      <c r="F19" t="inlineStr">
        <is>
          <t>1 model</t>
        </is>
      </c>
      <c r="G19" t="inlineStr">
        <is>
          <t>Infantry</t>
        </is>
      </c>
      <c r="L19" s="60" t="n">
        <v>60</v>
      </c>
      <c r="M19" s="54" t="str"/>
      <c r="N19" s="54" t="inlineStr">
        <is>
          <t>Matched to Munitorum Field Manual v2.3</t>
        </is>
      </c>
      <c r="O19" s="54" t="inlineStr">
        <is>
          <t>Uploaded PDF: Munitorum Field Manual v2.3 / March 2025, p.18</t>
        </is>
      </c>
    </row>
    <row r="20">
      <c r="A20" t="inlineStr">
        <is>
          <t>Death Guard</t>
        </is>
      </c>
      <c r="C20" t="inlineStr">
        <is>
          <t>Character</t>
        </is>
      </c>
      <c r="D20" t="inlineStr">
        <is>
          <t>Character</t>
        </is>
      </c>
      <c r="E20" t="inlineStr">
        <is>
          <t>Lord of Contagion</t>
        </is>
      </c>
      <c r="F20" t="inlineStr">
        <is>
          <t>1 model</t>
        </is>
      </c>
      <c r="G20" t="inlineStr">
        <is>
          <t>Character</t>
        </is>
      </c>
      <c r="L20" s="60" t="n">
        <v>80</v>
      </c>
      <c r="M20" s="54" t="str"/>
      <c r="N20" s="54" t="inlineStr">
        <is>
          <t>Matched to Munitorum Field Manual v2.3</t>
        </is>
      </c>
      <c r="O20" s="54" t="inlineStr">
        <is>
          <t>Uploaded PDF: Munitorum Field Manual v2.3 / March 2025, p.18</t>
        </is>
      </c>
    </row>
    <row r="21">
      <c r="A21" t="inlineStr">
        <is>
          <t>Death Guard</t>
        </is>
      </c>
      <c r="C21" t="inlineStr">
        <is>
          <t>Character</t>
        </is>
      </c>
      <c r="D21" t="inlineStr">
        <is>
          <t>Character</t>
        </is>
      </c>
      <c r="E21" t="inlineStr">
        <is>
          <t>Lord of Virulence</t>
        </is>
      </c>
      <c r="F21" t="inlineStr">
        <is>
          <t>1 model</t>
        </is>
      </c>
      <c r="G21" t="inlineStr">
        <is>
          <t>Character</t>
        </is>
      </c>
      <c r="L21" s="60" t="n">
        <v>80</v>
      </c>
      <c r="M21" s="54" t="str"/>
      <c r="N21" s="54" t="inlineStr">
        <is>
          <t>Matched to Munitorum Field Manual v2.3</t>
        </is>
      </c>
      <c r="O21" s="54" t="inlineStr">
        <is>
          <t>Uploaded PDF: Munitorum Field Manual v2.3 / March 2025, p.18</t>
        </is>
      </c>
    </row>
    <row r="22">
      <c r="A22" t="inlineStr">
        <is>
          <t>Death Guard</t>
        </is>
      </c>
      <c r="C22" t="inlineStr">
        <is>
          <t>Infantry / Other</t>
        </is>
      </c>
      <c r="D22" t="inlineStr">
        <is>
          <t>Infantry</t>
        </is>
      </c>
      <c r="E22" t="inlineStr">
        <is>
          <t>Malignant Plaguecaster</t>
        </is>
      </c>
      <c r="F22" t="inlineStr">
        <is>
          <t>1 model</t>
        </is>
      </c>
      <c r="G22" t="inlineStr">
        <is>
          <t>Infantry</t>
        </is>
      </c>
      <c r="L22" s="60" t="n">
        <v>65</v>
      </c>
      <c r="M22" s="54" t="str"/>
      <c r="N22" s="54" t="inlineStr">
        <is>
          <t>Matched to Munitorum Field Manual v2.3</t>
        </is>
      </c>
      <c r="O22" s="54" t="inlineStr">
        <is>
          <t>Uploaded PDF: Munitorum Field Manual v2.3 / March 2025, p.18</t>
        </is>
      </c>
    </row>
    <row r="23">
      <c r="A23" t="inlineStr">
        <is>
          <t>Death Guard</t>
        </is>
      </c>
      <c r="C23" t="inlineStr">
        <is>
          <t>Monster / Heavy Support</t>
        </is>
      </c>
      <c r="D23" t="inlineStr">
        <is>
          <t>Monster</t>
        </is>
      </c>
      <c r="E23" t="inlineStr">
        <is>
          <t>Mortarion</t>
        </is>
      </c>
      <c r="F23" t="inlineStr">
        <is>
          <t>1 model</t>
        </is>
      </c>
      <c r="G23" t="inlineStr">
        <is>
          <t>Monster, Epic Hero</t>
        </is>
      </c>
      <c r="L23" s="60" t="n">
        <v>300</v>
      </c>
      <c r="M23" s="54" t="str"/>
      <c r="N23" s="54" t="inlineStr">
        <is>
          <t>Matched to Munitorum Field Manual v2.3</t>
        </is>
      </c>
      <c r="O23" s="54" t="inlineStr">
        <is>
          <t>Uploaded PDF: Munitorum Field Manual v2.3 / March 2025, p.18</t>
        </is>
      </c>
    </row>
    <row r="24">
      <c r="A24" t="inlineStr">
        <is>
          <t>Death Guard</t>
        </is>
      </c>
      <c r="C24" t="inlineStr">
        <is>
          <t>Infantry / Other</t>
        </is>
      </c>
      <c r="D24" t="inlineStr">
        <is>
          <t>Infantry</t>
        </is>
      </c>
      <c r="E24" t="inlineStr">
        <is>
          <t>Miasmic Malignifier</t>
        </is>
      </c>
      <c r="F24" t="inlineStr">
        <is>
          <t>1 model</t>
        </is>
      </c>
      <c r="G24" t="inlineStr">
        <is>
          <t>Infantry</t>
        </is>
      </c>
      <c r="L24" s="60" t="n">
        <v>115</v>
      </c>
      <c r="M24" s="54" t="str"/>
      <c r="N24" s="54" t="inlineStr">
        <is>
          <t>Matched to Munitorum Field Manual v2.3</t>
        </is>
      </c>
      <c r="O24" s="54" t="inlineStr">
        <is>
          <t>Uploaded PDF: Munitorum Field Manual v2.3 / March 2025, p.18</t>
        </is>
      </c>
    </row>
    <row r="25">
      <c r="A25" t="inlineStr">
        <is>
          <t>Death Guard</t>
        </is>
      </c>
      <c r="C25" t="inlineStr">
        <is>
          <t>Vehicle / Support</t>
        </is>
      </c>
      <c r="D25" t="inlineStr">
        <is>
          <t>Walker / Battlesuit</t>
        </is>
      </c>
      <c r="E25" t="inlineStr">
        <is>
          <t>Myphitic Blight-haulers</t>
        </is>
      </c>
      <c r="F25" t="inlineStr">
        <is>
          <t>1 model</t>
        </is>
      </c>
      <c r="G25" t="inlineStr">
        <is>
          <t>Walker / Battlesuit</t>
        </is>
      </c>
      <c r="L25" s="60" t="n">
        <v>85</v>
      </c>
      <c r="M25" s="54" t="inlineStr">
        <is>
          <t>Points options: 1 model = 85 pts; 2 models = 170 pts; 3 models = 255 pts</t>
        </is>
      </c>
      <c r="N25" s="54" t="inlineStr">
        <is>
          <t>Matched to Munitorum Field Manual v2.3</t>
        </is>
      </c>
      <c r="O25" s="54" t="inlineStr">
        <is>
          <t>Uploaded PDF: Munitorum Field Manual v2.3 / March 2025, p.18</t>
        </is>
      </c>
    </row>
    <row r="26">
      <c r="A26" t="inlineStr">
        <is>
          <t>Death Guard</t>
        </is>
      </c>
      <c r="C26" t="inlineStr">
        <is>
          <t>Infantry / Other</t>
        </is>
      </c>
      <c r="D26" t="inlineStr">
        <is>
          <t>Infantry</t>
        </is>
      </c>
      <c r="E26" t="inlineStr">
        <is>
          <t>Noxious Blightbringer</t>
        </is>
      </c>
      <c r="F26" t="inlineStr">
        <is>
          <t>1 model</t>
        </is>
      </c>
      <c r="G26" t="inlineStr">
        <is>
          <t>Infantry</t>
        </is>
      </c>
      <c r="L26" s="60" t="n">
        <v>45</v>
      </c>
      <c r="M26" s="54" t="str"/>
      <c r="N26" s="54" t="inlineStr">
        <is>
          <t>Matched to Munitorum Field Manual v2.3</t>
        </is>
      </c>
      <c r="O26" s="54" t="inlineStr">
        <is>
          <t>Uploaded PDF: Munitorum Field Manual v2.3 / March 2025, p.18</t>
        </is>
      </c>
    </row>
    <row r="27">
      <c r="A27" t="inlineStr">
        <is>
          <t>Death Guard</t>
        </is>
      </c>
      <c r="C27" t="inlineStr">
        <is>
          <t>Battleline / Core</t>
        </is>
      </c>
      <c r="D27" t="inlineStr">
        <is>
          <t>Infantry</t>
        </is>
      </c>
      <c r="E27" t="inlineStr">
        <is>
          <t>Plague Marines</t>
        </is>
      </c>
      <c r="F27" t="inlineStr">
        <is>
          <t>5 models</t>
        </is>
      </c>
      <c r="G27" t="inlineStr">
        <is>
          <t>Infantry</t>
        </is>
      </c>
      <c r="L27" s="60" t="n">
        <v>90</v>
      </c>
      <c r="M27" s="54" t="inlineStr">
        <is>
          <t>Points options: 5 models = 90 pts; 7 models = 125 pts; 10 models = 180 pts</t>
        </is>
      </c>
      <c r="N27" s="54" t="inlineStr">
        <is>
          <t>Matched to Munitorum Field Manual v2.3</t>
        </is>
      </c>
      <c r="O27" s="54" t="inlineStr">
        <is>
          <t>Uploaded PDF: Munitorum Field Manual v2.3 / March 2025, p.18</t>
        </is>
      </c>
    </row>
    <row r="28">
      <c r="A28" t="inlineStr">
        <is>
          <t>Death Guard</t>
        </is>
      </c>
      <c r="C28" t="inlineStr">
        <is>
          <t>Infantry / Other</t>
        </is>
      </c>
      <c r="D28" t="inlineStr">
        <is>
          <t>Infantry</t>
        </is>
      </c>
      <c r="E28" t="inlineStr">
        <is>
          <t>Plague Surgeon</t>
        </is>
      </c>
      <c r="F28" t="inlineStr">
        <is>
          <t>1 model</t>
        </is>
      </c>
      <c r="G28" t="inlineStr">
        <is>
          <t>Infantry</t>
        </is>
      </c>
      <c r="L28" s="60" t="n">
        <v>50</v>
      </c>
      <c r="M28" s="54" t="str"/>
      <c r="N28" s="54" t="inlineStr">
        <is>
          <t>Matched to Munitorum Field Manual v2.3</t>
        </is>
      </c>
      <c r="O28" s="54" t="inlineStr">
        <is>
          <t>Uploaded PDF: Munitorum Field Manual v2.3 / March 2025, p.18</t>
        </is>
      </c>
    </row>
    <row r="29">
      <c r="A29" t="inlineStr">
        <is>
          <t>Death Guard</t>
        </is>
      </c>
      <c r="C29" t="inlineStr">
        <is>
          <t>Vehicle / Support</t>
        </is>
      </c>
      <c r="D29" t="inlineStr">
        <is>
          <t>Walker / Battlesuit</t>
        </is>
      </c>
      <c r="E29" t="inlineStr">
        <is>
          <t>Plagueburst Crawler</t>
        </is>
      </c>
      <c r="F29" t="inlineStr">
        <is>
          <t>1 model</t>
        </is>
      </c>
      <c r="G29" t="inlineStr">
        <is>
          <t>Walker / Battlesuit</t>
        </is>
      </c>
      <c r="L29" s="60" t="n">
        <v>180</v>
      </c>
      <c r="M29" s="54" t="str"/>
      <c r="N29" s="54" t="inlineStr">
        <is>
          <t>Matched to Munitorum Field Manual v2.3</t>
        </is>
      </c>
      <c r="O29" s="54" t="inlineStr">
        <is>
          <t>Uploaded PDF: Munitorum Field Manual v2.3 / March 2025, p.18</t>
        </is>
      </c>
    </row>
    <row r="30">
      <c r="A30" t="inlineStr">
        <is>
          <t>Death Guard</t>
        </is>
      </c>
      <c r="C30" t="inlineStr">
        <is>
          <t>Infantry / Other</t>
        </is>
      </c>
      <c r="D30" t="inlineStr">
        <is>
          <t>Infantry</t>
        </is>
      </c>
      <c r="E30" t="inlineStr">
        <is>
          <t>Poxwalkers</t>
        </is>
      </c>
      <c r="F30" t="inlineStr">
        <is>
          <t>10 models</t>
        </is>
      </c>
      <c r="G30" t="inlineStr">
        <is>
          <t>Infantry</t>
        </is>
      </c>
      <c r="L30" s="60" t="n">
        <v>50</v>
      </c>
      <c r="M30" s="54" t="inlineStr">
        <is>
          <t>Points options: 10 models = 50 pts; 20 models = 100 pts</t>
        </is>
      </c>
      <c r="N30" s="54" t="inlineStr">
        <is>
          <t>Matched to Munitorum Field Manual v2.3</t>
        </is>
      </c>
      <c r="O30" s="54" t="inlineStr">
        <is>
          <t>Uploaded PDF: Munitorum Field Manual v2.3 / March 2025, p.18</t>
        </is>
      </c>
    </row>
    <row r="31">
      <c r="A31" t="inlineStr">
        <is>
          <t>Death Guard</t>
        </is>
      </c>
      <c r="C31" t="inlineStr">
        <is>
          <t>Infantry / Other</t>
        </is>
      </c>
      <c r="D31" t="inlineStr">
        <is>
          <t>Infantry</t>
        </is>
      </c>
      <c r="E31" t="inlineStr">
        <is>
          <t>Tallyman</t>
        </is>
      </c>
      <c r="F31" t="inlineStr">
        <is>
          <t>1 model</t>
        </is>
      </c>
      <c r="G31" t="inlineStr">
        <is>
          <t>Infantry</t>
        </is>
      </c>
      <c r="L31" s="60" t="n">
        <v>45</v>
      </c>
      <c r="M31" s="54" t="str"/>
      <c r="N31" s="54" t="inlineStr">
        <is>
          <t>Matched to Munitorum Field Manual v2.3</t>
        </is>
      </c>
      <c r="O31" s="54" t="inlineStr">
        <is>
          <t>Uploaded PDF: Munitorum Field Manual v2.3 / March 2025, p.18</t>
        </is>
      </c>
    </row>
    <row r="32">
      <c r="A32" t="inlineStr">
        <is>
          <t>Death Guard</t>
        </is>
      </c>
      <c r="C32" t="inlineStr">
        <is>
          <t>Infantry / Other</t>
        </is>
      </c>
      <c r="D32" t="inlineStr">
        <is>
          <t>Infantry</t>
        </is>
      </c>
      <c r="E32" t="inlineStr">
        <is>
          <t>Typhus</t>
        </is>
      </c>
      <c r="F32" t="inlineStr">
        <is>
          <t>1 model</t>
        </is>
      </c>
      <c r="G32" t="inlineStr">
        <is>
          <t>Infantry</t>
        </is>
      </c>
      <c r="L32" s="60" t="n">
        <v>80</v>
      </c>
      <c r="M32" s="54" t="str"/>
      <c r="N32" s="54" t="inlineStr">
        <is>
          <t>Matched to Munitorum Field Manual v2.3</t>
        </is>
      </c>
      <c r="O32" s="54" t="inlineStr">
        <is>
          <t>Uploaded PDF: Munitorum Field Manual v2.3 / March 2025, p.18</t>
        </is>
      </c>
    </row>
    <row r="33">
      <c r="A33" t="inlineStr">
        <is>
          <t>Death Guard</t>
        </is>
      </c>
      <c r="C33" t="inlineStr">
        <is>
          <t>Infantry / Other</t>
        </is>
      </c>
      <c r="D33" t="inlineStr">
        <is>
          <t>Beast / Swarm</t>
        </is>
      </c>
      <c r="E33" t="inlineStr">
        <is>
          <t>Beasts Of Nurgle</t>
        </is>
      </c>
      <c r="F33" t="inlineStr">
        <is>
          <t>1 model</t>
        </is>
      </c>
      <c r="G33" t="inlineStr">
        <is>
          <t>Beast / Swarm</t>
        </is>
      </c>
      <c r="L33" t="n">
        <v>70</v>
      </c>
      <c r="N33" t="inlineStr">
        <is>
          <t>Added from current Munitorum Field Manual v4.1 (non-Legends)</t>
        </is>
      </c>
      <c r="O33" t="inlineStr">
        <is>
          <t>https://www.warhammer-community.com/en-gb/downloads/warhammer-40000/</t>
        </is>
      </c>
    </row>
    <row r="34">
      <c r="A34" t="inlineStr">
        <is>
          <t>Death Guard</t>
        </is>
      </c>
      <c r="C34" t="inlineStr">
        <is>
          <t>Vehicle / Support</t>
        </is>
      </c>
      <c r="D34" t="inlineStr">
        <is>
          <t>Vehicle</t>
        </is>
      </c>
      <c r="E34" t="inlineStr">
        <is>
          <t>Chaos Land Raider</t>
        </is>
      </c>
      <c r="F34" t="inlineStr">
        <is>
          <t>1 model</t>
        </is>
      </c>
      <c r="G34" t="inlineStr">
        <is>
          <t>Vehicle</t>
        </is>
      </c>
      <c r="L34" t="n">
        <v>220</v>
      </c>
      <c r="M34" t="inlineStr">
        <is>
          <t>Your 1st To 2nd Units Cost: 1 models = 220 pts | Your 3rd + Unit Costs: 1 models = 240 pts</t>
        </is>
      </c>
      <c r="N34" t="inlineStr">
        <is>
          <t>Added from current Munitorum Field Manual v4.1 (non-Legends)</t>
        </is>
      </c>
      <c r="O34" t="inlineStr">
        <is>
          <t>https://www.warhammer-community.com/en-gb/downloads/warhammer-40000/</t>
        </is>
      </c>
    </row>
    <row r="35">
      <c r="A35" t="inlineStr">
        <is>
          <t>Death Guard</t>
        </is>
      </c>
      <c r="C35" t="inlineStr">
        <is>
          <t>Vehicle / Support</t>
        </is>
      </c>
      <c r="D35" t="inlineStr">
        <is>
          <t>Vehicle</t>
        </is>
      </c>
      <c r="E35" t="inlineStr">
        <is>
          <t>Chaos Predator Annihilator</t>
        </is>
      </c>
      <c r="F35" t="inlineStr">
        <is>
          <t>1 model</t>
        </is>
      </c>
      <c r="G35" t="inlineStr">
        <is>
          <t>Vehicle</t>
        </is>
      </c>
      <c r="L35" t="n">
        <v>135</v>
      </c>
      <c r="M35" t="inlineStr">
        <is>
          <t>Your 1st To 2nd Units Cost: 1 models = 135 pts | Your 3rd + Unit Costs: 1 models = 145 pts</t>
        </is>
      </c>
      <c r="N35" t="inlineStr">
        <is>
          <t>Added from current Munitorum Field Manual v4.1 (non-Legends)</t>
        </is>
      </c>
      <c r="O35" t="inlineStr">
        <is>
          <t>https://www.warhammer-community.com/en-gb/downloads/warhammer-40000/</t>
        </is>
      </c>
    </row>
    <row r="36">
      <c r="A36" t="inlineStr">
        <is>
          <t>Death Guard</t>
        </is>
      </c>
      <c r="C36" t="inlineStr">
        <is>
          <t>Vehicle / Support</t>
        </is>
      </c>
      <c r="D36" t="inlineStr">
        <is>
          <t>Vehicle</t>
        </is>
      </c>
      <c r="E36" t="inlineStr">
        <is>
          <t>Chaos Predator Destructor</t>
        </is>
      </c>
      <c r="F36" t="inlineStr">
        <is>
          <t>1 model</t>
        </is>
      </c>
      <c r="G36" t="inlineStr">
        <is>
          <t>Vehicle</t>
        </is>
      </c>
      <c r="L36" t="n">
        <v>145</v>
      </c>
      <c r="M36" t="inlineStr">
        <is>
          <t>Your 1st To 2nd Units Cost: 1 models = 145 pts | Your 3rd + Unit Costs: 1 models = 155 pts</t>
        </is>
      </c>
      <c r="N36" t="inlineStr">
        <is>
          <t>Added from current Munitorum Field Manual v4.1 (non-Legends)</t>
        </is>
      </c>
      <c r="O36" t="inlineStr">
        <is>
          <t>https://www.warhammer-community.com/en-gb/downloads/warhammer-40000/</t>
        </is>
      </c>
    </row>
    <row r="37">
      <c r="A37" t="inlineStr">
        <is>
          <t>Death Guard</t>
        </is>
      </c>
      <c r="C37" t="inlineStr">
        <is>
          <t>Vehicle / Support</t>
        </is>
      </c>
      <c r="D37" t="inlineStr">
        <is>
          <t>Vehicle</t>
        </is>
      </c>
      <c r="E37" t="inlineStr">
        <is>
          <t>Chaos Rhino</t>
        </is>
      </c>
      <c r="F37" t="inlineStr">
        <is>
          <t>1 model</t>
        </is>
      </c>
      <c r="G37" t="inlineStr">
        <is>
          <t>Vehicle</t>
        </is>
      </c>
      <c r="L37" t="n">
        <v>85</v>
      </c>
      <c r="N37" t="inlineStr">
        <is>
          <t>Added from current Munitorum Field Manual v4.1 (non-Legends)</t>
        </is>
      </c>
      <c r="O37" t="inlineStr">
        <is>
          <t>https://www.warhammer-community.com/en-gb/downloads/warhammer-40000/</t>
        </is>
      </c>
    </row>
    <row r="38">
      <c r="A38" t="inlineStr">
        <is>
          <t>Death Guard</t>
        </is>
      </c>
      <c r="C38" t="inlineStr">
        <is>
          <t>Monster / Support</t>
        </is>
      </c>
      <c r="D38" t="inlineStr">
        <is>
          <t>Monster</t>
        </is>
      </c>
      <c r="E38" t="inlineStr">
        <is>
          <t>Daemon Prince Of Nurgle</t>
        </is>
      </c>
      <c r="F38" t="inlineStr">
        <is>
          <t>1 model</t>
        </is>
      </c>
      <c r="G38" t="inlineStr">
        <is>
          <t>Monster</t>
        </is>
      </c>
      <c r="L38" t="n">
        <v>195</v>
      </c>
      <c r="N38" t="inlineStr">
        <is>
          <t>Added from current Munitorum Field Manual v4.1 (non-Legends)</t>
        </is>
      </c>
      <c r="O38" t="inlineStr">
        <is>
          <t>https://www.warhammer-community.com/en-gb/downloads/warhammer-40000/</t>
        </is>
      </c>
    </row>
    <row r="39">
      <c r="A39" t="inlineStr">
        <is>
          <t>Death Guard</t>
        </is>
      </c>
      <c r="C39" t="inlineStr">
        <is>
          <t>Monster / Support</t>
        </is>
      </c>
      <c r="D39" t="inlineStr">
        <is>
          <t>Monster</t>
        </is>
      </c>
      <c r="E39" t="inlineStr">
        <is>
          <t>Daemon Prince Of Nurgle With Wings</t>
        </is>
      </c>
      <c r="F39" t="inlineStr">
        <is>
          <t>1 model</t>
        </is>
      </c>
      <c r="G39" t="inlineStr">
        <is>
          <t>Monster</t>
        </is>
      </c>
      <c r="L39" t="n">
        <v>170</v>
      </c>
      <c r="N39" t="inlineStr">
        <is>
          <t>Added from current Munitorum Field Manual v4.1 (non-Legends)</t>
        </is>
      </c>
      <c r="O39" t="inlineStr">
        <is>
          <t>https://www.warhammer-community.com/en-gb/downloads/warhammer-40000/</t>
        </is>
      </c>
    </row>
    <row r="40">
      <c r="A40" t="inlineStr">
        <is>
          <t>Death Guard</t>
        </is>
      </c>
      <c r="C40" t="inlineStr">
        <is>
          <t>Infantry / Other</t>
        </is>
      </c>
      <c r="D40" t="inlineStr">
        <is>
          <t>Infantry</t>
        </is>
      </c>
      <c r="E40" t="inlineStr">
        <is>
          <t>Foetid Bloat-Drone With Heavy Blight Launcher</t>
        </is>
      </c>
      <c r="F40" t="inlineStr">
        <is>
          <t>1 model</t>
        </is>
      </c>
      <c r="G40" t="inlineStr">
        <is>
          <t>Infantry</t>
        </is>
      </c>
      <c r="L40" t="n">
        <v>125</v>
      </c>
      <c r="M40" t="inlineStr">
        <is>
          <t>Your 1st To 2nd Units Cost: 1 models = 125 pts | Your 3rd + Unit Costs: 1 models = 135 pts</t>
        </is>
      </c>
      <c r="N40" t="inlineStr">
        <is>
          <t>Added from current Munitorum Field Manual v4.1 (non-Legends)</t>
        </is>
      </c>
      <c r="O40" t="inlineStr">
        <is>
          <t>https://www.warhammer-community.com/en-gb/downloads/warhammer-40000/</t>
        </is>
      </c>
    </row>
    <row r="41">
      <c r="A41" t="inlineStr">
        <is>
          <t>Death Guard</t>
        </is>
      </c>
      <c r="C41" t="inlineStr">
        <is>
          <t>Monster / Support</t>
        </is>
      </c>
      <c r="D41" t="inlineStr">
        <is>
          <t>Monster</t>
        </is>
      </c>
      <c r="E41" t="inlineStr">
        <is>
          <t>Great Unclean One</t>
        </is>
      </c>
      <c r="F41" t="inlineStr">
        <is>
          <t>1 model</t>
        </is>
      </c>
      <c r="G41" t="inlineStr">
        <is>
          <t>Monster</t>
        </is>
      </c>
      <c r="L41" t="n">
        <v>265</v>
      </c>
      <c r="M41" t="inlineStr">
        <is>
          <t>Your 1st To 2nd Units Cost: 1 models = 265 pts | Your 3rd + Unit Costs: 1 models = 280 pts</t>
        </is>
      </c>
      <c r="N41" t="inlineStr">
        <is>
          <t>Added from current Munitorum Field Manual v4.1 (non-Legends)</t>
        </is>
      </c>
      <c r="O41" t="inlineStr">
        <is>
          <t>https://www.warhammer-community.com/en-gb/downloads/warhammer-40000/</t>
        </is>
      </c>
    </row>
    <row r="42">
      <c r="A42" t="inlineStr">
        <is>
          <t>Death Guard</t>
        </is>
      </c>
      <c r="C42" t="inlineStr">
        <is>
          <t>Character</t>
        </is>
      </c>
      <c r="D42" t="inlineStr">
        <is>
          <t>Character</t>
        </is>
      </c>
      <c r="E42" t="inlineStr">
        <is>
          <t>Lord Of Poxes</t>
        </is>
      </c>
      <c r="F42" t="inlineStr">
        <is>
          <t>1 model</t>
        </is>
      </c>
      <c r="G42" t="inlineStr">
        <is>
          <t>Character</t>
        </is>
      </c>
      <c r="L42" t="n">
        <v>65</v>
      </c>
      <c r="N42" t="inlineStr">
        <is>
          <t>Added from current Munitorum Field Manual v4.1 (non-Legends)</t>
        </is>
      </c>
      <c r="O42" t="inlineStr">
        <is>
          <t>https://www.warhammer-community.com/en-gb/downloads/warhammer-40000/</t>
        </is>
      </c>
    </row>
    <row r="43">
      <c r="A43" t="inlineStr">
        <is>
          <t>Death Guard</t>
        </is>
      </c>
      <c r="C43" t="inlineStr">
        <is>
          <t>Infantry / Other</t>
        </is>
      </c>
      <c r="D43" t="inlineStr">
        <is>
          <t>Beast / Swarm</t>
        </is>
      </c>
      <c r="E43" t="inlineStr">
        <is>
          <t>Nurglings</t>
        </is>
      </c>
      <c r="F43" t="inlineStr">
        <is>
          <t>3 models</t>
        </is>
      </c>
      <c r="G43" t="inlineStr">
        <is>
          <t>Beast / Swarm</t>
        </is>
      </c>
      <c r="L43" t="n">
        <v>45</v>
      </c>
      <c r="N43" t="inlineStr">
        <is>
          <t>Added from current Munitorum Field Manual v4.1 (non-Legends)</t>
        </is>
      </c>
      <c r="O43" t="inlineStr">
        <is>
          <t>https://www.warhammer-community.com/en-gb/downloads/warhammer-40000/</t>
        </is>
      </c>
    </row>
    <row r="44">
      <c r="A44" t="inlineStr">
        <is>
          <t>Death Guard</t>
        </is>
      </c>
      <c r="C44" t="inlineStr">
        <is>
          <t>Infantry / Other</t>
        </is>
      </c>
      <c r="D44" t="inlineStr">
        <is>
          <t>Infantry</t>
        </is>
      </c>
      <c r="E44" t="inlineStr">
        <is>
          <t>Plague Drones</t>
        </is>
      </c>
      <c r="F44" t="inlineStr">
        <is>
          <t>3 models</t>
        </is>
      </c>
      <c r="G44" t="inlineStr">
        <is>
          <t>Infantry</t>
        </is>
      </c>
      <c r="L44" t="n">
        <v>110</v>
      </c>
      <c r="N44" t="inlineStr">
        <is>
          <t>Added from current Munitorum Field Manual v4.1 (non-Legends)</t>
        </is>
      </c>
      <c r="O44" t="inlineStr">
        <is>
          <t>https://www.warhammer-community.com/en-gb/downloads/warhammer-40000/</t>
        </is>
      </c>
    </row>
    <row r="45">
      <c r="A45" t="inlineStr">
        <is>
          <t>Death Guard</t>
        </is>
      </c>
      <c r="C45" t="inlineStr">
        <is>
          <t>Infantry / Other</t>
        </is>
      </c>
      <c r="D45" t="inlineStr">
        <is>
          <t>Infantry</t>
        </is>
      </c>
      <c r="E45" t="inlineStr">
        <is>
          <t>Plaguebearers</t>
        </is>
      </c>
      <c r="F45" t="inlineStr">
        <is>
          <t>10 models</t>
        </is>
      </c>
      <c r="G45" t="inlineStr">
        <is>
          <t>Infantry</t>
        </is>
      </c>
      <c r="L45" t="n">
        <v>115</v>
      </c>
      <c r="N45" t="inlineStr">
        <is>
          <t>Added from current Munitorum Field Manual v4.1 (non-Legends)</t>
        </is>
      </c>
      <c r="O45" t="inlineStr">
        <is>
          <t>https://www.warhammer-community.com/en-gb/downloads/warhammer-40000/</t>
        </is>
      </c>
    </row>
    <row r="46">
      <c r="A46" t="inlineStr">
        <is>
          <t>Death Guard</t>
        </is>
      </c>
      <c r="C46" t="inlineStr">
        <is>
          <t>Monster / Support</t>
        </is>
      </c>
      <c r="D46" t="inlineStr">
        <is>
          <t>Monster</t>
        </is>
      </c>
      <c r="E46" t="inlineStr">
        <is>
          <t>Rotigus</t>
        </is>
      </c>
      <c r="F46" t="inlineStr">
        <is>
          <t>1 model</t>
        </is>
      </c>
      <c r="G46" t="inlineStr">
        <is>
          <t>Monster</t>
        </is>
      </c>
      <c r="L46" t="n">
        <v>280</v>
      </c>
      <c r="N46" t="inlineStr">
        <is>
          <t>Added from current Munitorum Field Manual v4.1 (non-Legends)</t>
        </is>
      </c>
      <c r="O46"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Deathwatch</t>
        </is>
      </c>
      <c r="B2" t="inlineStr">
        <is>
          <t>Deathwatch</t>
        </is>
      </c>
      <c r="C2" t="inlineStr">
        <is>
          <t>Infantry / Other</t>
        </is>
      </c>
      <c r="D2" t="inlineStr">
        <is>
          <t>Infantry</t>
        </is>
      </c>
      <c r="E2" t="inlineStr">
        <is>
          <t>Corvus Blackstar</t>
        </is>
      </c>
      <c r="F2" t="inlineStr">
        <is>
          <t>1 model</t>
        </is>
      </c>
      <c r="G2" t="inlineStr">
        <is>
          <t>Infantry</t>
        </is>
      </c>
      <c r="L2" s="60" t="n">
        <v>180</v>
      </c>
      <c r="M2" s="54" t="str"/>
      <c r="N2" s="54" t="inlineStr">
        <is>
          <t>Matched to Munitorum Field Manual v2.3</t>
        </is>
      </c>
      <c r="O2" s="54" t="inlineStr">
        <is>
          <t>Uploaded PDF: Munitorum Field Manual v2.3 / March 2025, p.19</t>
        </is>
      </c>
    </row>
    <row r="3">
      <c r="A3" t="inlineStr">
        <is>
          <t>Deathwatch</t>
        </is>
      </c>
      <c r="B3" t="inlineStr">
        <is>
          <t>Deathwatch</t>
        </is>
      </c>
      <c r="C3" t="inlineStr">
        <is>
          <t>Infantry / Other</t>
        </is>
      </c>
      <c r="D3" t="inlineStr">
        <is>
          <t>Infantry</t>
        </is>
      </c>
      <c r="E3" t="inlineStr">
        <is>
          <t>Deathwatch Terminator Squad</t>
        </is>
      </c>
      <c r="F3" t="inlineStr">
        <is>
          <t>5 models</t>
        </is>
      </c>
      <c r="G3" t="inlineStr">
        <is>
          <t>Infantry</t>
        </is>
      </c>
      <c r="L3" s="60" t="n">
        <v>190</v>
      </c>
      <c r="M3" s="54" t="inlineStr">
        <is>
          <t>Points options: 5 models = 190 pts; 10 models = 350 pts</t>
        </is>
      </c>
      <c r="N3" s="54" t="inlineStr">
        <is>
          <t>Matched to Munitorum Field Manual v2.3</t>
        </is>
      </c>
      <c r="O3" s="54" t="inlineStr">
        <is>
          <t>Uploaded PDF: Munitorum Field Manual v2.3 / March 2025, p.19</t>
        </is>
      </c>
    </row>
    <row r="4">
      <c r="A4" t="inlineStr">
        <is>
          <t>Deathwatch</t>
        </is>
      </c>
      <c r="B4" t="inlineStr">
        <is>
          <t>Deathwatch</t>
        </is>
      </c>
      <c r="C4" t="inlineStr">
        <is>
          <t>Infantry / Other</t>
        </is>
      </c>
      <c r="D4" t="inlineStr">
        <is>
          <t>Infantry</t>
        </is>
      </c>
      <c r="E4" t="inlineStr">
        <is>
          <t>Fortis Kill Team</t>
        </is>
      </c>
      <c r="F4" t="inlineStr">
        <is>
          <t>10 models</t>
        </is>
      </c>
      <c r="G4" t="inlineStr">
        <is>
          <t>Infantry</t>
        </is>
      </c>
      <c r="L4" s="60" t="n">
        <v>200</v>
      </c>
      <c r="M4" s="54" t="str"/>
      <c r="N4" s="54" t="inlineStr">
        <is>
          <t>Matched to Munitorum Field Manual v2.3</t>
        </is>
      </c>
      <c r="O4" s="54" t="inlineStr">
        <is>
          <t>Uploaded PDF: Munitorum Field Manual v2.3 / March 2025, p.19</t>
        </is>
      </c>
    </row>
    <row r="5">
      <c r="A5" t="inlineStr">
        <is>
          <t>Deathwatch</t>
        </is>
      </c>
      <c r="B5" t="inlineStr">
        <is>
          <t>Deathwatch</t>
        </is>
      </c>
      <c r="C5" t="inlineStr">
        <is>
          <t>Infantry / Other</t>
        </is>
      </c>
      <c r="D5" t="inlineStr">
        <is>
          <t>Infantry</t>
        </is>
      </c>
      <c r="E5" t="inlineStr">
        <is>
          <t>Indomitor Kill Team</t>
        </is>
      </c>
      <c r="F5" t="inlineStr">
        <is>
          <t>10 models</t>
        </is>
      </c>
      <c r="G5" t="inlineStr">
        <is>
          <t>Infantry</t>
        </is>
      </c>
      <c r="L5" s="60" t="n">
        <v>270</v>
      </c>
      <c r="M5" s="54" t="str"/>
      <c r="N5" s="54" t="inlineStr">
        <is>
          <t>Matched to Munitorum Field Manual v2.3</t>
        </is>
      </c>
      <c r="O5" s="54" t="inlineStr">
        <is>
          <t>Uploaded PDF: Munitorum Field Manual v2.3 / March 2025, p.19</t>
        </is>
      </c>
    </row>
    <row r="6">
      <c r="A6" t="inlineStr">
        <is>
          <t>Deathwatch</t>
        </is>
      </c>
      <c r="B6" t="inlineStr">
        <is>
          <t>Deathwatch</t>
        </is>
      </c>
      <c r="C6" t="inlineStr">
        <is>
          <t>Infantry / Other</t>
        </is>
      </c>
      <c r="D6" t="inlineStr">
        <is>
          <t>Infantry</t>
        </is>
      </c>
      <c r="E6" t="inlineStr">
        <is>
          <t>Kill Team Cassius</t>
        </is>
      </c>
      <c r="G6" t="inlineStr">
        <is>
          <t>Infantry</t>
        </is>
      </c>
      <c r="L6" s="60" t="n"/>
      <c r="M6" s="54" t="inlineStr">
        <is>
          <t>No matching points entry found in uploaded PDF; verify unit name/current support.</t>
        </is>
      </c>
      <c r="N6" s="54" t="inlineStr">
        <is>
          <t>Not found in uploaded PDF</t>
        </is>
      </c>
      <c r="O6" s="54" t="inlineStr">
        <is>
          <t>Uploaded PDF: Munitorum Field Manual v2.3 / March 2025</t>
        </is>
      </c>
    </row>
    <row r="7">
      <c r="A7" t="inlineStr">
        <is>
          <t>Deathwatch</t>
        </is>
      </c>
      <c r="B7" t="inlineStr">
        <is>
          <t>Deathwatch</t>
        </is>
      </c>
      <c r="C7" t="inlineStr">
        <is>
          <t>Infantry / Other</t>
        </is>
      </c>
      <c r="D7" t="inlineStr">
        <is>
          <t>Infantry</t>
        </is>
      </c>
      <c r="E7" t="inlineStr">
        <is>
          <t>Proteus Kill Team</t>
        </is>
      </c>
      <c r="G7" t="inlineStr">
        <is>
          <t>Infantry</t>
        </is>
      </c>
      <c r="L7" s="60" t="n"/>
      <c r="M7" s="54" t="inlineStr">
        <is>
          <t>No matching points entry found in uploaded PDF; verify unit name/current support.</t>
        </is>
      </c>
      <c r="N7" s="54" t="inlineStr">
        <is>
          <t>Not found in uploaded PDF</t>
        </is>
      </c>
      <c r="O7" s="54" t="inlineStr">
        <is>
          <t>Uploaded PDF: Munitorum Field Manual v2.3 / March 2025</t>
        </is>
      </c>
    </row>
    <row r="8">
      <c r="A8" t="inlineStr">
        <is>
          <t>Deathwatch</t>
        </is>
      </c>
      <c r="B8" t="inlineStr">
        <is>
          <t>Deathwatch</t>
        </is>
      </c>
      <c r="C8" t="inlineStr">
        <is>
          <t>Infantry / Other</t>
        </is>
      </c>
      <c r="D8" t="inlineStr">
        <is>
          <t>Infantry</t>
        </is>
      </c>
      <c r="E8" t="inlineStr">
        <is>
          <t>Spectrus Kill Team</t>
        </is>
      </c>
      <c r="F8" t="inlineStr">
        <is>
          <t>10 models</t>
        </is>
      </c>
      <c r="G8" t="inlineStr">
        <is>
          <t>Infantry</t>
        </is>
      </c>
      <c r="L8" s="60" t="n">
        <v>200</v>
      </c>
      <c r="M8" s="54" t="str"/>
      <c r="N8" s="54" t="inlineStr">
        <is>
          <t>Matched to Munitorum Field Manual v2.3</t>
        </is>
      </c>
      <c r="O8" s="54" t="inlineStr">
        <is>
          <t>Uploaded PDF: Munitorum Field Manual v2.3 / March 2025, p.19</t>
        </is>
      </c>
    </row>
    <row r="9">
      <c r="A9" t="inlineStr">
        <is>
          <t>Deathwatch</t>
        </is>
      </c>
      <c r="B9" t="inlineStr">
        <is>
          <t>Deathwatch</t>
        </is>
      </c>
      <c r="C9" t="inlineStr">
        <is>
          <t>Infantry / Other</t>
        </is>
      </c>
      <c r="D9" t="inlineStr">
        <is>
          <t>Infantry</t>
        </is>
      </c>
      <c r="E9" t="inlineStr">
        <is>
          <t>Veteran Squad</t>
        </is>
      </c>
      <c r="G9" t="inlineStr">
        <is>
          <t>Infantry</t>
        </is>
      </c>
      <c r="L9" s="60" t="n"/>
      <c r="M9" s="54" t="inlineStr">
        <is>
          <t>No matching points entry found in uploaded PDF; verify unit name/current support.</t>
        </is>
      </c>
      <c r="N9" s="54" t="inlineStr">
        <is>
          <t>Not found in uploaded PDF</t>
        </is>
      </c>
      <c r="O9" s="54" t="inlineStr">
        <is>
          <t>Uploaded PDF: Munitorum Field Manual v2.3 / March 2025</t>
        </is>
      </c>
    </row>
    <row r="10">
      <c r="A10" t="inlineStr">
        <is>
          <t>Deathwatch</t>
        </is>
      </c>
      <c r="B10" t="inlineStr">
        <is>
          <t>Deathwatch</t>
        </is>
      </c>
      <c r="C10" t="inlineStr">
        <is>
          <t>Character</t>
        </is>
      </c>
      <c r="D10" t="inlineStr">
        <is>
          <t>Character</t>
        </is>
      </c>
      <c r="E10" t="inlineStr">
        <is>
          <t>Watch Captain Artemis</t>
        </is>
      </c>
      <c r="F10" t="inlineStr">
        <is>
          <t>1 model</t>
        </is>
      </c>
      <c r="G10" t="inlineStr">
        <is>
          <t>Character</t>
        </is>
      </c>
      <c r="L10" s="60" t="n">
        <v>65</v>
      </c>
      <c r="M10" s="54" t="str"/>
      <c r="N10" s="54" t="inlineStr">
        <is>
          <t>Matched to Munitorum Field Manual v2.3</t>
        </is>
      </c>
      <c r="O10" s="54" t="inlineStr">
        <is>
          <t>Uploaded PDF: Munitorum Field Manual v2.3 / March 2025, p.19</t>
        </is>
      </c>
    </row>
    <row r="11">
      <c r="A11" t="inlineStr">
        <is>
          <t>Deathwatch</t>
        </is>
      </c>
      <c r="B11" t="inlineStr">
        <is>
          <t>Deathwatch</t>
        </is>
      </c>
      <c r="C11" t="inlineStr">
        <is>
          <t>Character</t>
        </is>
      </c>
      <c r="D11" t="inlineStr">
        <is>
          <t>Character</t>
        </is>
      </c>
      <c r="E11" t="inlineStr">
        <is>
          <t>Watch Master</t>
        </is>
      </c>
      <c r="F11" t="inlineStr">
        <is>
          <t>1 model</t>
        </is>
      </c>
      <c r="G11" t="inlineStr">
        <is>
          <t>Character</t>
        </is>
      </c>
      <c r="L11" s="60" t="n">
        <v>105</v>
      </c>
      <c r="M11" s="54" t="str"/>
      <c r="N11" s="54" t="inlineStr">
        <is>
          <t>Matched to Munitorum Field Manual v2.3</t>
        </is>
      </c>
      <c r="O11" s="54" t="inlineStr">
        <is>
          <t>Uploaded PDF: Munitorum Field Manual v2.3 / March 2025, p.19</t>
        </is>
      </c>
    </row>
    <row r="12">
      <c r="A12" t="inlineStr">
        <is>
          <t>Deathwatch</t>
        </is>
      </c>
      <c r="B12" t="inlineStr">
        <is>
          <t>Deathwatch</t>
        </is>
      </c>
      <c r="C12" t="inlineStr">
        <is>
          <t>Infantry / Other</t>
        </is>
      </c>
      <c r="D12" t="inlineStr">
        <is>
          <t>Infantry</t>
        </is>
      </c>
      <c r="E12" t="inlineStr">
        <is>
          <t>Decimus Kill Team</t>
        </is>
      </c>
      <c r="F12" t="inlineStr">
        <is>
          <t>5 models</t>
        </is>
      </c>
      <c r="G12" t="inlineStr">
        <is>
          <t>Infantry</t>
        </is>
      </c>
      <c r="L12" t="n">
        <v>100</v>
      </c>
      <c r="N12" t="inlineStr">
        <is>
          <t>Added from current Munitorum Field Manual v4.1 (non-Legends)</t>
        </is>
      </c>
      <c r="O12" t="inlineStr">
        <is>
          <t>https://www.warhammer-community.com/en-gb/downloads/warhammer-40000/</t>
        </is>
      </c>
    </row>
    <row r="13">
      <c r="A13" t="inlineStr">
        <is>
          <t>Deathwatch</t>
        </is>
      </c>
      <c r="B13" t="inlineStr">
        <is>
          <t>Deathwatch</t>
        </is>
      </c>
      <c r="C13" t="inlineStr">
        <is>
          <t>Infantry / Other</t>
        </is>
      </c>
      <c r="D13" t="inlineStr">
        <is>
          <t>Infantry</t>
        </is>
      </c>
      <c r="E13" t="inlineStr">
        <is>
          <t>Talonstrike Kill Team</t>
        </is>
      </c>
      <c r="F13" t="inlineStr">
        <is>
          <t>10 models</t>
        </is>
      </c>
      <c r="G13" t="inlineStr">
        <is>
          <t>Infantry</t>
        </is>
      </c>
      <c r="L13" t="n">
        <v>265</v>
      </c>
      <c r="M13" t="inlineStr">
        <is>
          <t>Your 1st To 2nd Units Cost: 10 models = 265 pts | Your 3rd + Unit Costs: 10 models = 280 pts</t>
        </is>
      </c>
      <c r="N13" t="inlineStr">
        <is>
          <t>Added from current Munitorum Field Manual v4.1 (non-Legends)</t>
        </is>
      </c>
      <c r="O1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Drukhari</t>
        </is>
      </c>
      <c r="C2" t="inlineStr">
        <is>
          <t>Character</t>
        </is>
      </c>
      <c r="D2" t="inlineStr">
        <is>
          <t>Character</t>
        </is>
      </c>
      <c r="E2" t="inlineStr">
        <is>
          <t>Archon</t>
        </is>
      </c>
      <c r="F2" t="inlineStr">
        <is>
          <t>1 model</t>
        </is>
      </c>
      <c r="G2" t="inlineStr">
        <is>
          <t>Character</t>
        </is>
      </c>
      <c r="L2" s="60" t="n">
        <v>85</v>
      </c>
      <c r="M2" s="54" t="str"/>
      <c r="N2" s="54" t="inlineStr">
        <is>
          <t>Matched to Munitorum Field Manual v2.3</t>
        </is>
      </c>
      <c r="O2" s="54" t="inlineStr">
        <is>
          <t>Uploaded PDF: Munitorum Field Manual v2.3 / March 2025, p.20</t>
        </is>
      </c>
    </row>
    <row r="3">
      <c r="A3" t="inlineStr">
        <is>
          <t>Drukhari</t>
        </is>
      </c>
      <c r="C3" t="inlineStr">
        <is>
          <t>Character</t>
        </is>
      </c>
      <c r="D3" t="inlineStr">
        <is>
          <t>Character</t>
        </is>
      </c>
      <c r="E3" t="inlineStr">
        <is>
          <t>Beastmaster</t>
        </is>
      </c>
      <c r="F3" t="inlineStr">
        <is>
          <t>7 models</t>
        </is>
      </c>
      <c r="G3" t="inlineStr">
        <is>
          <t>Character</t>
        </is>
      </c>
      <c r="L3" s="60" t="n">
        <v>120</v>
      </c>
      <c r="M3" s="54" t="str"/>
      <c r="N3" s="54" t="inlineStr">
        <is>
          <t>Matched to Munitorum Field Manual v2.3</t>
        </is>
      </c>
      <c r="O3" s="54" t="inlineStr">
        <is>
          <t>Uploaded PDF: Munitorum Field Manual v2.3 / March 2025, p.20</t>
        </is>
      </c>
    </row>
    <row r="4">
      <c r="A4" t="inlineStr">
        <is>
          <t>Drukhari</t>
        </is>
      </c>
      <c r="C4" t="inlineStr">
        <is>
          <t>Infantry / Other</t>
        </is>
      </c>
      <c r="D4" t="inlineStr">
        <is>
          <t>Infantry</t>
        </is>
      </c>
      <c r="E4" t="inlineStr">
        <is>
          <t>Cronos</t>
        </is>
      </c>
      <c r="F4" t="inlineStr">
        <is>
          <t>1 model</t>
        </is>
      </c>
      <c r="G4" t="inlineStr">
        <is>
          <t>Infantry</t>
        </is>
      </c>
      <c r="L4" s="60" t="n">
        <v>50</v>
      </c>
      <c r="M4" s="54" t="inlineStr">
        <is>
          <t>Points options: 1 model = 50 pts; 2 models = 100 pts</t>
        </is>
      </c>
      <c r="N4" s="54" t="inlineStr">
        <is>
          <t>Matched to Munitorum Field Manual v2.3</t>
        </is>
      </c>
      <c r="O4" s="54" t="inlineStr">
        <is>
          <t>Uploaded PDF: Munitorum Field Manual v2.3 / March 2025, p.20</t>
        </is>
      </c>
    </row>
    <row r="5">
      <c r="A5" t="inlineStr">
        <is>
          <t>Drukhari</t>
        </is>
      </c>
      <c r="C5" t="inlineStr">
        <is>
          <t>Infantry / Other</t>
        </is>
      </c>
      <c r="D5" t="inlineStr">
        <is>
          <t>Infantry</t>
        </is>
      </c>
      <c r="E5" t="inlineStr">
        <is>
          <t>Drazhar</t>
        </is>
      </c>
      <c r="F5" t="inlineStr">
        <is>
          <t>1 model</t>
        </is>
      </c>
      <c r="G5" t="inlineStr">
        <is>
          <t>Infantry</t>
        </is>
      </c>
      <c r="L5" s="60" t="n">
        <v>85</v>
      </c>
      <c r="M5" s="54" t="str"/>
      <c r="N5" s="54" t="inlineStr">
        <is>
          <t>Matched to Munitorum Field Manual v2.3</t>
        </is>
      </c>
      <c r="O5" s="54" t="inlineStr">
        <is>
          <t>Uploaded PDF: Munitorum Field Manual v2.3 / March 2025, p.20</t>
        </is>
      </c>
    </row>
    <row r="6">
      <c r="A6" t="inlineStr">
        <is>
          <t>Drukhari</t>
        </is>
      </c>
      <c r="C6" t="inlineStr">
        <is>
          <t>Infantry / Other</t>
        </is>
      </c>
      <c r="D6" t="inlineStr">
        <is>
          <t>Infantry</t>
        </is>
      </c>
      <c r="E6" t="inlineStr">
        <is>
          <t>Grotesques</t>
        </is>
      </c>
      <c r="F6" t="inlineStr">
        <is>
          <t>3 models</t>
        </is>
      </c>
      <c r="G6" t="inlineStr">
        <is>
          <t>Infantry</t>
        </is>
      </c>
      <c r="L6" s="60" t="n">
        <v>80</v>
      </c>
      <c r="M6" s="54" t="inlineStr">
        <is>
          <t>Points options: 3 models = 80 pts; 6 models = 170 pts</t>
        </is>
      </c>
      <c r="N6" s="54" t="inlineStr">
        <is>
          <t>Matched to Munitorum Field Manual v2.3</t>
        </is>
      </c>
      <c r="O6" s="54" t="inlineStr">
        <is>
          <t>Uploaded PDF: Munitorum Field Manual v2.3 / March 2025, p.20</t>
        </is>
      </c>
    </row>
    <row r="7">
      <c r="A7" t="inlineStr">
        <is>
          <t>Drukhari</t>
        </is>
      </c>
      <c r="C7" t="inlineStr">
        <is>
          <t>Character</t>
        </is>
      </c>
      <c r="D7" t="inlineStr">
        <is>
          <t>Character</t>
        </is>
      </c>
      <c r="E7" t="inlineStr">
        <is>
          <t>Haemonculus</t>
        </is>
      </c>
      <c r="F7" t="inlineStr">
        <is>
          <t>1 model</t>
        </is>
      </c>
      <c r="G7" t="inlineStr">
        <is>
          <t>Character</t>
        </is>
      </c>
      <c r="L7" s="60" t="n">
        <v>60</v>
      </c>
      <c r="M7" s="54" t="str"/>
      <c r="N7" s="54" t="inlineStr">
        <is>
          <t>Matched to Munitorum Field Manual v2.3</t>
        </is>
      </c>
      <c r="O7" s="54" t="inlineStr">
        <is>
          <t>Uploaded PDF: Munitorum Field Manual v2.3 / March 2025, p.20</t>
        </is>
      </c>
    </row>
    <row r="8">
      <c r="A8" t="inlineStr">
        <is>
          <t>Drukhari</t>
        </is>
      </c>
      <c r="C8" t="inlineStr">
        <is>
          <t>Infantry / Other</t>
        </is>
      </c>
      <c r="D8" t="inlineStr">
        <is>
          <t>Infantry</t>
        </is>
      </c>
      <c r="E8" t="inlineStr">
        <is>
          <t>Hellions</t>
        </is>
      </c>
      <c r="F8" t="inlineStr">
        <is>
          <t>5 models</t>
        </is>
      </c>
      <c r="G8" t="inlineStr">
        <is>
          <t>Infantry, Epic Hero</t>
        </is>
      </c>
      <c r="L8" s="60" t="n">
        <v>75</v>
      </c>
      <c r="M8" s="54" t="inlineStr">
        <is>
          <t>Points options: 5 models = 75 pts; 10 models = 150 pts</t>
        </is>
      </c>
      <c r="N8" s="54" t="inlineStr">
        <is>
          <t>Matched to Munitorum Field Manual v2.3</t>
        </is>
      </c>
      <c r="O8" s="54" t="inlineStr">
        <is>
          <t>Uploaded PDF: Munitorum Field Manual v2.3 / March 2025, p.20</t>
        </is>
      </c>
    </row>
    <row r="9">
      <c r="A9" t="inlineStr">
        <is>
          <t>Drukhari</t>
        </is>
      </c>
      <c r="C9" t="inlineStr">
        <is>
          <t>Infantry / Other</t>
        </is>
      </c>
      <c r="D9" t="inlineStr">
        <is>
          <t>Infantry</t>
        </is>
      </c>
      <c r="E9" t="inlineStr">
        <is>
          <t>Incubi</t>
        </is>
      </c>
      <c r="F9" t="inlineStr">
        <is>
          <t>5 models</t>
        </is>
      </c>
      <c r="G9" t="inlineStr">
        <is>
          <t>Infantry</t>
        </is>
      </c>
      <c r="L9" s="60" t="n">
        <v>85</v>
      </c>
      <c r="M9" s="54" t="inlineStr">
        <is>
          <t>Points options: 5 models = 85 pts; 10 models = 170 pts</t>
        </is>
      </c>
      <c r="N9" s="54" t="inlineStr">
        <is>
          <t>Matched to Munitorum Field Manual v2.3</t>
        </is>
      </c>
      <c r="O9" s="54" t="inlineStr">
        <is>
          <t>Uploaded PDF: Munitorum Field Manual v2.3 / March 2025, p.20</t>
        </is>
      </c>
    </row>
    <row r="10">
      <c r="A10" t="inlineStr">
        <is>
          <t>Drukhari</t>
        </is>
      </c>
      <c r="C10" t="inlineStr">
        <is>
          <t>Battleline / Core</t>
        </is>
      </c>
      <c r="D10" t="inlineStr">
        <is>
          <t>Infantry</t>
        </is>
      </c>
      <c r="E10" t="inlineStr">
        <is>
          <t>Kabalite Warriors</t>
        </is>
      </c>
      <c r="F10" t="inlineStr">
        <is>
          <t>10 models</t>
        </is>
      </c>
      <c r="G10" t="inlineStr">
        <is>
          <t>Infantry</t>
        </is>
      </c>
      <c r="L10" s="60" t="n">
        <v>100</v>
      </c>
      <c r="M10" s="54" t="str"/>
      <c r="N10" s="54" t="inlineStr">
        <is>
          <t>Matched to Munitorum Field Manual v2.3</t>
        </is>
      </c>
      <c r="O10" s="54" t="inlineStr">
        <is>
          <t>Uploaded PDF: Munitorum Field Manual v2.3 / March 2025, p.20</t>
        </is>
      </c>
    </row>
    <row r="11">
      <c r="A11" t="inlineStr">
        <is>
          <t>Drukhari</t>
        </is>
      </c>
      <c r="C11" t="inlineStr">
        <is>
          <t>Infantry / Other</t>
        </is>
      </c>
      <c r="D11" t="inlineStr">
        <is>
          <t>Infantry</t>
        </is>
      </c>
      <c r="E11" t="inlineStr">
        <is>
          <t>Lelith Hesperax</t>
        </is>
      </c>
      <c r="F11" t="inlineStr">
        <is>
          <t>1 model</t>
        </is>
      </c>
      <c r="G11" t="inlineStr">
        <is>
          <t>Infantry</t>
        </is>
      </c>
      <c r="L11" s="60" t="n">
        <v>95</v>
      </c>
      <c r="M11" s="54" t="str"/>
      <c r="N11" s="54" t="inlineStr">
        <is>
          <t>Matched to Munitorum Field Manual v2.3</t>
        </is>
      </c>
      <c r="O11" s="54" t="inlineStr">
        <is>
          <t>Uploaded PDF: Munitorum Field Manual v2.3 / March 2025, p.20</t>
        </is>
      </c>
    </row>
    <row r="12">
      <c r="A12" t="inlineStr">
        <is>
          <t>Drukhari</t>
        </is>
      </c>
      <c r="C12" t="inlineStr">
        <is>
          <t>Infantry / Other</t>
        </is>
      </c>
      <c r="D12" t="inlineStr">
        <is>
          <t>Infantry</t>
        </is>
      </c>
      <c r="E12" t="inlineStr">
        <is>
          <t>Mandrakes</t>
        </is>
      </c>
      <c r="F12" t="inlineStr">
        <is>
          <t>5 models</t>
        </is>
      </c>
      <c r="G12" t="inlineStr">
        <is>
          <t>Infantry</t>
        </is>
      </c>
      <c r="L12" s="60" t="n">
        <v>70</v>
      </c>
      <c r="M12" s="54" t="inlineStr">
        <is>
          <t>Points options: 5 models = 70 pts; 10 models = 130 pts</t>
        </is>
      </c>
      <c r="N12" s="54" t="inlineStr">
        <is>
          <t>Matched to Munitorum Field Manual v2.3</t>
        </is>
      </c>
      <c r="O12" s="54" t="inlineStr">
        <is>
          <t>Uploaded PDF: Munitorum Field Manual v2.3 / March 2025, p.20</t>
        </is>
      </c>
    </row>
    <row r="13">
      <c r="A13" t="inlineStr">
        <is>
          <t>Drukhari</t>
        </is>
      </c>
      <c r="C13" t="inlineStr">
        <is>
          <t>Vehicle / Support</t>
        </is>
      </c>
      <c r="D13" t="inlineStr">
        <is>
          <t>Vehicle</t>
        </is>
      </c>
      <c r="E13" t="inlineStr">
        <is>
          <t>Raider</t>
        </is>
      </c>
      <c r="F13" t="inlineStr">
        <is>
          <t>1 model</t>
        </is>
      </c>
      <c r="G13" t="inlineStr">
        <is>
          <t>Vehicle</t>
        </is>
      </c>
      <c r="L13" s="60" t="n">
        <v>80</v>
      </c>
      <c r="M13" s="54" t="str"/>
      <c r="N13" s="54" t="inlineStr">
        <is>
          <t>Matched to Munitorum Field Manual v2.3</t>
        </is>
      </c>
      <c r="O13" s="54" t="inlineStr">
        <is>
          <t>Uploaded PDF: Munitorum Field Manual v2.3 / March 2025, p.20</t>
        </is>
      </c>
    </row>
    <row r="14">
      <c r="A14" t="inlineStr">
        <is>
          <t>Drukhari</t>
        </is>
      </c>
      <c r="C14" t="inlineStr">
        <is>
          <t>Vehicle / Support</t>
        </is>
      </c>
      <c r="D14" t="inlineStr">
        <is>
          <t>Vehicle</t>
        </is>
      </c>
      <c r="E14" t="inlineStr">
        <is>
          <t>Ravager</t>
        </is>
      </c>
      <c r="F14" t="inlineStr">
        <is>
          <t>1 model</t>
        </is>
      </c>
      <c r="G14" t="inlineStr">
        <is>
          <t>Vehicle</t>
        </is>
      </c>
      <c r="L14" s="60" t="n">
        <v>110</v>
      </c>
      <c r="M14" s="54" t="str"/>
      <c r="N14" s="54" t="inlineStr">
        <is>
          <t>Matched to Munitorum Field Manual v2.3</t>
        </is>
      </c>
      <c r="O14" s="54" t="inlineStr">
        <is>
          <t>Uploaded PDF: Munitorum Field Manual v2.3 / March 2025, p.20</t>
        </is>
      </c>
    </row>
    <row r="15">
      <c r="A15" t="inlineStr">
        <is>
          <t>Drukhari</t>
        </is>
      </c>
      <c r="C15" t="inlineStr">
        <is>
          <t>Vehicle / Support</t>
        </is>
      </c>
      <c r="D15" t="inlineStr">
        <is>
          <t>Aircraft</t>
        </is>
      </c>
      <c r="E15" t="inlineStr">
        <is>
          <t>Razorwing Jetfighter</t>
        </is>
      </c>
      <c r="F15" t="inlineStr">
        <is>
          <t>1 model</t>
        </is>
      </c>
      <c r="G15" t="inlineStr">
        <is>
          <t>Aircraft</t>
        </is>
      </c>
      <c r="L15" s="60" t="n">
        <v>170</v>
      </c>
      <c r="M15" s="54" t="str"/>
      <c r="N15" s="54" t="inlineStr">
        <is>
          <t>Matched to Munitorum Field Manual v2.3</t>
        </is>
      </c>
      <c r="O15" s="54" t="inlineStr">
        <is>
          <t>Uploaded PDF: Munitorum Field Manual v2.3 / March 2025, p.20</t>
        </is>
      </c>
    </row>
    <row r="16">
      <c r="A16" t="inlineStr">
        <is>
          <t>Drukhari</t>
        </is>
      </c>
      <c r="C16" t="inlineStr">
        <is>
          <t>Infantry / Other</t>
        </is>
      </c>
      <c r="D16" t="inlineStr">
        <is>
          <t>Mounted / Bike</t>
        </is>
      </c>
      <c r="E16" t="inlineStr">
        <is>
          <t>Reavers</t>
        </is>
      </c>
      <c r="F16" t="inlineStr">
        <is>
          <t>3 models</t>
        </is>
      </c>
      <c r="G16" t="inlineStr">
        <is>
          <t>Mounted / Bike</t>
        </is>
      </c>
      <c r="L16" s="60" t="n">
        <v>65</v>
      </c>
      <c r="M16" s="54" t="inlineStr">
        <is>
          <t>Points options: 3 models = 65 pts; 6 models = 120 pts</t>
        </is>
      </c>
      <c r="N16" s="54" t="inlineStr">
        <is>
          <t>Matched to Munitorum Field Manual v2.3</t>
        </is>
      </c>
      <c r="O16" s="54" t="inlineStr">
        <is>
          <t>Uploaded PDF: Munitorum Field Manual v2.3 / March 2025, p.20</t>
        </is>
      </c>
    </row>
    <row r="17">
      <c r="A17" t="inlineStr">
        <is>
          <t>Drukhari</t>
        </is>
      </c>
      <c r="C17" t="inlineStr">
        <is>
          <t>Infantry / Other</t>
        </is>
      </c>
      <c r="D17" t="inlineStr">
        <is>
          <t>Infantry</t>
        </is>
      </c>
      <c r="E17" t="inlineStr">
        <is>
          <t>Scourges</t>
        </is>
      </c>
      <c r="F17" t="inlineStr">
        <is>
          <t>5 models</t>
        </is>
      </c>
      <c r="G17" t="inlineStr">
        <is>
          <t>Infantry</t>
        </is>
      </c>
      <c r="L17" s="60" t="n">
        <v>130</v>
      </c>
      <c r="M17" s="54" t="inlineStr">
        <is>
          <t>Points options: 5 models = 130 pts; 10 models = 180 pts</t>
        </is>
      </c>
      <c r="N17" s="54" t="inlineStr">
        <is>
          <t>Matched to Munitorum Field Manual v2.3</t>
        </is>
      </c>
      <c r="O17" s="54" t="inlineStr">
        <is>
          <t>Uploaded PDF: Munitorum Field Manual v2.3 / March 2025, p.20</t>
        </is>
      </c>
    </row>
    <row r="18">
      <c r="A18" t="inlineStr">
        <is>
          <t>Drukhari</t>
        </is>
      </c>
      <c r="C18" t="inlineStr">
        <is>
          <t>Character</t>
        </is>
      </c>
      <c r="D18" t="inlineStr">
        <is>
          <t>Character</t>
        </is>
      </c>
      <c r="E18" t="inlineStr">
        <is>
          <t>Succubus</t>
        </is>
      </c>
      <c r="F18" t="inlineStr">
        <is>
          <t>1 model</t>
        </is>
      </c>
      <c r="G18" t="inlineStr">
        <is>
          <t>Character</t>
        </is>
      </c>
      <c r="L18" s="60" t="n">
        <v>45</v>
      </c>
      <c r="M18" s="54" t="str"/>
      <c r="N18" s="54" t="inlineStr">
        <is>
          <t>Matched to Munitorum Field Manual v2.3</t>
        </is>
      </c>
      <c r="O18" s="54" t="inlineStr">
        <is>
          <t>Uploaded PDF: Munitorum Field Manual v2.3 / March 2025, p.20</t>
        </is>
      </c>
    </row>
    <row r="19">
      <c r="A19" t="inlineStr">
        <is>
          <t>Drukhari</t>
        </is>
      </c>
      <c r="C19" t="inlineStr">
        <is>
          <t>Infantry / Other</t>
        </is>
      </c>
      <c r="D19" t="inlineStr">
        <is>
          <t>Infantry</t>
        </is>
      </c>
      <c r="E19" t="inlineStr">
        <is>
          <t>Talos</t>
        </is>
      </c>
      <c r="F19" t="inlineStr">
        <is>
          <t>1 model</t>
        </is>
      </c>
      <c r="G19" t="inlineStr">
        <is>
          <t>Infantry</t>
        </is>
      </c>
      <c r="L19" s="60" t="n">
        <v>80</v>
      </c>
      <c r="M19" s="54" t="inlineStr">
        <is>
          <t>Points options: 1 model = 80 pts; 2 models = 160 pts</t>
        </is>
      </c>
      <c r="N19" s="54" t="inlineStr">
        <is>
          <t>Matched to Munitorum Field Manual v2.3</t>
        </is>
      </c>
      <c r="O19" s="54" t="inlineStr">
        <is>
          <t>Uploaded PDF: Munitorum Field Manual v2.3 / March 2025, p.20</t>
        </is>
      </c>
    </row>
    <row r="20">
      <c r="A20" t="inlineStr">
        <is>
          <t>Drukhari</t>
        </is>
      </c>
      <c r="C20" t="inlineStr">
        <is>
          <t>Vehicle / Support</t>
        </is>
      </c>
      <c r="D20" t="inlineStr">
        <is>
          <t>Vehicle</t>
        </is>
      </c>
      <c r="E20" t="inlineStr">
        <is>
          <t>Tantalus</t>
        </is>
      </c>
      <c r="G20" t="inlineStr">
        <is>
          <t>Vehicle</t>
        </is>
      </c>
      <c r="L20" s="60" t="n"/>
      <c r="M20" s="54" t="inlineStr">
        <is>
          <t>No matching points entry found in uploaded PDF; verify unit name/current support.</t>
        </is>
      </c>
      <c r="N20" s="54" t="inlineStr">
        <is>
          <t>Not found in uploaded PDF</t>
        </is>
      </c>
      <c r="O20" s="54" t="inlineStr">
        <is>
          <t>Uploaded PDF: Munitorum Field Manual v2.3 / March 2025</t>
        </is>
      </c>
    </row>
    <row r="21">
      <c r="A21" t="inlineStr">
        <is>
          <t>Drukhari</t>
        </is>
      </c>
      <c r="C21" t="inlineStr">
        <is>
          <t>Infantry / Other</t>
        </is>
      </c>
      <c r="D21" t="inlineStr">
        <is>
          <t>Infantry</t>
        </is>
      </c>
      <c r="E21" t="inlineStr">
        <is>
          <t>Urien Rakarth</t>
        </is>
      </c>
      <c r="F21" t="inlineStr">
        <is>
          <t>1 model</t>
        </is>
      </c>
      <c r="G21" t="inlineStr">
        <is>
          <t>Infantry</t>
        </is>
      </c>
      <c r="L21" s="60" t="n">
        <v>80</v>
      </c>
      <c r="M21" s="54" t="str"/>
      <c r="N21" s="54" t="inlineStr">
        <is>
          <t>Matched to Munitorum Field Manual v2.3</t>
        </is>
      </c>
      <c r="O21" s="54" t="inlineStr">
        <is>
          <t>Uploaded PDF: Munitorum Field Manual v2.3 / March 2025, p.20</t>
        </is>
      </c>
    </row>
    <row r="22">
      <c r="A22" t="inlineStr">
        <is>
          <t>Drukhari</t>
        </is>
      </c>
      <c r="C22" t="inlineStr">
        <is>
          <t>Vehicle / Support</t>
        </is>
      </c>
      <c r="D22" t="inlineStr">
        <is>
          <t>Vehicle</t>
        </is>
      </c>
      <c r="E22" t="inlineStr">
        <is>
          <t>Venom</t>
        </is>
      </c>
      <c r="F22" t="inlineStr">
        <is>
          <t>1 model</t>
        </is>
      </c>
      <c r="G22" t="inlineStr">
        <is>
          <t>Vehicle</t>
        </is>
      </c>
      <c r="L22" s="60" t="n">
        <v>70</v>
      </c>
      <c r="M22" s="54" t="str"/>
      <c r="N22" s="54" t="inlineStr">
        <is>
          <t>Matched to Munitorum Field Manual v2.3</t>
        </is>
      </c>
      <c r="O22" s="54" t="inlineStr">
        <is>
          <t>Uploaded PDF: Munitorum Field Manual v2.3 / March 2025, p.20</t>
        </is>
      </c>
    </row>
    <row r="23">
      <c r="A23" t="inlineStr">
        <is>
          <t>Drukhari</t>
        </is>
      </c>
      <c r="C23" t="inlineStr">
        <is>
          <t>Vehicle / Support</t>
        </is>
      </c>
      <c r="D23" t="inlineStr">
        <is>
          <t>Aircraft</t>
        </is>
      </c>
      <c r="E23" t="inlineStr">
        <is>
          <t>Voidraven Bomber</t>
        </is>
      </c>
      <c r="F23" t="inlineStr">
        <is>
          <t>1 model</t>
        </is>
      </c>
      <c r="G23" t="inlineStr">
        <is>
          <t>Aircraft</t>
        </is>
      </c>
      <c r="L23" s="60" t="n">
        <v>235</v>
      </c>
      <c r="M23" s="54" t="str"/>
      <c r="N23" s="54" t="inlineStr">
        <is>
          <t>Matched to Munitorum Field Manual v2.3</t>
        </is>
      </c>
      <c r="O23" s="54" t="inlineStr">
        <is>
          <t>Uploaded PDF: Munitorum Field Manual v2.3 / March 2025, p.20</t>
        </is>
      </c>
    </row>
    <row r="24">
      <c r="A24" t="inlineStr">
        <is>
          <t>Drukhari</t>
        </is>
      </c>
      <c r="C24" t="inlineStr">
        <is>
          <t>Infantry / Other</t>
        </is>
      </c>
      <c r="D24" t="inlineStr">
        <is>
          <t>Infantry</t>
        </is>
      </c>
      <c r="E24" t="inlineStr">
        <is>
          <t>Voidweaver</t>
        </is>
      </c>
      <c r="G24" t="inlineStr">
        <is>
          <t>Infantry</t>
        </is>
      </c>
      <c r="L24" s="60" t="n"/>
      <c r="M24" s="54" t="inlineStr">
        <is>
          <t>No matching points entry found in uploaded PDF; verify unit name/current support.</t>
        </is>
      </c>
      <c r="N24" s="54" t="inlineStr">
        <is>
          <t>Not found in uploaded PDF</t>
        </is>
      </c>
      <c r="O24" s="54" t="inlineStr">
        <is>
          <t>Uploaded PDF: Munitorum Field Manual v2.3 / March 2025</t>
        </is>
      </c>
    </row>
    <row r="25">
      <c r="A25" t="inlineStr">
        <is>
          <t>Drukhari</t>
        </is>
      </c>
      <c r="C25" t="inlineStr">
        <is>
          <t>Infantry / Other</t>
        </is>
      </c>
      <c r="D25" t="inlineStr">
        <is>
          <t>Beast / Swarm</t>
        </is>
      </c>
      <c r="E25" t="inlineStr">
        <is>
          <t>Warp Beasts</t>
        </is>
      </c>
      <c r="G25" t="inlineStr">
        <is>
          <t>Beast / Swarm</t>
        </is>
      </c>
      <c r="L25" s="60" t="n"/>
      <c r="M25" s="54" t="inlineStr">
        <is>
          <t>No matching points entry found in uploaded PDF; verify unit name/current support.</t>
        </is>
      </c>
      <c r="N25" s="54" t="inlineStr">
        <is>
          <t>Not found in uploaded PDF</t>
        </is>
      </c>
      <c r="O25" s="54" t="inlineStr">
        <is>
          <t>Uploaded PDF: Munitorum Field Manual v2.3 / March 2025</t>
        </is>
      </c>
    </row>
    <row r="26">
      <c r="A26" t="inlineStr">
        <is>
          <t>Drukhari</t>
        </is>
      </c>
      <c r="C26" t="inlineStr">
        <is>
          <t>Infantry / Other</t>
        </is>
      </c>
      <c r="D26" t="inlineStr">
        <is>
          <t>Infantry</t>
        </is>
      </c>
      <c r="E26" t="inlineStr">
        <is>
          <t>Wracks</t>
        </is>
      </c>
      <c r="F26" t="inlineStr">
        <is>
          <t>5 models</t>
        </is>
      </c>
      <c r="G26" t="inlineStr">
        <is>
          <t>Infantry</t>
        </is>
      </c>
      <c r="L26" s="60" t="n">
        <v>55</v>
      </c>
      <c r="M26" s="54" t="inlineStr">
        <is>
          <t>Points options: 5 models = 55 pts; 10 models = 110 pts</t>
        </is>
      </c>
      <c r="N26" s="54" t="inlineStr">
        <is>
          <t>Matched to Munitorum Field Manual v2.3</t>
        </is>
      </c>
      <c r="O26" s="54" t="inlineStr">
        <is>
          <t>Uploaded PDF: Munitorum Field Manual v2.3 / March 2025, p.20</t>
        </is>
      </c>
    </row>
    <row r="27">
      <c r="A27" t="inlineStr">
        <is>
          <t>Drukhari</t>
        </is>
      </c>
      <c r="C27" t="inlineStr">
        <is>
          <t>Battleline / Core</t>
        </is>
      </c>
      <c r="D27" t="inlineStr">
        <is>
          <t>Infantry</t>
        </is>
      </c>
      <c r="E27" t="inlineStr">
        <is>
          <t>Wyches</t>
        </is>
      </c>
      <c r="F27" t="inlineStr">
        <is>
          <t>10 models</t>
        </is>
      </c>
      <c r="G27" t="inlineStr">
        <is>
          <t>Infantry</t>
        </is>
      </c>
      <c r="L27" s="60" t="n">
        <v>80</v>
      </c>
      <c r="M27" s="54" t="str"/>
      <c r="N27" s="54" t="inlineStr">
        <is>
          <t>Matched to Munitorum Field Manual v2.3</t>
        </is>
      </c>
      <c r="O27" s="54" t="inlineStr">
        <is>
          <t>Uploaded PDF: Munitorum Field Manual v2.3 / March 2025, p.20</t>
        </is>
      </c>
    </row>
    <row r="28">
      <c r="A28" t="inlineStr">
        <is>
          <t>Drukhari</t>
        </is>
      </c>
      <c r="C28" t="inlineStr">
        <is>
          <t>Infantry / Other</t>
        </is>
      </c>
      <c r="D28" t="inlineStr">
        <is>
          <t>Infantry</t>
        </is>
      </c>
      <c r="E28" t="inlineStr">
        <is>
          <t>Hand Of The Archon</t>
        </is>
      </c>
      <c r="F28" t="inlineStr">
        <is>
          <t>10 models</t>
        </is>
      </c>
      <c r="G28" t="inlineStr">
        <is>
          <t>Infantry</t>
        </is>
      </c>
      <c r="L28" t="n">
        <v>115</v>
      </c>
      <c r="N28" t="inlineStr">
        <is>
          <t>Added from current Munitorum Field Manual v4.1 (non-Legends)</t>
        </is>
      </c>
      <c r="O28" t="inlineStr">
        <is>
          <t>https://www.warhammer-community.com/en-gb/downloads/warhammer-40000/</t>
        </is>
      </c>
    </row>
    <row r="29">
      <c r="A29" t="inlineStr">
        <is>
          <t>Drukhari</t>
        </is>
      </c>
      <c r="C29" t="inlineStr">
        <is>
          <t>Character</t>
        </is>
      </c>
      <c r="D29" t="inlineStr">
        <is>
          <t>Character</t>
        </is>
      </c>
      <c r="E29" t="inlineStr">
        <is>
          <t>Lady Malys</t>
        </is>
      </c>
      <c r="F29" t="inlineStr">
        <is>
          <t>1 model</t>
        </is>
      </c>
      <c r="G29" t="inlineStr">
        <is>
          <t>Character</t>
        </is>
      </c>
      <c r="L29" t="n">
        <v>100</v>
      </c>
      <c r="N29" t="inlineStr">
        <is>
          <t>Added from current Munitorum Field Manual v4.1 (non-Legends)</t>
        </is>
      </c>
      <c r="O29" t="inlineStr">
        <is>
          <t>https://www.warhammer-community.com/en-gb/downloads/warhammer-40000/</t>
        </is>
      </c>
    </row>
    <row r="30">
      <c r="A30" t="inlineStr">
        <is>
          <t>Drukhari</t>
        </is>
      </c>
      <c r="C30" t="inlineStr">
        <is>
          <t>Infantry / Other</t>
        </is>
      </c>
      <c r="D30" t="inlineStr">
        <is>
          <t>Infantry</t>
        </is>
      </c>
      <c r="E30" t="inlineStr">
        <is>
          <t>Scourges With Heavy Weapons</t>
        </is>
      </c>
      <c r="F30" t="inlineStr">
        <is>
          <t>5 models</t>
        </is>
      </c>
      <c r="G30" t="inlineStr">
        <is>
          <t>Infantry</t>
        </is>
      </c>
      <c r="L30" t="n">
        <v>110</v>
      </c>
      <c r="M30" t="inlineStr">
        <is>
          <t>Your 1st To 2nd Units Cost: 5 models = 110 pts | Your 3rd + Unit Costs: 5 models = 120 pts | Wargear: Haywire blaster +5 pts | Wargear: Dark lance +5 pts</t>
        </is>
      </c>
      <c r="N30" t="inlineStr">
        <is>
          <t>Added from current Munitorum Field Manual v4.1 (non-Legends)</t>
        </is>
      </c>
      <c r="O30" t="inlineStr">
        <is>
          <t>https://www.warhammer-community.com/en-gb/downloads/warhammer-40000/</t>
        </is>
      </c>
    </row>
    <row r="31">
      <c r="A31" t="inlineStr">
        <is>
          <t>Drukhari</t>
        </is>
      </c>
      <c r="C31" t="inlineStr">
        <is>
          <t>Infantry / Other</t>
        </is>
      </c>
      <c r="D31" t="inlineStr">
        <is>
          <t>Infantry</t>
        </is>
      </c>
      <c r="E31" t="inlineStr">
        <is>
          <t>Scourges With Shardcarbines</t>
        </is>
      </c>
      <c r="F31" t="inlineStr">
        <is>
          <t>5 models</t>
        </is>
      </c>
      <c r="G31" t="inlineStr">
        <is>
          <t>Infantry</t>
        </is>
      </c>
      <c r="L31" t="n">
        <v>75</v>
      </c>
      <c r="M31" t="inlineStr">
        <is>
          <t>Your 1st To 2nd Units Cost: 5 models = 75 pts | Your 3rd + Unit Costs: 5 models = 85 pts</t>
        </is>
      </c>
      <c r="N31" t="inlineStr">
        <is>
          <t>Added from current Munitorum Field Manual v4.1 (non-Legends)</t>
        </is>
      </c>
      <c r="O31"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Emperor's Children</t>
        </is>
      </c>
      <c r="B2" t="inlineStr">
        <is>
          <t>Emperor's Children</t>
        </is>
      </c>
      <c r="C2" t="inlineStr">
        <is>
          <t>Infantry / Other</t>
        </is>
      </c>
      <c r="D2" t="inlineStr">
        <is>
          <t>Infantry</t>
        </is>
      </c>
      <c r="E2" t="inlineStr">
        <is>
          <t>Daemon Prince of Slaanesh</t>
        </is>
      </c>
      <c r="F2" t="inlineStr">
        <is>
          <t>1 model</t>
        </is>
      </c>
      <c r="G2" t="inlineStr">
        <is>
          <t>Infantry</t>
        </is>
      </c>
      <c r="L2" s="60" t="n">
        <v>195</v>
      </c>
      <c r="M2" s="54" t="str"/>
      <c r="N2" s="54" t="inlineStr">
        <is>
          <t>Matched to Munitorum Field Manual v2.3</t>
        </is>
      </c>
      <c r="O2" s="54" t="inlineStr">
        <is>
          <t>Uploaded PDF: Munitorum Field Manual v2.3 / March 2025, p.21</t>
        </is>
      </c>
    </row>
    <row r="3">
      <c r="A3" t="inlineStr">
        <is>
          <t>Emperor's Children</t>
        </is>
      </c>
      <c r="B3" t="inlineStr">
        <is>
          <t>Emperor's Children</t>
        </is>
      </c>
      <c r="C3" t="inlineStr">
        <is>
          <t>Infantry / Other</t>
        </is>
      </c>
      <c r="D3" t="inlineStr">
        <is>
          <t>Infantry</t>
        </is>
      </c>
      <c r="E3" t="inlineStr">
        <is>
          <t>Daemon Prince of Slaanesh with Wings</t>
        </is>
      </c>
      <c r="F3" t="inlineStr">
        <is>
          <t>1 model</t>
        </is>
      </c>
      <c r="G3" t="inlineStr">
        <is>
          <t>Infantry</t>
        </is>
      </c>
      <c r="L3" s="60" t="n">
        <v>180</v>
      </c>
      <c r="M3" s="54" t="str"/>
      <c r="N3" s="54" t="inlineStr">
        <is>
          <t>Matched to Munitorum Field Manual v2.3</t>
        </is>
      </c>
      <c r="O3" s="54" t="inlineStr">
        <is>
          <t>Uploaded PDF: Munitorum Field Manual v2.3 / March 2025, p.21</t>
        </is>
      </c>
    </row>
    <row r="4">
      <c r="A4" t="inlineStr">
        <is>
          <t>Emperor's Children</t>
        </is>
      </c>
      <c r="B4" t="inlineStr">
        <is>
          <t>Emperor's Children</t>
        </is>
      </c>
      <c r="C4" t="inlineStr">
        <is>
          <t>Character</t>
        </is>
      </c>
      <c r="D4" t="inlineStr">
        <is>
          <t>Character</t>
        </is>
      </c>
      <c r="E4" t="inlineStr">
        <is>
          <t>Emperor's Children Lord Exultant</t>
        </is>
      </c>
      <c r="G4" t="inlineStr">
        <is>
          <t>Character</t>
        </is>
      </c>
      <c r="L4" s="60" t="n"/>
      <c r="M4" s="54" t="inlineStr">
        <is>
          <t>No matching points entry found in uploaded PDF; verify unit name/current support.</t>
        </is>
      </c>
      <c r="N4" s="54" t="inlineStr">
        <is>
          <t>Not found in uploaded PDF</t>
        </is>
      </c>
      <c r="O4" s="54" t="inlineStr">
        <is>
          <t>Uploaded PDF: Munitorum Field Manual v2.3 / March 2025</t>
        </is>
      </c>
    </row>
    <row r="5">
      <c r="A5" t="inlineStr">
        <is>
          <t>Emperor's Children</t>
        </is>
      </c>
      <c r="B5" t="inlineStr">
        <is>
          <t>Emperor's Children</t>
        </is>
      </c>
      <c r="C5" t="inlineStr">
        <is>
          <t>Monster / Heavy Support</t>
        </is>
      </c>
      <c r="D5" t="inlineStr">
        <is>
          <t>Monster</t>
        </is>
      </c>
      <c r="E5" t="inlineStr">
        <is>
          <t>Fulgrim</t>
        </is>
      </c>
      <c r="F5" t="inlineStr">
        <is>
          <t>1 model</t>
        </is>
      </c>
      <c r="G5" t="inlineStr">
        <is>
          <t>Monster, Epic Hero</t>
        </is>
      </c>
      <c r="L5" s="60" t="n">
        <v>385</v>
      </c>
      <c r="M5" s="54" t="str"/>
      <c r="N5" s="54" t="inlineStr">
        <is>
          <t>Matched to Munitorum Field Manual v2.3</t>
        </is>
      </c>
      <c r="O5" s="54" t="inlineStr">
        <is>
          <t>Uploaded PDF: Munitorum Field Manual v2.3 / March 2025, p.21</t>
        </is>
      </c>
    </row>
    <row r="6">
      <c r="A6" t="inlineStr">
        <is>
          <t>Emperor's Children</t>
        </is>
      </c>
      <c r="B6" t="inlineStr">
        <is>
          <t>Emperor's Children</t>
        </is>
      </c>
      <c r="C6" t="inlineStr">
        <is>
          <t>Infantry / Other</t>
        </is>
      </c>
      <c r="D6" t="inlineStr">
        <is>
          <t>Infantry</t>
        </is>
      </c>
      <c r="E6" t="inlineStr">
        <is>
          <t>Infractors</t>
        </is>
      </c>
      <c r="F6" t="inlineStr">
        <is>
          <t>5 models</t>
        </is>
      </c>
      <c r="G6" t="inlineStr">
        <is>
          <t>Infantry</t>
        </is>
      </c>
      <c r="L6" s="60" t="n">
        <v>85</v>
      </c>
      <c r="M6" s="54" t="inlineStr">
        <is>
          <t>Points options: 5 models = 85 pts; 10 models = 160 pts</t>
        </is>
      </c>
      <c r="N6" s="54" t="inlineStr">
        <is>
          <t>Matched to Munitorum Field Manual v2.3</t>
        </is>
      </c>
      <c r="O6" s="54" t="inlineStr">
        <is>
          <t>Uploaded PDF: Munitorum Field Manual v2.3 / March 2025, p.21</t>
        </is>
      </c>
    </row>
    <row r="7">
      <c r="A7" t="inlineStr">
        <is>
          <t>Emperor's Children</t>
        </is>
      </c>
      <c r="B7" t="inlineStr">
        <is>
          <t>Emperor's Children</t>
        </is>
      </c>
      <c r="C7" t="inlineStr">
        <is>
          <t>Character</t>
        </is>
      </c>
      <c r="D7" t="inlineStr">
        <is>
          <t>Character</t>
        </is>
      </c>
      <c r="E7" t="inlineStr">
        <is>
          <t>Lord Kakophonist</t>
        </is>
      </c>
      <c r="F7" t="inlineStr">
        <is>
          <t>1 model</t>
        </is>
      </c>
      <c r="G7" t="inlineStr">
        <is>
          <t>Character</t>
        </is>
      </c>
      <c r="L7" s="60" t="n">
        <v>60</v>
      </c>
      <c r="M7" s="54" t="str"/>
      <c r="N7" s="54" t="inlineStr">
        <is>
          <t>Matched to Munitorum Field Manual v2.3</t>
        </is>
      </c>
      <c r="O7" s="54" t="inlineStr">
        <is>
          <t>Uploaded PDF: Munitorum Field Manual v2.3 / March 2025, p.21</t>
        </is>
      </c>
    </row>
    <row r="8">
      <c r="A8" t="inlineStr">
        <is>
          <t>Emperor's Children</t>
        </is>
      </c>
      <c r="B8" t="inlineStr">
        <is>
          <t>Emperor's Children</t>
        </is>
      </c>
      <c r="C8" t="inlineStr">
        <is>
          <t>Infantry / Other</t>
        </is>
      </c>
      <c r="D8" t="inlineStr">
        <is>
          <t>Infantry</t>
        </is>
      </c>
      <c r="E8" t="inlineStr">
        <is>
          <t>Lucius the Eternal</t>
        </is>
      </c>
      <c r="F8" t="inlineStr">
        <is>
          <t>1 model</t>
        </is>
      </c>
      <c r="G8" t="inlineStr">
        <is>
          <t>Infantry</t>
        </is>
      </c>
      <c r="L8" s="60" t="n">
        <v>140</v>
      </c>
      <c r="M8" s="54" t="inlineStr">
        <is>
          <t>Points options: 1 model = 140 pts; 1 model = 95 pts</t>
        </is>
      </c>
      <c r="N8" s="54" t="inlineStr">
        <is>
          <t>Matched to Munitorum Field Manual v2.3</t>
        </is>
      </c>
      <c r="O8" s="54" t="inlineStr">
        <is>
          <t>Uploaded PDF: Munitorum Field Manual v2.3 / March 2025, p.21</t>
        </is>
      </c>
    </row>
    <row r="9">
      <c r="A9" t="inlineStr">
        <is>
          <t>Emperor's Children</t>
        </is>
      </c>
      <c r="B9" t="inlineStr">
        <is>
          <t>Emperor's Children</t>
        </is>
      </c>
      <c r="C9" t="inlineStr">
        <is>
          <t>Infantry / Other</t>
        </is>
      </c>
      <c r="D9" t="inlineStr">
        <is>
          <t>Infantry</t>
        </is>
      </c>
      <c r="E9" t="inlineStr">
        <is>
          <t>Noise Marines</t>
        </is>
      </c>
      <c r="F9" t="inlineStr">
        <is>
          <t>6 models</t>
        </is>
      </c>
      <c r="G9" t="inlineStr">
        <is>
          <t>Infantry</t>
        </is>
      </c>
      <c r="L9" s="60" t="n">
        <v>135</v>
      </c>
      <c r="M9" s="54" t="inlineStr">
        <is>
          <t>Points options: 6 models = 135 pts; 5 models = 85 pts; 10 models = 170 pts</t>
        </is>
      </c>
      <c r="N9" s="54" t="inlineStr">
        <is>
          <t>Matched to Munitorum Field Manual v2.3</t>
        </is>
      </c>
      <c r="O9" s="54" t="inlineStr">
        <is>
          <t>Uploaded PDF: Munitorum Field Manual v2.3 / March 2025, p.21</t>
        </is>
      </c>
    </row>
    <row r="10">
      <c r="A10" t="inlineStr">
        <is>
          <t>Emperor's Children</t>
        </is>
      </c>
      <c r="B10" t="inlineStr">
        <is>
          <t>Emperor's Children</t>
        </is>
      </c>
      <c r="C10" t="inlineStr">
        <is>
          <t>Infantry / Other</t>
        </is>
      </c>
      <c r="D10" t="inlineStr">
        <is>
          <t>Infantry</t>
        </is>
      </c>
      <c r="E10" t="inlineStr">
        <is>
          <t>Tormentors</t>
        </is>
      </c>
      <c r="F10" t="inlineStr">
        <is>
          <t>5 models</t>
        </is>
      </c>
      <c r="G10" t="inlineStr">
        <is>
          <t>Infantry</t>
        </is>
      </c>
      <c r="L10" s="60" t="n">
        <v>85</v>
      </c>
      <c r="M10" s="54" t="inlineStr">
        <is>
          <t>Points options: 5 models = 85 pts; 10 models = 170 pts</t>
        </is>
      </c>
      <c r="N10" s="54" t="inlineStr">
        <is>
          <t>Matched to Munitorum Field Manual v2.3</t>
        </is>
      </c>
      <c r="O10" s="54" t="inlineStr">
        <is>
          <t>Uploaded PDF: Munitorum Field Manual v2.3 / March 2025, p.21</t>
        </is>
      </c>
    </row>
    <row r="11">
      <c r="A11" t="inlineStr">
        <is>
          <t>Emperor's Children</t>
        </is>
      </c>
      <c r="C11" t="inlineStr">
        <is>
          <t>Vehicle / Support</t>
        </is>
      </c>
      <c r="D11" t="inlineStr">
        <is>
          <t>Vehicle</t>
        </is>
      </c>
      <c r="E11" t="inlineStr">
        <is>
          <t>Chaos Land Raider</t>
        </is>
      </c>
      <c r="F11" t="inlineStr">
        <is>
          <t>1 model</t>
        </is>
      </c>
      <c r="G11" t="inlineStr">
        <is>
          <t>Vehicle</t>
        </is>
      </c>
      <c r="L11" t="n">
        <v>220</v>
      </c>
      <c r="M11" t="inlineStr">
        <is>
          <t>Your 1st To 2nd Units Cost: 1 models = 220 pts | Your 3rd + Unit Costs: 1 models = 240 pts</t>
        </is>
      </c>
      <c r="N11" t="inlineStr">
        <is>
          <t>Added from current Munitorum Field Manual v4.1 (non-Legends)</t>
        </is>
      </c>
      <c r="O11" t="inlineStr">
        <is>
          <t>https://www.warhammer-community.com/en-gb/downloads/warhammer-40000/</t>
        </is>
      </c>
    </row>
    <row r="12">
      <c r="A12" t="inlineStr">
        <is>
          <t>Emperor's Children</t>
        </is>
      </c>
      <c r="C12" t="inlineStr">
        <is>
          <t>Vehicle / Support</t>
        </is>
      </c>
      <c r="D12" t="inlineStr">
        <is>
          <t>Vehicle</t>
        </is>
      </c>
      <c r="E12" t="inlineStr">
        <is>
          <t>Chaos Rhino</t>
        </is>
      </c>
      <c r="F12" t="inlineStr">
        <is>
          <t>1 model</t>
        </is>
      </c>
      <c r="G12" t="inlineStr">
        <is>
          <t>Vehicle</t>
        </is>
      </c>
      <c r="L12" t="n">
        <v>80</v>
      </c>
      <c r="N12" t="inlineStr">
        <is>
          <t>Added from current Munitorum Field Manual v4.1 (non-Legends)</t>
        </is>
      </c>
      <c r="O12" t="inlineStr">
        <is>
          <t>https://www.warhammer-community.com/en-gb/downloads/warhammer-40000/</t>
        </is>
      </c>
    </row>
    <row r="13">
      <c r="A13" t="inlineStr">
        <is>
          <t>Emperor's Children</t>
        </is>
      </c>
      <c r="C13" t="inlineStr">
        <is>
          <t>Infantry / Other</t>
        </is>
      </c>
      <c r="D13" t="inlineStr">
        <is>
          <t>Beast / Swarm</t>
        </is>
      </c>
      <c r="E13" t="inlineStr">
        <is>
          <t>Chaos Spawn</t>
        </is>
      </c>
      <c r="F13" t="inlineStr">
        <is>
          <t>2 models</t>
        </is>
      </c>
      <c r="G13" t="inlineStr">
        <is>
          <t>Beast / Swarm</t>
        </is>
      </c>
      <c r="L13" t="n">
        <v>70</v>
      </c>
      <c r="N13" t="inlineStr">
        <is>
          <t>Added from current Munitorum Field Manual v4.1 (non-Legends)</t>
        </is>
      </c>
      <c r="O13" t="inlineStr">
        <is>
          <t>https://www.warhammer-community.com/en-gb/downloads/warhammer-40000/</t>
        </is>
      </c>
    </row>
    <row r="14">
      <c r="A14" t="inlineStr">
        <is>
          <t>Emperor's Children</t>
        </is>
      </c>
      <c r="C14" t="inlineStr">
        <is>
          <t>Infantry / Other</t>
        </is>
      </c>
      <c r="D14" t="inlineStr">
        <is>
          <t>Infantry</t>
        </is>
      </c>
      <c r="E14" t="inlineStr">
        <is>
          <t>Chaos Terminators</t>
        </is>
      </c>
      <c r="F14" t="inlineStr">
        <is>
          <t>5 models</t>
        </is>
      </c>
      <c r="G14" t="inlineStr">
        <is>
          <t>Infantry</t>
        </is>
      </c>
      <c r="L14" t="n">
        <v>145</v>
      </c>
      <c r="N14" t="inlineStr">
        <is>
          <t>Added from current Munitorum Field Manual v4.1 (non-Legends)</t>
        </is>
      </c>
      <c r="O14" t="inlineStr">
        <is>
          <t>https://www.warhammer-community.com/en-gb/downloads/warhammer-40000/</t>
        </is>
      </c>
    </row>
    <row r="15">
      <c r="A15" t="inlineStr">
        <is>
          <t>Emperor's Children</t>
        </is>
      </c>
      <c r="C15" t="inlineStr">
        <is>
          <t>Infantry / Other</t>
        </is>
      </c>
      <c r="D15" t="inlineStr">
        <is>
          <t>Infantry</t>
        </is>
      </c>
      <c r="E15" t="inlineStr">
        <is>
          <t>Daemonettes</t>
        </is>
      </c>
      <c r="F15" t="inlineStr">
        <is>
          <t>10 models</t>
        </is>
      </c>
      <c r="G15" t="inlineStr">
        <is>
          <t>Infantry</t>
        </is>
      </c>
      <c r="L15" t="n">
        <v>90</v>
      </c>
      <c r="N15" t="inlineStr">
        <is>
          <t>Added from current Munitorum Field Manual v4.1 (non-Legends)</t>
        </is>
      </c>
      <c r="O15" t="inlineStr">
        <is>
          <t>https://www.warhammer-community.com/en-gb/downloads/warhammer-40000/</t>
        </is>
      </c>
    </row>
    <row r="16">
      <c r="A16" t="inlineStr">
        <is>
          <t>Emperor's Children</t>
        </is>
      </c>
      <c r="C16" t="inlineStr">
        <is>
          <t>Vehicle / Support</t>
        </is>
      </c>
      <c r="D16" t="inlineStr">
        <is>
          <t>Vehicle</t>
        </is>
      </c>
      <c r="E16" t="inlineStr">
        <is>
          <t>Defiler</t>
        </is>
      </c>
      <c r="F16" t="inlineStr">
        <is>
          <t>1 model</t>
        </is>
      </c>
      <c r="G16" t="inlineStr">
        <is>
          <t>Vehicle</t>
        </is>
      </c>
      <c r="L16" t="n">
        <v>290</v>
      </c>
      <c r="M16" t="inlineStr">
        <is>
          <t>Your 1st Unit Costs: 1 models = 290 pts | Your 2nd + Unit Costs: 1 models = 320 pts | Wargear: Heavy reaper autocannon +10 pts | Wargear: Hades lascannon +10 pts</t>
        </is>
      </c>
      <c r="N16" t="inlineStr">
        <is>
          <t>Added from current Munitorum Field Manual v4.1 (non-Legends)</t>
        </is>
      </c>
      <c r="O16" t="inlineStr">
        <is>
          <t>https://www.warhammer-community.com/en-gb/downloads/warhammer-40000/</t>
        </is>
      </c>
    </row>
    <row r="17">
      <c r="A17" t="inlineStr">
        <is>
          <t>Emperor's Children</t>
        </is>
      </c>
      <c r="C17" t="inlineStr">
        <is>
          <t>Infantry / Other</t>
        </is>
      </c>
      <c r="D17" t="inlineStr">
        <is>
          <t>Beast / Swarm</t>
        </is>
      </c>
      <c r="E17" t="inlineStr">
        <is>
          <t>Fiends</t>
        </is>
      </c>
      <c r="F17" t="inlineStr">
        <is>
          <t>3 models</t>
        </is>
      </c>
      <c r="G17" t="inlineStr">
        <is>
          <t>Beast / Swarm</t>
        </is>
      </c>
      <c r="L17" t="n">
        <v>90</v>
      </c>
      <c r="N17" t="inlineStr">
        <is>
          <t>Added from current Munitorum Field Manual v4.1 (non-Legends)</t>
        </is>
      </c>
      <c r="O17" t="inlineStr">
        <is>
          <t>https://www.warhammer-community.com/en-gb/downloads/warhammer-40000/</t>
        </is>
      </c>
    </row>
    <row r="18">
      <c r="A18" t="inlineStr">
        <is>
          <t>Emperor's Children</t>
        </is>
      </c>
      <c r="C18" t="inlineStr">
        <is>
          <t>Infantry / Other</t>
        </is>
      </c>
      <c r="D18" t="inlineStr">
        <is>
          <t>Infantry</t>
        </is>
      </c>
      <c r="E18" t="inlineStr">
        <is>
          <t>Flawless Blades</t>
        </is>
      </c>
      <c r="F18" t="inlineStr">
        <is>
          <t>3 models</t>
        </is>
      </c>
      <c r="G18" t="inlineStr">
        <is>
          <t>Infantry</t>
        </is>
      </c>
      <c r="L18" t="n">
        <v>95</v>
      </c>
      <c r="N18" t="inlineStr">
        <is>
          <t>Added from current Munitorum Field Manual v4.1 (non-Legends)</t>
        </is>
      </c>
      <c r="O18" t="inlineStr">
        <is>
          <t>https://www.warhammer-community.com/en-gb/downloads/warhammer-40000/</t>
        </is>
      </c>
    </row>
    <row r="19">
      <c r="A19" t="inlineStr">
        <is>
          <t>Emperor's Children</t>
        </is>
      </c>
      <c r="C19" t="inlineStr">
        <is>
          <t>Vehicle / Support</t>
        </is>
      </c>
      <c r="D19" t="inlineStr">
        <is>
          <t>Vehicle</t>
        </is>
      </c>
      <c r="E19" t="inlineStr">
        <is>
          <t>Heldrake</t>
        </is>
      </c>
      <c r="F19" t="inlineStr">
        <is>
          <t>1 model</t>
        </is>
      </c>
      <c r="G19" t="inlineStr">
        <is>
          <t>Vehicle</t>
        </is>
      </c>
      <c r="L19" t="n">
        <v>175</v>
      </c>
      <c r="N19" t="inlineStr">
        <is>
          <t>Added from current Munitorum Field Manual v4.1 (non-Legends)</t>
        </is>
      </c>
      <c r="O19" t="inlineStr">
        <is>
          <t>https://www.warhammer-community.com/en-gb/downloads/warhammer-40000/</t>
        </is>
      </c>
    </row>
    <row r="20">
      <c r="A20" t="inlineStr">
        <is>
          <t>Emperor's Children</t>
        </is>
      </c>
      <c r="C20" t="inlineStr">
        <is>
          <t>Monster / Support</t>
        </is>
      </c>
      <c r="D20" t="inlineStr">
        <is>
          <t>Monster</t>
        </is>
      </c>
      <c r="E20" t="inlineStr">
        <is>
          <t>Keeper Of Secrets</t>
        </is>
      </c>
      <c r="F20" t="inlineStr">
        <is>
          <t>1 model</t>
        </is>
      </c>
      <c r="G20" t="inlineStr">
        <is>
          <t>Monster</t>
        </is>
      </c>
      <c r="L20" t="n">
        <v>255</v>
      </c>
      <c r="M20" t="inlineStr">
        <is>
          <t>Your 1st To 2nd Units Cost: 1 models = 255 pts | Your 3rd + Unit Costs: 1 models = 270 pts</t>
        </is>
      </c>
      <c r="N20" t="inlineStr">
        <is>
          <t>Added from current Munitorum Field Manual v4.1 (non-Legends)</t>
        </is>
      </c>
      <c r="O20" t="inlineStr">
        <is>
          <t>https://www.warhammer-community.com/en-gb/downloads/warhammer-40000/</t>
        </is>
      </c>
    </row>
    <row r="21">
      <c r="A21" t="inlineStr">
        <is>
          <t>Emperor's Children</t>
        </is>
      </c>
      <c r="C21" t="inlineStr">
        <is>
          <t>Character</t>
        </is>
      </c>
      <c r="D21" t="inlineStr">
        <is>
          <t>Character</t>
        </is>
      </c>
      <c r="E21" t="inlineStr">
        <is>
          <t>Lord Exultant</t>
        </is>
      </c>
      <c r="F21" t="inlineStr">
        <is>
          <t>1 model</t>
        </is>
      </c>
      <c r="G21" t="inlineStr">
        <is>
          <t>Character</t>
        </is>
      </c>
      <c r="L21" t="n">
        <v>80</v>
      </c>
      <c r="M21" t="inlineStr">
        <is>
          <t>Your 1st To 2nd Units Cost: 1 models = 80 pts | Your 3rd + Unit Costs: 1 models = 90 pts</t>
        </is>
      </c>
      <c r="N21" t="inlineStr">
        <is>
          <t>Added from current Munitorum Field Manual v4.1 (non-Legends)</t>
        </is>
      </c>
      <c r="O21" t="inlineStr">
        <is>
          <t>https://www.warhammer-community.com/en-gb/downloads/warhammer-40000/</t>
        </is>
      </c>
    </row>
    <row r="22">
      <c r="A22" t="inlineStr">
        <is>
          <t>Emperor's Children</t>
        </is>
      </c>
      <c r="C22" t="inlineStr">
        <is>
          <t>Vehicle / Support</t>
        </is>
      </c>
      <c r="D22" t="inlineStr">
        <is>
          <t>Vehicle</t>
        </is>
      </c>
      <c r="E22" t="inlineStr">
        <is>
          <t>Maulerfiend</t>
        </is>
      </c>
      <c r="F22" t="inlineStr">
        <is>
          <t>1 model</t>
        </is>
      </c>
      <c r="G22" t="inlineStr">
        <is>
          <t>Vehicle</t>
        </is>
      </c>
      <c r="L22" t="n">
        <v>130</v>
      </c>
      <c r="M22" t="inlineStr">
        <is>
          <t>Your 1st To 2nd Units Cost: 1 models = 130 pts | Your 3rd + Unit Costs: 1 models = 140 pts</t>
        </is>
      </c>
      <c r="N22" t="inlineStr">
        <is>
          <t>Added from current Munitorum Field Manual v4.1 (non-Legends)</t>
        </is>
      </c>
      <c r="O22" t="inlineStr">
        <is>
          <t>https://www.warhammer-community.com/en-gb/downloads/warhammer-40000/</t>
        </is>
      </c>
    </row>
    <row r="23">
      <c r="A23" t="inlineStr">
        <is>
          <t>Emperor's Children</t>
        </is>
      </c>
      <c r="C23" t="inlineStr">
        <is>
          <t>Infantry / Other</t>
        </is>
      </c>
      <c r="D23" t="inlineStr">
        <is>
          <t>Infantry</t>
        </is>
      </c>
      <c r="E23" t="inlineStr">
        <is>
          <t>Seekers</t>
        </is>
      </c>
      <c r="F23" t="inlineStr">
        <is>
          <t>5 models</t>
        </is>
      </c>
      <c r="G23" t="inlineStr">
        <is>
          <t>Infantry</t>
        </is>
      </c>
      <c r="L23" t="n">
        <v>80</v>
      </c>
      <c r="N23" t="inlineStr">
        <is>
          <t>Added from current Munitorum Field Manual v4.1 (non-Legends)</t>
        </is>
      </c>
      <c r="O23" t="inlineStr">
        <is>
          <t>https://www.warhammer-community.com/en-gb/downloads/warhammer-40000/</t>
        </is>
      </c>
    </row>
    <row r="24">
      <c r="A24" t="inlineStr">
        <is>
          <t>Emperor's Children</t>
        </is>
      </c>
      <c r="C24" t="inlineStr">
        <is>
          <t>Infantry / Other</t>
        </is>
      </c>
      <c r="D24" t="inlineStr">
        <is>
          <t>Infantry</t>
        </is>
      </c>
      <c r="E24" t="inlineStr">
        <is>
          <t>Shalaxi Helbane</t>
        </is>
      </c>
      <c r="F24" t="inlineStr">
        <is>
          <t>1 model</t>
        </is>
      </c>
      <c r="G24" t="inlineStr">
        <is>
          <t>Infantry</t>
        </is>
      </c>
      <c r="L24" t="n">
        <v>340</v>
      </c>
      <c r="N24" t="inlineStr">
        <is>
          <t>Added from current Munitorum Field Manual v4.1 (non-Legends)</t>
        </is>
      </c>
      <c r="O24" t="inlineStr">
        <is>
          <t>https://www.warhammer-community.com/en-gb/downloads/warhammer-40000/</t>
        </is>
      </c>
    </row>
    <row r="25">
      <c r="A25" t="inlineStr">
        <is>
          <t>Emperor's Children</t>
        </is>
      </c>
      <c r="C25" t="inlineStr">
        <is>
          <t>Character</t>
        </is>
      </c>
      <c r="D25" t="inlineStr">
        <is>
          <t>Character</t>
        </is>
      </c>
      <c r="E25" t="inlineStr">
        <is>
          <t>Sorcerer</t>
        </is>
      </c>
      <c r="F25" t="inlineStr">
        <is>
          <t>1 model</t>
        </is>
      </c>
      <c r="G25" t="inlineStr">
        <is>
          <t>Character</t>
        </is>
      </c>
      <c r="L25" t="n">
        <v>60</v>
      </c>
      <c r="N25" t="inlineStr">
        <is>
          <t>Added from current Munitorum Field Manual v4.1 (non-Legends)</t>
        </is>
      </c>
      <c r="O2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Genestealer Cults</t>
        </is>
      </c>
      <c r="C2" t="inlineStr">
        <is>
          <t>Character</t>
        </is>
      </c>
      <c r="D2" t="inlineStr">
        <is>
          <t>Character</t>
        </is>
      </c>
      <c r="E2" t="inlineStr">
        <is>
          <t>Abominant</t>
        </is>
      </c>
      <c r="F2" t="inlineStr">
        <is>
          <t>1 model</t>
        </is>
      </c>
      <c r="G2" t="inlineStr">
        <is>
          <t>Character</t>
        </is>
      </c>
      <c r="L2" s="60" t="n">
        <v>95</v>
      </c>
      <c r="M2" s="54" t="str"/>
      <c r="N2" s="54" t="inlineStr">
        <is>
          <t>Matched to Munitorum Field Manual v2.3</t>
        </is>
      </c>
      <c r="O2" s="54" t="inlineStr">
        <is>
          <t>Uploaded PDF: Munitorum Field Manual v2.3 / March 2025, p.22</t>
        </is>
      </c>
    </row>
    <row r="3">
      <c r="A3" t="inlineStr">
        <is>
          <t>Genestealer Cults</t>
        </is>
      </c>
      <c r="C3" t="inlineStr">
        <is>
          <t>Infantry / Other</t>
        </is>
      </c>
      <c r="D3" t="inlineStr">
        <is>
          <t>Infantry</t>
        </is>
      </c>
      <c r="E3" t="inlineStr">
        <is>
          <t>Aberrants</t>
        </is>
      </c>
      <c r="F3" t="inlineStr">
        <is>
          <t>5 models</t>
        </is>
      </c>
      <c r="G3" t="inlineStr">
        <is>
          <t>Infantry</t>
        </is>
      </c>
      <c r="L3" s="60" t="n">
        <v>135</v>
      </c>
      <c r="M3" s="54" t="inlineStr">
        <is>
          <t>Points options: 5 models = 135 pts; 10 models = 300 pts</t>
        </is>
      </c>
      <c r="N3" s="54" t="inlineStr">
        <is>
          <t>Matched to Munitorum Field Manual v2.3</t>
        </is>
      </c>
      <c r="O3" s="54" t="inlineStr">
        <is>
          <t>Uploaded PDF: Munitorum Field Manual v2.3 / March 2025, p.22</t>
        </is>
      </c>
    </row>
    <row r="4">
      <c r="A4" t="inlineStr">
        <is>
          <t>Genestealer Cults</t>
        </is>
      </c>
      <c r="C4" t="inlineStr">
        <is>
          <t>Vehicle / Support</t>
        </is>
      </c>
      <c r="D4" t="inlineStr">
        <is>
          <t>Vehicle</t>
        </is>
      </c>
      <c r="E4" t="inlineStr">
        <is>
          <t>Achilles Ridgerunners</t>
        </is>
      </c>
      <c r="F4" t="inlineStr">
        <is>
          <t>1 model</t>
        </is>
      </c>
      <c r="G4" t="inlineStr">
        <is>
          <t>Vehicle</t>
        </is>
      </c>
      <c r="L4" s="60" t="n">
        <v>85</v>
      </c>
      <c r="M4" s="54" t="inlineStr">
        <is>
          <t>Points options: 1 model = 85 pts; 2 models = 170 pts</t>
        </is>
      </c>
      <c r="N4" s="54" t="inlineStr">
        <is>
          <t>Matched to Munitorum Field Manual v2.3</t>
        </is>
      </c>
      <c r="O4" s="54" t="inlineStr">
        <is>
          <t>Uploaded PDF: Munitorum Field Manual v2.3 / March 2025, p.22</t>
        </is>
      </c>
    </row>
    <row r="5">
      <c r="A5" t="inlineStr">
        <is>
          <t>Genestealer Cults</t>
        </is>
      </c>
      <c r="C5" t="inlineStr">
        <is>
          <t>Infantry / Other</t>
        </is>
      </c>
      <c r="D5" t="inlineStr">
        <is>
          <t>Infantry</t>
        </is>
      </c>
      <c r="E5" t="inlineStr">
        <is>
          <t>Acolyte Hybrids with Autopistols</t>
        </is>
      </c>
      <c r="F5" t="inlineStr">
        <is>
          <t>5 models</t>
        </is>
      </c>
      <c r="G5" t="inlineStr">
        <is>
          <t>Infantry</t>
        </is>
      </c>
      <c r="L5" s="60" t="n">
        <v>65</v>
      </c>
      <c r="M5" s="54" t="inlineStr">
        <is>
          <t>Points options: 5 models = 65 pts; 10 models = 130 pts</t>
        </is>
      </c>
      <c r="N5" s="54" t="inlineStr">
        <is>
          <t>Matched to Munitorum Field Manual v2.3</t>
        </is>
      </c>
      <c r="O5" s="54" t="inlineStr">
        <is>
          <t>Uploaded PDF: Munitorum Field Manual v2.3 / March 2025, p.22</t>
        </is>
      </c>
    </row>
    <row r="6">
      <c r="A6" t="inlineStr">
        <is>
          <t>Genestealer Cults</t>
        </is>
      </c>
      <c r="C6" t="inlineStr">
        <is>
          <t>Infantry / Other</t>
        </is>
      </c>
      <c r="D6" t="inlineStr">
        <is>
          <t>Infantry</t>
        </is>
      </c>
      <c r="E6" t="inlineStr">
        <is>
          <t>Acolyte Hybrids with Hand Flamers</t>
        </is>
      </c>
      <c r="F6" t="inlineStr">
        <is>
          <t>5 models</t>
        </is>
      </c>
      <c r="G6" t="inlineStr">
        <is>
          <t>Infantry</t>
        </is>
      </c>
      <c r="L6" s="60" t="n">
        <v>70</v>
      </c>
      <c r="M6" s="54" t="inlineStr">
        <is>
          <t>Points options: 5 models = 70 pts; 10 models = 140 pts</t>
        </is>
      </c>
      <c r="N6" s="54" t="inlineStr">
        <is>
          <t>Matched to Munitorum Field Manual v2.3</t>
        </is>
      </c>
      <c r="O6" s="54" t="inlineStr">
        <is>
          <t>Uploaded PDF: Munitorum Field Manual v2.3 / March 2025, p.22</t>
        </is>
      </c>
    </row>
    <row r="7">
      <c r="A7" t="inlineStr">
        <is>
          <t>Genestealer Cults</t>
        </is>
      </c>
      <c r="C7" t="inlineStr">
        <is>
          <t>Infantry / Other</t>
        </is>
      </c>
      <c r="D7" t="inlineStr">
        <is>
          <t>Mounted / Bike</t>
        </is>
      </c>
      <c r="E7" t="inlineStr">
        <is>
          <t>Atalan Jackals</t>
        </is>
      </c>
      <c r="F7" t="inlineStr">
        <is>
          <t>5 models</t>
        </is>
      </c>
      <c r="G7" t="inlineStr">
        <is>
          <t>Mounted / Bike</t>
        </is>
      </c>
      <c r="L7" s="60" t="n">
        <v>80</v>
      </c>
      <c r="M7" s="54" t="inlineStr">
        <is>
          <t>Points options: 5 models = 80 pts; 10 models = 160 pts</t>
        </is>
      </c>
      <c r="N7" s="54" t="inlineStr">
        <is>
          <t>Matched to Munitorum Field Manual v2.3</t>
        </is>
      </c>
      <c r="O7" s="54" t="inlineStr">
        <is>
          <t>Uploaded PDF: Munitorum Field Manual v2.3 / March 2025, p.22</t>
        </is>
      </c>
    </row>
    <row r="8">
      <c r="A8" t="inlineStr">
        <is>
          <t>Genestealer Cults</t>
        </is>
      </c>
      <c r="C8" t="inlineStr">
        <is>
          <t>Character</t>
        </is>
      </c>
      <c r="D8" t="inlineStr">
        <is>
          <t>Character</t>
        </is>
      </c>
      <c r="E8" t="inlineStr">
        <is>
          <t>Biophagus</t>
        </is>
      </c>
      <c r="F8" t="inlineStr">
        <is>
          <t>1 model</t>
        </is>
      </c>
      <c r="G8" t="inlineStr">
        <is>
          <t>Character</t>
        </is>
      </c>
      <c r="L8" s="60" t="n">
        <v>50</v>
      </c>
      <c r="M8" s="54" t="str"/>
      <c r="N8" s="54" t="inlineStr">
        <is>
          <t>Matched to Munitorum Field Manual v2.3</t>
        </is>
      </c>
      <c r="O8" s="54" t="inlineStr">
        <is>
          <t>Uploaded PDF: Munitorum Field Manual v2.3 / March 2025, p.22</t>
        </is>
      </c>
    </row>
    <row r="9">
      <c r="A9" t="inlineStr">
        <is>
          <t>Genestealer Cults</t>
        </is>
      </c>
      <c r="C9" t="inlineStr">
        <is>
          <t>Character</t>
        </is>
      </c>
      <c r="D9" t="inlineStr">
        <is>
          <t>Character</t>
        </is>
      </c>
      <c r="E9" t="inlineStr">
        <is>
          <t>Clamavus</t>
        </is>
      </c>
      <c r="F9" t="inlineStr">
        <is>
          <t>1 model</t>
        </is>
      </c>
      <c r="G9" t="inlineStr">
        <is>
          <t>Character</t>
        </is>
      </c>
      <c r="L9" s="60" t="n">
        <v>50</v>
      </c>
      <c r="M9" s="54" t="str"/>
      <c r="N9" s="54" t="inlineStr">
        <is>
          <t>Matched to Munitorum Field Manual v2.3</t>
        </is>
      </c>
      <c r="O9" s="54" t="inlineStr">
        <is>
          <t>Uploaded PDF: Munitorum Field Manual v2.3 / March 2025, p.22</t>
        </is>
      </c>
    </row>
    <row r="10">
      <c r="A10" t="inlineStr">
        <is>
          <t>Genestealer Cults</t>
        </is>
      </c>
      <c r="C10" t="inlineStr">
        <is>
          <t>Vehicle / Support</t>
        </is>
      </c>
      <c r="D10" t="inlineStr">
        <is>
          <t>Vehicle</t>
        </is>
      </c>
      <c r="E10" t="inlineStr">
        <is>
          <t>Goliath Rockgrinder</t>
        </is>
      </c>
      <c r="F10" t="inlineStr">
        <is>
          <t>1 model</t>
        </is>
      </c>
      <c r="G10" t="inlineStr">
        <is>
          <t>Vehicle</t>
        </is>
      </c>
      <c r="L10" s="60" t="n">
        <v>120</v>
      </c>
      <c r="M10" s="54" t="str"/>
      <c r="N10" s="54" t="inlineStr">
        <is>
          <t>Matched to Munitorum Field Manual v2.3</t>
        </is>
      </c>
      <c r="O10" s="54" t="inlineStr">
        <is>
          <t>Uploaded PDF: Munitorum Field Manual v2.3 / March 2025, p.22</t>
        </is>
      </c>
    </row>
    <row r="11">
      <c r="A11" t="inlineStr">
        <is>
          <t>Genestealer Cults</t>
        </is>
      </c>
      <c r="C11" t="inlineStr">
        <is>
          <t>Vehicle / Support</t>
        </is>
      </c>
      <c r="D11" t="inlineStr">
        <is>
          <t>Vehicle</t>
        </is>
      </c>
      <c r="E11" t="inlineStr">
        <is>
          <t>Goliath Truck</t>
        </is>
      </c>
      <c r="F11" t="inlineStr">
        <is>
          <t>1 model</t>
        </is>
      </c>
      <c r="G11" t="inlineStr">
        <is>
          <t>Vehicle</t>
        </is>
      </c>
      <c r="L11" s="60" t="n">
        <v>85</v>
      </c>
      <c r="M11" s="54" t="str"/>
      <c r="N11" s="54" t="inlineStr">
        <is>
          <t>Matched to Munitorum Field Manual v2.3</t>
        </is>
      </c>
      <c r="O11" s="54" t="inlineStr">
        <is>
          <t>Uploaded PDF: Munitorum Field Manual v2.3 / March 2025, p.22</t>
        </is>
      </c>
    </row>
    <row r="12">
      <c r="A12" t="inlineStr">
        <is>
          <t>Genestealer Cults</t>
        </is>
      </c>
      <c r="C12" t="inlineStr">
        <is>
          <t>Infantry / Other</t>
        </is>
      </c>
      <c r="D12" t="inlineStr">
        <is>
          <t>Infantry</t>
        </is>
      </c>
      <c r="E12" t="inlineStr">
        <is>
          <t>Hybrid Metamorphs</t>
        </is>
      </c>
      <c r="F12" t="inlineStr">
        <is>
          <t>5 models</t>
        </is>
      </c>
      <c r="G12" t="inlineStr">
        <is>
          <t>Infantry</t>
        </is>
      </c>
      <c r="L12" s="60" t="n">
        <v>80</v>
      </c>
      <c r="M12" s="54" t="inlineStr">
        <is>
          <t>Points options: 5 models = 80 pts; 10 models = 160 pts</t>
        </is>
      </c>
      <c r="N12" s="54" t="inlineStr">
        <is>
          <t>Matched to Munitorum Field Manual v2.3</t>
        </is>
      </c>
      <c r="O12" s="54" t="inlineStr">
        <is>
          <t>Uploaded PDF: Munitorum Field Manual v2.3 / March 2025, p.22</t>
        </is>
      </c>
    </row>
    <row r="13">
      <c r="A13" t="inlineStr">
        <is>
          <t>Genestealer Cults</t>
        </is>
      </c>
      <c r="C13" t="inlineStr">
        <is>
          <t>Infantry / Other</t>
        </is>
      </c>
      <c r="D13" t="inlineStr">
        <is>
          <t>Infantry</t>
        </is>
      </c>
      <c r="E13" t="inlineStr">
        <is>
          <t>Jackal Alphus</t>
        </is>
      </c>
      <c r="F13" t="inlineStr">
        <is>
          <t>1 model</t>
        </is>
      </c>
      <c r="G13" t="inlineStr">
        <is>
          <t>Infantry</t>
        </is>
      </c>
      <c r="L13" s="60" t="n">
        <v>55</v>
      </c>
      <c r="M13" s="54" t="str"/>
      <c r="N13" s="54" t="inlineStr">
        <is>
          <t>Matched to Munitorum Field Manual v2.3</t>
        </is>
      </c>
      <c r="O13" s="54" t="inlineStr">
        <is>
          <t>Uploaded PDF: Munitorum Field Manual v2.3 / March 2025, p.22</t>
        </is>
      </c>
    </row>
    <row r="14">
      <c r="A14" t="inlineStr">
        <is>
          <t>Genestealer Cults</t>
        </is>
      </c>
      <c r="C14" t="inlineStr">
        <is>
          <t>Character</t>
        </is>
      </c>
      <c r="D14" t="inlineStr">
        <is>
          <t>Character</t>
        </is>
      </c>
      <c r="E14" t="inlineStr">
        <is>
          <t>Kelermorph</t>
        </is>
      </c>
      <c r="F14" t="inlineStr">
        <is>
          <t>1 model</t>
        </is>
      </c>
      <c r="G14" t="inlineStr">
        <is>
          <t>Character</t>
        </is>
      </c>
      <c r="L14" s="60" t="n">
        <v>60</v>
      </c>
      <c r="M14" s="54" t="str"/>
      <c r="N14" s="54" t="inlineStr">
        <is>
          <t>Matched to Munitorum Field Manual v2.3</t>
        </is>
      </c>
      <c r="O14" s="54" t="inlineStr">
        <is>
          <t>Uploaded PDF: Munitorum Field Manual v2.3 / March 2025, p.22</t>
        </is>
      </c>
    </row>
    <row r="15">
      <c r="A15" t="inlineStr">
        <is>
          <t>Genestealer Cults</t>
        </is>
      </c>
      <c r="C15" t="inlineStr">
        <is>
          <t>Character</t>
        </is>
      </c>
      <c r="D15" t="inlineStr">
        <is>
          <t>Character</t>
        </is>
      </c>
      <c r="E15" t="inlineStr">
        <is>
          <t>Locus</t>
        </is>
      </c>
      <c r="F15" t="inlineStr">
        <is>
          <t>1 model</t>
        </is>
      </c>
      <c r="G15" t="inlineStr">
        <is>
          <t>Character</t>
        </is>
      </c>
      <c r="L15" s="60" t="n">
        <v>45</v>
      </c>
      <c r="M15" s="54" t="str"/>
      <c r="N15" s="54" t="inlineStr">
        <is>
          <t>Matched to Munitorum Field Manual v2.3</t>
        </is>
      </c>
      <c r="O15" s="54" t="inlineStr">
        <is>
          <t>Uploaded PDF: Munitorum Field Manual v2.3 / March 2025, p.22</t>
        </is>
      </c>
    </row>
    <row r="16">
      <c r="A16" t="inlineStr">
        <is>
          <t>Genestealer Cults</t>
        </is>
      </c>
      <c r="C16" t="inlineStr">
        <is>
          <t>Character</t>
        </is>
      </c>
      <c r="D16" t="inlineStr">
        <is>
          <t>Character</t>
        </is>
      </c>
      <c r="E16" t="inlineStr">
        <is>
          <t>Magus</t>
        </is>
      </c>
      <c r="F16" t="inlineStr">
        <is>
          <t>1 model</t>
        </is>
      </c>
      <c r="G16" t="inlineStr">
        <is>
          <t>Character, Psyker</t>
        </is>
      </c>
      <c r="L16" s="60" t="n">
        <v>50</v>
      </c>
      <c r="M16" s="54" t="str"/>
      <c r="N16" s="54" t="inlineStr">
        <is>
          <t>Matched to Munitorum Field Manual v2.3</t>
        </is>
      </c>
      <c r="O16" s="54" t="inlineStr">
        <is>
          <t>Uploaded PDF: Munitorum Field Manual v2.3 / March 2025, p.22</t>
        </is>
      </c>
    </row>
    <row r="17">
      <c r="A17" t="inlineStr">
        <is>
          <t>Genestealer Cults</t>
        </is>
      </c>
      <c r="C17" t="inlineStr">
        <is>
          <t>Character</t>
        </is>
      </c>
      <c r="D17" t="inlineStr">
        <is>
          <t>Character</t>
        </is>
      </c>
      <c r="E17" t="inlineStr">
        <is>
          <t>Nexos</t>
        </is>
      </c>
      <c r="F17" t="inlineStr">
        <is>
          <t>1 model</t>
        </is>
      </c>
      <c r="G17" t="inlineStr">
        <is>
          <t>Character</t>
        </is>
      </c>
      <c r="L17" s="60" t="n">
        <v>60</v>
      </c>
      <c r="M17" s="54" t="str"/>
      <c r="N17" s="54" t="inlineStr">
        <is>
          <t>Matched to Munitorum Field Manual v2.3</t>
        </is>
      </c>
      <c r="O17" s="54" t="inlineStr">
        <is>
          <t>Uploaded PDF: Munitorum Field Manual v2.3 / March 2025, p.22</t>
        </is>
      </c>
    </row>
    <row r="18">
      <c r="A18" t="inlineStr">
        <is>
          <t>Genestealer Cults</t>
        </is>
      </c>
      <c r="C18" t="inlineStr">
        <is>
          <t>Battleline / Core</t>
        </is>
      </c>
      <c r="D18" t="inlineStr">
        <is>
          <t>Infantry</t>
        </is>
      </c>
      <c r="E18" t="inlineStr">
        <is>
          <t>Neophyte Hybrids</t>
        </is>
      </c>
      <c r="F18" t="inlineStr">
        <is>
          <t>10 models</t>
        </is>
      </c>
      <c r="G18" t="inlineStr">
        <is>
          <t>Infantry</t>
        </is>
      </c>
      <c r="L18" s="60" t="n">
        <v>65</v>
      </c>
      <c r="M18" s="54" t="inlineStr">
        <is>
          <t>Points options: 10 models = 65 pts; 20 models = 145 pts</t>
        </is>
      </c>
      <c r="N18" s="54" t="inlineStr">
        <is>
          <t>Matched to Munitorum Field Manual v2.3</t>
        </is>
      </c>
      <c r="O18" s="54" t="inlineStr">
        <is>
          <t>Uploaded PDF: Munitorum Field Manual v2.3 / March 2025, p.22</t>
        </is>
      </c>
    </row>
    <row r="19">
      <c r="A19" t="inlineStr">
        <is>
          <t>Genestealer Cults</t>
        </is>
      </c>
      <c r="C19" t="inlineStr">
        <is>
          <t>Character</t>
        </is>
      </c>
      <c r="D19" t="inlineStr">
        <is>
          <t>Character</t>
        </is>
      </c>
      <c r="E19" t="inlineStr">
        <is>
          <t>Patriarch</t>
        </is>
      </c>
      <c r="F19" t="inlineStr">
        <is>
          <t>1 model</t>
        </is>
      </c>
      <c r="G19" t="inlineStr">
        <is>
          <t>Character</t>
        </is>
      </c>
      <c r="L19" s="60" t="n">
        <v>75</v>
      </c>
      <c r="M19" s="54" t="str"/>
      <c r="N19" s="54" t="inlineStr">
        <is>
          <t>Matched to Munitorum Field Manual v2.3</t>
        </is>
      </c>
      <c r="O19" s="54" t="inlineStr">
        <is>
          <t>Uploaded PDF: Munitorum Field Manual v2.3 / March 2025, p.22</t>
        </is>
      </c>
    </row>
    <row r="20">
      <c r="A20" t="inlineStr">
        <is>
          <t>Genestealer Cults</t>
        </is>
      </c>
      <c r="C20" t="inlineStr">
        <is>
          <t>Character</t>
        </is>
      </c>
      <c r="D20" t="inlineStr">
        <is>
          <t>Character</t>
        </is>
      </c>
      <c r="E20" t="inlineStr">
        <is>
          <t>Primus</t>
        </is>
      </c>
      <c r="F20" t="inlineStr">
        <is>
          <t>1 model</t>
        </is>
      </c>
      <c r="G20" t="inlineStr">
        <is>
          <t>Character</t>
        </is>
      </c>
      <c r="L20" s="60" t="n">
        <v>80</v>
      </c>
      <c r="M20" s="54" t="str"/>
      <c r="N20" s="54" t="inlineStr">
        <is>
          <t>Matched to Munitorum Field Manual v2.3</t>
        </is>
      </c>
      <c r="O20" s="54" t="inlineStr">
        <is>
          <t>Uploaded PDF: Munitorum Field Manual v2.3 / March 2025, p.22</t>
        </is>
      </c>
    </row>
    <row r="21">
      <c r="A21" t="inlineStr">
        <is>
          <t>Genestealer Cults</t>
        </is>
      </c>
      <c r="C21" t="inlineStr">
        <is>
          <t>Infantry / Other</t>
        </is>
      </c>
      <c r="D21" t="inlineStr">
        <is>
          <t>Infantry</t>
        </is>
      </c>
      <c r="E21" t="inlineStr">
        <is>
          <t>Purestrain Genestealers</t>
        </is>
      </c>
      <c r="F21" t="inlineStr">
        <is>
          <t>5 models</t>
        </is>
      </c>
      <c r="G21" t="inlineStr">
        <is>
          <t>Infantry</t>
        </is>
      </c>
      <c r="L21" s="60" t="n">
        <v>75</v>
      </c>
      <c r="M21" s="54" t="inlineStr">
        <is>
          <t>Points options: 5 models = 75 pts; 10 models = 150 pts</t>
        </is>
      </c>
      <c r="N21" s="54" t="inlineStr">
        <is>
          <t>Matched to Munitorum Field Manual v2.3</t>
        </is>
      </c>
      <c r="O21" s="54" t="inlineStr">
        <is>
          <t>Uploaded PDF: Munitorum Field Manual v2.3 / March 2025, p.22</t>
        </is>
      </c>
    </row>
    <row r="22">
      <c r="A22" t="inlineStr">
        <is>
          <t>Genestealer Cults</t>
        </is>
      </c>
      <c r="C22" t="inlineStr">
        <is>
          <t>Infantry / Other</t>
        </is>
      </c>
      <c r="D22" t="inlineStr">
        <is>
          <t>Infantry</t>
        </is>
      </c>
      <c r="E22" t="inlineStr">
        <is>
          <t>Reductus Saboteur</t>
        </is>
      </c>
      <c r="F22" t="inlineStr">
        <is>
          <t>1 model</t>
        </is>
      </c>
      <c r="G22" t="inlineStr">
        <is>
          <t>Infantry</t>
        </is>
      </c>
      <c r="L22" s="60" t="n">
        <v>65</v>
      </c>
      <c r="M22" s="54" t="str"/>
      <c r="N22" s="54" t="inlineStr">
        <is>
          <t>Matched to Munitorum Field Manual v2.3</t>
        </is>
      </c>
      <c r="O22" s="54" t="inlineStr">
        <is>
          <t>Uploaded PDF: Munitorum Field Manual v2.3 / March 2025, p.22</t>
        </is>
      </c>
    </row>
    <row r="23">
      <c r="A23" t="inlineStr">
        <is>
          <t>Genestealer Cults</t>
        </is>
      </c>
      <c r="C23" t="inlineStr">
        <is>
          <t>Character</t>
        </is>
      </c>
      <c r="D23" t="inlineStr">
        <is>
          <t>Character</t>
        </is>
      </c>
      <c r="E23" t="inlineStr">
        <is>
          <t>Sanctus</t>
        </is>
      </c>
      <c r="F23" t="inlineStr">
        <is>
          <t>1 model</t>
        </is>
      </c>
      <c r="G23" t="inlineStr">
        <is>
          <t>Character</t>
        </is>
      </c>
      <c r="L23" s="60" t="n">
        <v>50</v>
      </c>
      <c r="M23" s="54" t="str"/>
      <c r="N23" s="54" t="inlineStr">
        <is>
          <t>Matched to Munitorum Field Manual v2.3</t>
        </is>
      </c>
      <c r="O23" s="54" t="inlineStr">
        <is>
          <t>Uploaded PDF: Munitorum Field Manual v2.3 / March 2025, p.22</t>
        </is>
      </c>
    </row>
    <row r="24">
      <c r="A24" t="inlineStr">
        <is>
          <t>Genestealer Cults</t>
        </is>
      </c>
      <c r="C24" t="inlineStr">
        <is>
          <t>Character</t>
        </is>
      </c>
      <c r="D24" t="inlineStr">
        <is>
          <t>Character</t>
        </is>
      </c>
      <c r="E24" t="inlineStr">
        <is>
          <t>Acolyte Iconward</t>
        </is>
      </c>
      <c r="F24" t="inlineStr">
        <is>
          <t>1 model</t>
        </is>
      </c>
      <c r="G24" t="inlineStr">
        <is>
          <t>Character</t>
        </is>
      </c>
      <c r="L24" t="n">
        <v>50</v>
      </c>
      <c r="N24" t="inlineStr">
        <is>
          <t>Added from current Munitorum Field Manual v4.1 (non-Legends)</t>
        </is>
      </c>
      <c r="O24" t="inlineStr">
        <is>
          <t>https://www.warhammer-community.com/en-gb/downloads/warhammer-40000/</t>
        </is>
      </c>
    </row>
    <row r="25">
      <c r="A25" t="inlineStr">
        <is>
          <t>Genestealer Cults</t>
        </is>
      </c>
      <c r="C25" t="inlineStr">
        <is>
          <t>Character</t>
        </is>
      </c>
      <c r="D25" t="inlineStr">
        <is>
          <t>Character</t>
        </is>
      </c>
      <c r="E25" t="inlineStr">
        <is>
          <t>Benefictus</t>
        </is>
      </c>
      <c r="F25" t="inlineStr">
        <is>
          <t>1 model</t>
        </is>
      </c>
      <c r="G25" t="inlineStr">
        <is>
          <t>Character</t>
        </is>
      </c>
      <c r="L25" t="n">
        <v>75</v>
      </c>
      <c r="N25" t="inlineStr">
        <is>
          <t>Added from current Munitorum Field Manual v4.1 (non-Legends)</t>
        </is>
      </c>
      <c r="O2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Grey Knights</t>
        </is>
      </c>
      <c r="B2" t="inlineStr">
        <is>
          <t>Grey Knights</t>
        </is>
      </c>
      <c r="C2" t="inlineStr">
        <is>
          <t>Character</t>
        </is>
      </c>
      <c r="D2" t="inlineStr">
        <is>
          <t>Character</t>
        </is>
      </c>
      <c r="E2" t="inlineStr">
        <is>
          <t>Brother-Captain</t>
        </is>
      </c>
      <c r="F2" t="inlineStr">
        <is>
          <t>1 model</t>
        </is>
      </c>
      <c r="G2" t="inlineStr">
        <is>
          <t>Character</t>
        </is>
      </c>
      <c r="L2" s="60" t="n">
        <v>90</v>
      </c>
      <c r="M2" s="54" t="str"/>
      <c r="N2" s="54" t="inlineStr">
        <is>
          <t>Matched to Munitorum Field Manual v2.3</t>
        </is>
      </c>
      <c r="O2" s="54" t="inlineStr">
        <is>
          <t>Uploaded PDF: Munitorum Field Manual v2.3 / March 2025, p.23</t>
        </is>
      </c>
    </row>
    <row r="3">
      <c r="A3" t="inlineStr">
        <is>
          <t>Grey Knights</t>
        </is>
      </c>
      <c r="B3" t="inlineStr">
        <is>
          <t>Grey Knights</t>
        </is>
      </c>
      <c r="C3" t="inlineStr">
        <is>
          <t>Character</t>
        </is>
      </c>
      <c r="D3" t="inlineStr">
        <is>
          <t>Character</t>
        </is>
      </c>
      <c r="E3" t="inlineStr">
        <is>
          <t>Brotherhood Champion</t>
        </is>
      </c>
      <c r="F3" t="inlineStr">
        <is>
          <t>1 model</t>
        </is>
      </c>
      <c r="G3" t="inlineStr">
        <is>
          <t>Character</t>
        </is>
      </c>
      <c r="L3" s="60" t="n">
        <v>80</v>
      </c>
      <c r="M3" s="54" t="str"/>
      <c r="N3" s="54" t="inlineStr">
        <is>
          <t>Matched to Munitorum Field Manual v2.3</t>
        </is>
      </c>
      <c r="O3" s="54" t="inlineStr">
        <is>
          <t>Uploaded PDF: Munitorum Field Manual v2.3 / March 2025, p.23</t>
        </is>
      </c>
    </row>
    <row r="4">
      <c r="A4" t="inlineStr">
        <is>
          <t>Grey Knights</t>
        </is>
      </c>
      <c r="B4" t="inlineStr">
        <is>
          <t>Grey Knights</t>
        </is>
      </c>
      <c r="C4" t="inlineStr">
        <is>
          <t>Character</t>
        </is>
      </c>
      <c r="D4" t="inlineStr">
        <is>
          <t>Character</t>
        </is>
      </c>
      <c r="E4" t="inlineStr">
        <is>
          <t>Brotherhood Chaplain</t>
        </is>
      </c>
      <c r="F4" t="inlineStr">
        <is>
          <t>1 model</t>
        </is>
      </c>
      <c r="G4" t="inlineStr">
        <is>
          <t>Character</t>
        </is>
      </c>
      <c r="L4" s="60" t="n">
        <v>75</v>
      </c>
      <c r="M4" s="54" t="str"/>
      <c r="N4" s="54" t="inlineStr">
        <is>
          <t>Matched to Munitorum Field Manual v2.3</t>
        </is>
      </c>
      <c r="O4" s="54" t="inlineStr">
        <is>
          <t>Uploaded PDF: Munitorum Field Manual v2.3 / March 2025, p.23</t>
        </is>
      </c>
    </row>
    <row r="5">
      <c r="A5" t="inlineStr">
        <is>
          <t>Grey Knights</t>
        </is>
      </c>
      <c r="B5" t="inlineStr">
        <is>
          <t>Grey Knights</t>
        </is>
      </c>
      <c r="C5" t="inlineStr">
        <is>
          <t>Character</t>
        </is>
      </c>
      <c r="D5" t="inlineStr">
        <is>
          <t>Character</t>
        </is>
      </c>
      <c r="E5" t="inlineStr">
        <is>
          <t>Brotherhood Librarian</t>
        </is>
      </c>
      <c r="F5" t="inlineStr">
        <is>
          <t>1 model</t>
        </is>
      </c>
      <c r="G5" t="inlineStr">
        <is>
          <t>Character, Psyker</t>
        </is>
      </c>
      <c r="L5" s="60" t="n">
        <v>120</v>
      </c>
      <c r="M5" s="54" t="str"/>
      <c r="N5" s="54" t="inlineStr">
        <is>
          <t>Matched to Munitorum Field Manual v2.3</t>
        </is>
      </c>
      <c r="O5" s="54" t="inlineStr">
        <is>
          <t>Uploaded PDF: Munitorum Field Manual v2.3 / March 2025, p.23</t>
        </is>
      </c>
    </row>
    <row r="6">
      <c r="A6" t="inlineStr">
        <is>
          <t>Grey Knights</t>
        </is>
      </c>
      <c r="B6" t="inlineStr">
        <is>
          <t>Grey Knights</t>
        </is>
      </c>
      <c r="C6" t="inlineStr">
        <is>
          <t>Character</t>
        </is>
      </c>
      <c r="D6" t="inlineStr">
        <is>
          <t>Character</t>
        </is>
      </c>
      <c r="E6" t="inlineStr">
        <is>
          <t>Brotherhood Techmarine</t>
        </is>
      </c>
      <c r="F6" t="inlineStr">
        <is>
          <t>1 model</t>
        </is>
      </c>
      <c r="G6" t="inlineStr">
        <is>
          <t>Character</t>
        </is>
      </c>
      <c r="L6" s="60" t="n">
        <v>70</v>
      </c>
      <c r="M6" s="54" t="str"/>
      <c r="N6" s="54" t="inlineStr">
        <is>
          <t>Matched to Munitorum Field Manual v2.3</t>
        </is>
      </c>
      <c r="O6" s="54" t="inlineStr">
        <is>
          <t>Uploaded PDF: Munitorum Field Manual v2.3 / March 2025, p.23</t>
        </is>
      </c>
    </row>
    <row r="7">
      <c r="A7" t="inlineStr">
        <is>
          <t>Grey Knights</t>
        </is>
      </c>
      <c r="B7" t="inlineStr">
        <is>
          <t>Grey Knights</t>
        </is>
      </c>
      <c r="C7" t="inlineStr">
        <is>
          <t>Infantry / Other</t>
        </is>
      </c>
      <c r="D7" t="inlineStr">
        <is>
          <t>Infantry</t>
        </is>
      </c>
      <c r="E7" t="inlineStr">
        <is>
          <t>Castellan Crowe</t>
        </is>
      </c>
      <c r="F7" t="inlineStr">
        <is>
          <t>1 model</t>
        </is>
      </c>
      <c r="G7" t="inlineStr">
        <is>
          <t>Infantry</t>
        </is>
      </c>
      <c r="L7" s="60" t="n">
        <v>90</v>
      </c>
      <c r="M7" s="54" t="str"/>
      <c r="N7" s="54" t="inlineStr">
        <is>
          <t>Matched to Munitorum Field Manual v2.3</t>
        </is>
      </c>
      <c r="O7" s="54" t="inlineStr">
        <is>
          <t>Uploaded PDF: Munitorum Field Manual v2.3 / March 2025, p.23</t>
        </is>
      </c>
    </row>
    <row r="8">
      <c r="A8" t="inlineStr">
        <is>
          <t>Grey Knights</t>
        </is>
      </c>
      <c r="B8" t="inlineStr">
        <is>
          <t>Grey Knights</t>
        </is>
      </c>
      <c r="C8" t="inlineStr">
        <is>
          <t>Character</t>
        </is>
      </c>
      <c r="D8" t="inlineStr">
        <is>
          <t>Character</t>
        </is>
      </c>
      <c r="E8" t="inlineStr">
        <is>
          <t>Grand Master</t>
        </is>
      </c>
      <c r="F8" t="inlineStr">
        <is>
          <t>1 model</t>
        </is>
      </c>
      <c r="G8" t="inlineStr">
        <is>
          <t>Character</t>
        </is>
      </c>
      <c r="L8" s="60" t="n">
        <v>95</v>
      </c>
      <c r="M8" s="54" t="str"/>
      <c r="N8" s="54" t="inlineStr">
        <is>
          <t>Matched to Munitorum Field Manual v2.3</t>
        </is>
      </c>
      <c r="O8" s="54" t="inlineStr">
        <is>
          <t>Uploaded PDF: Munitorum Field Manual v2.3 / March 2025, p.23</t>
        </is>
      </c>
    </row>
    <row r="9">
      <c r="A9" t="inlineStr">
        <is>
          <t>Grey Knights</t>
        </is>
      </c>
      <c r="B9" t="inlineStr">
        <is>
          <t>Grey Knights</t>
        </is>
      </c>
      <c r="C9" t="inlineStr">
        <is>
          <t>Vehicle / Support</t>
        </is>
      </c>
      <c r="D9" t="inlineStr">
        <is>
          <t>Super-heavy Vehicle/Monster</t>
        </is>
      </c>
      <c r="E9" t="inlineStr">
        <is>
          <t>Grand Master in Nemesis Dreadknight</t>
        </is>
      </c>
      <c r="F9" t="inlineStr">
        <is>
          <t>1 model</t>
        </is>
      </c>
      <c r="G9" t="inlineStr">
        <is>
          <t>Super-heavy Vehicle/Monster</t>
        </is>
      </c>
      <c r="L9" s="60" t="n">
        <v>210</v>
      </c>
      <c r="M9" s="54" t="str"/>
      <c r="N9" s="54" t="inlineStr">
        <is>
          <t>Matched to Munitorum Field Manual v2.3</t>
        </is>
      </c>
      <c r="O9" s="54" t="inlineStr">
        <is>
          <t>Uploaded PDF: Munitorum Field Manual v2.3 / March 2025, p.23</t>
        </is>
      </c>
    </row>
    <row r="10">
      <c r="A10" t="inlineStr">
        <is>
          <t>Grey Knights</t>
        </is>
      </c>
      <c r="B10" t="inlineStr">
        <is>
          <t>Grey Knights</t>
        </is>
      </c>
      <c r="C10" t="inlineStr">
        <is>
          <t>Vehicle / Support</t>
        </is>
      </c>
      <c r="D10" t="inlineStr">
        <is>
          <t>Aircraft</t>
        </is>
      </c>
      <c r="E10" t="inlineStr">
        <is>
          <t>Interceptors</t>
        </is>
      </c>
      <c r="F10" t="inlineStr">
        <is>
          <t>5 models</t>
        </is>
      </c>
      <c r="G10" t="inlineStr">
        <is>
          <t>Aircraft</t>
        </is>
      </c>
      <c r="L10" s="60" t="n">
        <v>125</v>
      </c>
      <c r="M10" s="54" t="inlineStr">
        <is>
          <t>Points options: 5 models = 125 pts; 10 models = 250 pts</t>
        </is>
      </c>
      <c r="N10" s="54" t="inlineStr">
        <is>
          <t>Matched to Munitorum Field Manual v2.3</t>
        </is>
      </c>
      <c r="O10" s="54" t="inlineStr">
        <is>
          <t>Uploaded PDF: Munitorum Field Manual v2.3 / March 2025, p.23</t>
        </is>
      </c>
    </row>
    <row r="11">
      <c r="A11" t="inlineStr">
        <is>
          <t>Grey Knights</t>
        </is>
      </c>
      <c r="B11" t="inlineStr">
        <is>
          <t>Grey Knights</t>
        </is>
      </c>
      <c r="C11" t="inlineStr">
        <is>
          <t>Infantry / Other</t>
        </is>
      </c>
      <c r="D11" t="inlineStr">
        <is>
          <t>Infantry</t>
        </is>
      </c>
      <c r="E11" t="inlineStr">
        <is>
          <t>Kaldor Draigo</t>
        </is>
      </c>
      <c r="F11" t="inlineStr">
        <is>
          <t>1 model</t>
        </is>
      </c>
      <c r="G11" t="inlineStr">
        <is>
          <t>Infantry, Epic Hero</t>
        </is>
      </c>
      <c r="L11" s="60" t="n">
        <v>125</v>
      </c>
      <c r="M11" s="54" t="str"/>
      <c r="N11" s="54" t="inlineStr">
        <is>
          <t>Matched to Munitorum Field Manual v2.3</t>
        </is>
      </c>
      <c r="O11" s="54" t="inlineStr">
        <is>
          <t>Uploaded PDF: Munitorum Field Manual v2.3 / March 2025, p.23</t>
        </is>
      </c>
    </row>
    <row r="12">
      <c r="A12" t="inlineStr">
        <is>
          <t>Grey Knights</t>
        </is>
      </c>
      <c r="B12" t="inlineStr">
        <is>
          <t>Grey Knights</t>
        </is>
      </c>
      <c r="C12" t="inlineStr">
        <is>
          <t>Vehicle / Support</t>
        </is>
      </c>
      <c r="D12" t="inlineStr">
        <is>
          <t>Super-heavy Vehicle/Monster</t>
        </is>
      </c>
      <c r="E12" t="inlineStr">
        <is>
          <t>Nemesis Dreadknight</t>
        </is>
      </c>
      <c r="F12" t="inlineStr">
        <is>
          <t>1 model</t>
        </is>
      </c>
      <c r="G12" t="inlineStr">
        <is>
          <t>Super-heavy Vehicle/Monster</t>
        </is>
      </c>
      <c r="L12" s="60" t="n">
        <v>210</v>
      </c>
      <c r="M12" s="54" t="str"/>
      <c r="N12" s="54" t="inlineStr">
        <is>
          <t>Matched to Munitorum Field Manual v2.3</t>
        </is>
      </c>
      <c r="O12" s="54" t="inlineStr">
        <is>
          <t>Uploaded PDF: Munitorum Field Manual v2.3 / March 2025, p.23</t>
        </is>
      </c>
    </row>
    <row r="13">
      <c r="A13" t="inlineStr">
        <is>
          <t>Grey Knights</t>
        </is>
      </c>
      <c r="B13" t="inlineStr">
        <is>
          <t>Grey Knights</t>
        </is>
      </c>
      <c r="C13" t="inlineStr">
        <is>
          <t>Character</t>
        </is>
      </c>
      <c r="D13" t="inlineStr">
        <is>
          <t>Character</t>
        </is>
      </c>
      <c r="E13" t="inlineStr">
        <is>
          <t>Paladin Ancient</t>
        </is>
      </c>
      <c r="G13" t="inlineStr">
        <is>
          <t>Character</t>
        </is>
      </c>
      <c r="L13" s="60" t="n"/>
      <c r="M13" s="54" t="inlineStr">
        <is>
          <t>No matching points entry found in uploaded PDF; verify unit name/current support.</t>
        </is>
      </c>
      <c r="N13" s="54" t="inlineStr">
        <is>
          <t>Not found in uploaded PDF</t>
        </is>
      </c>
      <c r="O13" s="54" t="inlineStr">
        <is>
          <t>Uploaded PDF: Munitorum Field Manual v2.3 / March 2025</t>
        </is>
      </c>
    </row>
    <row r="14">
      <c r="A14" t="inlineStr">
        <is>
          <t>Grey Knights</t>
        </is>
      </c>
      <c r="B14" t="inlineStr">
        <is>
          <t>Grey Knights</t>
        </is>
      </c>
      <c r="C14" t="inlineStr">
        <is>
          <t>Infantry / Other</t>
        </is>
      </c>
      <c r="D14" t="inlineStr">
        <is>
          <t>Infantry</t>
        </is>
      </c>
      <c r="E14" t="inlineStr">
        <is>
          <t>Paladin Squad</t>
        </is>
      </c>
      <c r="F14" t="inlineStr">
        <is>
          <t>5 models</t>
        </is>
      </c>
      <c r="G14" t="inlineStr">
        <is>
          <t>Infantry</t>
        </is>
      </c>
      <c r="L14" s="60" t="n">
        <v>215</v>
      </c>
      <c r="M14" s="54" t="inlineStr">
        <is>
          <t>Points options: 5 models = 215 pts; 10 models = 450 pts</t>
        </is>
      </c>
      <c r="N14" s="54" t="inlineStr">
        <is>
          <t>Matched to Munitorum Field Manual v2.3</t>
        </is>
      </c>
      <c r="O14" s="54" t="inlineStr">
        <is>
          <t>Uploaded PDF: Munitorum Field Manual v2.3 / March 2025, p.23</t>
        </is>
      </c>
    </row>
    <row r="15">
      <c r="A15" t="inlineStr">
        <is>
          <t>Grey Knights</t>
        </is>
      </c>
      <c r="B15" t="inlineStr">
        <is>
          <t>Grey Knights</t>
        </is>
      </c>
      <c r="C15" t="inlineStr">
        <is>
          <t>Infantry / Other</t>
        </is>
      </c>
      <c r="D15" t="inlineStr">
        <is>
          <t>Infantry</t>
        </is>
      </c>
      <c r="E15" t="inlineStr">
        <is>
          <t>Purgation Squad</t>
        </is>
      </c>
      <c r="F15" t="inlineStr">
        <is>
          <t>5 models</t>
        </is>
      </c>
      <c r="G15" t="inlineStr">
        <is>
          <t>Infantry</t>
        </is>
      </c>
      <c r="L15" s="60" t="n">
        <v>120</v>
      </c>
      <c r="M15" s="54" t="inlineStr">
        <is>
          <t>Points options: 5 models = 120 pts; 10 models = 240 pts</t>
        </is>
      </c>
      <c r="N15" s="54" t="inlineStr">
        <is>
          <t>Matched to Munitorum Field Manual v2.3</t>
        </is>
      </c>
      <c r="O15" s="54" t="inlineStr">
        <is>
          <t>Uploaded PDF: Munitorum Field Manual v2.3 / March 2025, p.23</t>
        </is>
      </c>
    </row>
    <row r="16">
      <c r="A16" t="inlineStr">
        <is>
          <t>Grey Knights</t>
        </is>
      </c>
      <c r="B16" t="inlineStr">
        <is>
          <t>Grey Knights</t>
        </is>
      </c>
      <c r="C16" t="inlineStr">
        <is>
          <t>Infantry / Other</t>
        </is>
      </c>
      <c r="D16" t="inlineStr">
        <is>
          <t>Infantry</t>
        </is>
      </c>
      <c r="E16" t="inlineStr">
        <is>
          <t>Purifier Squad</t>
        </is>
      </c>
      <c r="F16" t="inlineStr">
        <is>
          <t>5 models</t>
        </is>
      </c>
      <c r="G16" t="inlineStr">
        <is>
          <t>Infantry</t>
        </is>
      </c>
      <c r="L16" s="60" t="n">
        <v>125</v>
      </c>
      <c r="M16" s="54" t="inlineStr">
        <is>
          <t>Points options: 5 models = 125 pts; 10 models = 250 pts</t>
        </is>
      </c>
      <c r="N16" s="54" t="inlineStr">
        <is>
          <t>Matched to Munitorum Field Manual v2.3</t>
        </is>
      </c>
      <c r="O16" s="54" t="inlineStr">
        <is>
          <t>Uploaded PDF: Munitorum Field Manual v2.3 / March 2025, p.23</t>
        </is>
      </c>
    </row>
    <row r="17">
      <c r="A17" t="inlineStr">
        <is>
          <t>Grey Knights</t>
        </is>
      </c>
      <c r="B17" t="inlineStr">
        <is>
          <t>Grey Knights</t>
        </is>
      </c>
      <c r="C17" t="inlineStr">
        <is>
          <t>Infantry / Other</t>
        </is>
      </c>
      <c r="D17" t="inlineStr">
        <is>
          <t>Infantry</t>
        </is>
      </c>
      <c r="E17" t="inlineStr">
        <is>
          <t>Servitors</t>
        </is>
      </c>
      <c r="F17" t="inlineStr">
        <is>
          <t>4 models</t>
        </is>
      </c>
      <c r="G17" t="inlineStr">
        <is>
          <t>Infantry</t>
        </is>
      </c>
      <c r="L17" s="60" t="n">
        <v>50</v>
      </c>
      <c r="M17" s="54" t="str"/>
      <c r="N17" s="54" t="inlineStr">
        <is>
          <t>Matched to Munitorum Field Manual v2.3</t>
        </is>
      </c>
      <c r="O17" s="54" t="inlineStr">
        <is>
          <t>Uploaded PDF: Munitorum Field Manual v2.3 / March 2025, p.23</t>
        </is>
      </c>
    </row>
    <row r="18">
      <c r="A18" t="inlineStr">
        <is>
          <t>Grey Knights</t>
        </is>
      </c>
      <c r="B18" t="inlineStr">
        <is>
          <t>Grey Knights</t>
        </is>
      </c>
      <c r="C18" t="inlineStr">
        <is>
          <t>Battleline / Core</t>
        </is>
      </c>
      <c r="D18" t="inlineStr">
        <is>
          <t>Infantry</t>
        </is>
      </c>
      <c r="E18" t="inlineStr">
        <is>
          <t>Strike Squad</t>
        </is>
      </c>
      <c r="F18" t="inlineStr">
        <is>
          <t>5 models</t>
        </is>
      </c>
      <c r="G18" t="inlineStr">
        <is>
          <t>Infantry</t>
        </is>
      </c>
      <c r="L18" s="60" t="n">
        <v>120</v>
      </c>
      <c r="M18" s="54" t="inlineStr">
        <is>
          <t>Points options: 5 models = 120 pts; 10 models = 240 pts</t>
        </is>
      </c>
      <c r="N18" s="54" t="inlineStr">
        <is>
          <t>Matched to Munitorum Field Manual v2.3</t>
        </is>
      </c>
      <c r="O18" s="54" t="inlineStr">
        <is>
          <t>Uploaded PDF: Munitorum Field Manual v2.3 / March 2025, p.23</t>
        </is>
      </c>
    </row>
    <row r="19">
      <c r="A19" t="inlineStr">
        <is>
          <t>Grey Knights</t>
        </is>
      </c>
      <c r="B19" t="inlineStr">
        <is>
          <t>Grey Knights</t>
        </is>
      </c>
      <c r="C19" t="inlineStr">
        <is>
          <t>Infantry / Other</t>
        </is>
      </c>
      <c r="D19" t="inlineStr">
        <is>
          <t>Infantry</t>
        </is>
      </c>
      <c r="E19" t="inlineStr">
        <is>
          <t>Terminators</t>
        </is>
      </c>
      <c r="F19" t="inlineStr">
        <is>
          <t>5 models</t>
        </is>
      </c>
      <c r="G19" t="inlineStr">
        <is>
          <t>Infantry</t>
        </is>
      </c>
      <c r="L19" s="60" t="n">
        <v>200</v>
      </c>
      <c r="M19" s="54" t="inlineStr">
        <is>
          <t>Points options: 5 models = 200 pts; 10 models = 420 pts</t>
        </is>
      </c>
      <c r="N19" s="54" t="inlineStr">
        <is>
          <t>Matched to Munitorum Field Manual v2.3</t>
        </is>
      </c>
      <c r="O19" s="54" t="inlineStr">
        <is>
          <t>Uploaded PDF: Munitorum Field Manual v2.3 / March 2025, p.23</t>
        </is>
      </c>
    </row>
    <row r="20">
      <c r="A20" t="inlineStr">
        <is>
          <t>Grey Knights</t>
        </is>
      </c>
      <c r="B20" t="inlineStr">
        <is>
          <t>Grey Knights</t>
        </is>
      </c>
      <c r="C20" t="inlineStr">
        <is>
          <t>Vehicle / Support</t>
        </is>
      </c>
      <c r="D20" t="inlineStr">
        <is>
          <t>Walker / Battlesuit</t>
        </is>
      </c>
      <c r="E20" t="inlineStr">
        <is>
          <t>Venerable Dreadnought</t>
        </is>
      </c>
      <c r="G20" t="inlineStr">
        <is>
          <t>Walker / Battlesuit</t>
        </is>
      </c>
      <c r="L20" s="60" t="n"/>
      <c r="M20" s="54" t="inlineStr">
        <is>
          <t>No matching points entry found in uploaded PDF; verify unit name/current support.</t>
        </is>
      </c>
      <c r="N20" s="54" t="inlineStr">
        <is>
          <t>Not found in uploaded PDF</t>
        </is>
      </c>
      <c r="O20" s="54" t="inlineStr">
        <is>
          <t>Uploaded PDF: Munitorum Field Manual v2.3 / March 2025</t>
        </is>
      </c>
    </row>
    <row r="21">
      <c r="A21" t="inlineStr">
        <is>
          <t>Grey Knights</t>
        </is>
      </c>
      <c r="C21" t="inlineStr">
        <is>
          <t>Character</t>
        </is>
      </c>
      <c r="D21" t="inlineStr">
        <is>
          <t>Character</t>
        </is>
      </c>
      <c r="E21" t="inlineStr">
        <is>
          <t>Grand Master Voldus</t>
        </is>
      </c>
      <c r="F21" t="inlineStr">
        <is>
          <t>1 model</t>
        </is>
      </c>
      <c r="G21" t="inlineStr">
        <is>
          <t>Character</t>
        </is>
      </c>
      <c r="L21" t="n">
        <v>140</v>
      </c>
      <c r="N21" t="inlineStr">
        <is>
          <t>Added from current Munitorum Field Manual v4.1 (non-Legends)</t>
        </is>
      </c>
      <c r="O21" t="inlineStr">
        <is>
          <t>https://www.warhammer-community.com/en-gb/downloads/warhammer-40000/</t>
        </is>
      </c>
    </row>
    <row r="22">
      <c r="A22" t="inlineStr">
        <is>
          <t>Grey Knights</t>
        </is>
      </c>
      <c r="C22" t="inlineStr">
        <is>
          <t>Vehicle / Support</t>
        </is>
      </c>
      <c r="D22" t="inlineStr">
        <is>
          <t>Vehicle</t>
        </is>
      </c>
      <c r="E22" t="inlineStr">
        <is>
          <t>Grey Knights Thunderhawk Gunship</t>
        </is>
      </c>
      <c r="F22" t="inlineStr">
        <is>
          <t>1 model</t>
        </is>
      </c>
      <c r="G22" t="inlineStr">
        <is>
          <t>Vehicle</t>
        </is>
      </c>
      <c r="L22" t="n">
        <v>805</v>
      </c>
      <c r="M22" t="inlineStr">
        <is>
          <t>Your 1st Unit Costs: 1 models = 805 pts | Your 2nd + Unit Costs: 1 models = 855 pts</t>
        </is>
      </c>
      <c r="N22" t="inlineStr">
        <is>
          <t>Added from current Munitorum Field Manual v4.1 (non-Legends)</t>
        </is>
      </c>
      <c r="O22" t="inlineStr">
        <is>
          <t>https://www.warhammer-community.com/en-gb/downloads/warhammer-40000/</t>
        </is>
      </c>
    </row>
    <row r="23">
      <c r="A23" t="inlineStr">
        <is>
          <t>Grey Knights</t>
        </is>
      </c>
      <c r="C23" t="inlineStr">
        <is>
          <t>Vehicle / Support</t>
        </is>
      </c>
      <c r="D23" t="inlineStr">
        <is>
          <t>Vehicle</t>
        </is>
      </c>
      <c r="E23" t="inlineStr">
        <is>
          <t>Land Raider</t>
        </is>
      </c>
      <c r="F23" t="inlineStr">
        <is>
          <t>1 model</t>
        </is>
      </c>
      <c r="G23" t="inlineStr">
        <is>
          <t>Vehicle</t>
        </is>
      </c>
      <c r="L23" t="n">
        <v>220</v>
      </c>
      <c r="M23" t="inlineStr">
        <is>
          <t>Your 1st To 2nd Units Cost: 1 models = 220 pts | Your 3rd + Unit Costs: 1 models = 240 pts</t>
        </is>
      </c>
      <c r="N23" t="inlineStr">
        <is>
          <t>Added from current Munitorum Field Manual v4.1 (non-Legends)</t>
        </is>
      </c>
      <c r="O23" t="inlineStr">
        <is>
          <t>https://www.warhammer-community.com/en-gb/downloads/warhammer-40000/</t>
        </is>
      </c>
    </row>
    <row r="24">
      <c r="A24" t="inlineStr">
        <is>
          <t>Grey Knights</t>
        </is>
      </c>
      <c r="C24" t="inlineStr">
        <is>
          <t>Vehicle / Support</t>
        </is>
      </c>
      <c r="D24" t="inlineStr">
        <is>
          <t>Vehicle</t>
        </is>
      </c>
      <c r="E24" t="inlineStr">
        <is>
          <t>Land Raider Crusader</t>
        </is>
      </c>
      <c r="F24" t="inlineStr">
        <is>
          <t>1 model</t>
        </is>
      </c>
      <c r="G24" t="inlineStr">
        <is>
          <t>Vehicle</t>
        </is>
      </c>
      <c r="L24" t="n">
        <v>220</v>
      </c>
      <c r="M24" t="inlineStr">
        <is>
          <t>Your 1st To 2nd Units Cost: 1 models = 220 pts | Your 3rd + Unit Costs: 1 models = 240 pts</t>
        </is>
      </c>
      <c r="N24" t="inlineStr">
        <is>
          <t>Added from current Munitorum Field Manual v4.1 (non-Legends)</t>
        </is>
      </c>
      <c r="O24" t="inlineStr">
        <is>
          <t>https://www.warhammer-community.com/en-gb/downloads/warhammer-40000/</t>
        </is>
      </c>
    </row>
    <row r="25">
      <c r="A25" t="inlineStr">
        <is>
          <t>Grey Knights</t>
        </is>
      </c>
      <c r="C25" t="inlineStr">
        <is>
          <t>Vehicle / Support</t>
        </is>
      </c>
      <c r="D25" t="inlineStr">
        <is>
          <t>Vehicle</t>
        </is>
      </c>
      <c r="E25" t="inlineStr">
        <is>
          <t>Land Raider Redeemer</t>
        </is>
      </c>
      <c r="F25" t="inlineStr">
        <is>
          <t>1 model</t>
        </is>
      </c>
      <c r="G25" t="inlineStr">
        <is>
          <t>Vehicle</t>
        </is>
      </c>
      <c r="L25" t="n">
        <v>250</v>
      </c>
      <c r="M25" t="inlineStr">
        <is>
          <t>Your 1st To 2nd Units Cost: 1 models = 250 pts | Your 3rd + Unit Costs: 1 models = 270 pts</t>
        </is>
      </c>
      <c r="N25" t="inlineStr">
        <is>
          <t>Added from current Munitorum Field Manual v4.1 (non-Legends)</t>
        </is>
      </c>
      <c r="O25" t="inlineStr">
        <is>
          <t>https://www.warhammer-community.com/en-gb/downloads/warhammer-40000/</t>
        </is>
      </c>
    </row>
    <row r="26">
      <c r="A26" t="inlineStr">
        <is>
          <t>Grey Knights</t>
        </is>
      </c>
      <c r="C26" t="inlineStr">
        <is>
          <t>Infantry / Other</t>
        </is>
      </c>
      <c r="D26" t="inlineStr">
        <is>
          <t>Infantry</t>
        </is>
      </c>
      <c r="E26" t="inlineStr">
        <is>
          <t>Razorback</t>
        </is>
      </c>
      <c r="F26" t="inlineStr">
        <is>
          <t>1 model</t>
        </is>
      </c>
      <c r="G26" t="inlineStr">
        <is>
          <t>Infantry</t>
        </is>
      </c>
      <c r="L26" t="n">
        <v>85</v>
      </c>
      <c r="N26" t="inlineStr">
        <is>
          <t>Added from current Munitorum Field Manual v4.1 (non-Legends)</t>
        </is>
      </c>
      <c r="O26" t="inlineStr">
        <is>
          <t>https://www.warhammer-community.com/en-gb/downloads/warhammer-40000/</t>
        </is>
      </c>
    </row>
    <row r="27">
      <c r="A27" t="inlineStr">
        <is>
          <t>Grey Knights</t>
        </is>
      </c>
      <c r="C27" t="inlineStr">
        <is>
          <t>Vehicle / Support</t>
        </is>
      </c>
      <c r="D27" t="inlineStr">
        <is>
          <t>Vehicle</t>
        </is>
      </c>
      <c r="E27" t="inlineStr">
        <is>
          <t>Rhino</t>
        </is>
      </c>
      <c r="F27" t="inlineStr">
        <is>
          <t>1 model</t>
        </is>
      </c>
      <c r="G27" t="inlineStr">
        <is>
          <t>Vehicle</t>
        </is>
      </c>
      <c r="L27" t="n">
        <v>80</v>
      </c>
      <c r="N27" t="inlineStr">
        <is>
          <t>Added from current Munitorum Field Manual v4.1 (non-Legends)</t>
        </is>
      </c>
      <c r="O27" t="inlineStr">
        <is>
          <t>https://www.warhammer-community.com/en-gb/downloads/warhammer-40000/</t>
        </is>
      </c>
    </row>
    <row r="28">
      <c r="A28" t="inlineStr">
        <is>
          <t>Grey Knights</t>
        </is>
      </c>
      <c r="C28" t="inlineStr">
        <is>
          <t>Vehicle / Support</t>
        </is>
      </c>
      <c r="D28" t="inlineStr">
        <is>
          <t>Vehicle</t>
        </is>
      </c>
      <c r="E28" t="inlineStr">
        <is>
          <t>Stormhawk Interceptor</t>
        </is>
      </c>
      <c r="F28" t="inlineStr">
        <is>
          <t>1 model</t>
        </is>
      </c>
      <c r="G28" t="inlineStr">
        <is>
          <t>Vehicle</t>
        </is>
      </c>
      <c r="L28" t="n">
        <v>160</v>
      </c>
      <c r="N28" t="inlineStr">
        <is>
          <t>Added from current Munitorum Field Manual v4.1 (non-Legends)</t>
        </is>
      </c>
      <c r="O28" t="inlineStr">
        <is>
          <t>https://www.warhammer-community.com/en-gb/downloads/warhammer-40000/</t>
        </is>
      </c>
    </row>
    <row r="29">
      <c r="A29" t="inlineStr">
        <is>
          <t>Grey Knights</t>
        </is>
      </c>
      <c r="C29" t="inlineStr">
        <is>
          <t>Vehicle / Support</t>
        </is>
      </c>
      <c r="D29" t="inlineStr">
        <is>
          <t>Vehicle</t>
        </is>
      </c>
      <c r="E29" t="inlineStr">
        <is>
          <t>Stormraven Gunship</t>
        </is>
      </c>
      <c r="F29" t="inlineStr">
        <is>
          <t>1 model</t>
        </is>
      </c>
      <c r="G29" t="inlineStr">
        <is>
          <t>Vehicle</t>
        </is>
      </c>
      <c r="L29" t="n">
        <v>280</v>
      </c>
      <c r="M29" t="inlineStr">
        <is>
          <t>Your 1st Unit Costs: 1 models = 280 pts | Your 2nd + Unit Costs: 1 models = 300 pts</t>
        </is>
      </c>
      <c r="N29" t="inlineStr">
        <is>
          <t>Added from current Munitorum Field Manual v4.1 (non-Legends)</t>
        </is>
      </c>
      <c r="O29" t="inlineStr">
        <is>
          <t>https://www.warhammer-community.com/en-gb/downloads/warhammer-40000/</t>
        </is>
      </c>
    </row>
    <row r="30">
      <c r="A30" t="inlineStr">
        <is>
          <t>Grey Knights</t>
        </is>
      </c>
      <c r="C30" t="inlineStr">
        <is>
          <t>Vehicle / Support</t>
        </is>
      </c>
      <c r="D30" t="inlineStr">
        <is>
          <t>Vehicle</t>
        </is>
      </c>
      <c r="E30" t="inlineStr">
        <is>
          <t>Stormtalon Gunship</t>
        </is>
      </c>
      <c r="F30" t="inlineStr">
        <is>
          <t>1 model</t>
        </is>
      </c>
      <c r="G30" t="inlineStr">
        <is>
          <t>Vehicle</t>
        </is>
      </c>
      <c r="L30" t="n">
        <v>170</v>
      </c>
      <c r="N30" t="inlineStr">
        <is>
          <t>Added from current Munitorum Field Manual v4.1 (non-Legends)</t>
        </is>
      </c>
      <c r="O30"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Harlequins</t>
        </is>
      </c>
      <c r="C2" t="inlineStr">
        <is>
          <t>Character</t>
        </is>
      </c>
      <c r="D2" t="inlineStr">
        <is>
          <t>Character</t>
        </is>
      </c>
      <c r="E2" t="inlineStr">
        <is>
          <t>Death Jester</t>
        </is>
      </c>
      <c r="F2" t="inlineStr">
        <is>
          <t>1 model</t>
        </is>
      </c>
      <c r="G2" t="inlineStr">
        <is>
          <t>Character</t>
        </is>
      </c>
      <c r="L2" s="60" t="n">
        <v>90</v>
      </c>
      <c r="M2" s="54" t="str"/>
      <c r="N2" s="54" t="inlineStr">
        <is>
          <t>Matched to Munitorum Field Manual v2.3</t>
        </is>
      </c>
      <c r="O2" s="54" t="inlineStr">
        <is>
          <t>Uploaded PDF: Munitorum Field Manual v2.3 / March 2025, p.6</t>
        </is>
      </c>
    </row>
    <row r="3">
      <c r="A3" t="inlineStr">
        <is>
          <t>Harlequins</t>
        </is>
      </c>
      <c r="C3" t="inlineStr">
        <is>
          <t>Character</t>
        </is>
      </c>
      <c r="D3" t="inlineStr">
        <is>
          <t>Character</t>
        </is>
      </c>
      <c r="E3" t="inlineStr">
        <is>
          <t>Shadowseer</t>
        </is>
      </c>
      <c r="F3" t="inlineStr">
        <is>
          <t>1 model</t>
        </is>
      </c>
      <c r="G3" t="inlineStr">
        <is>
          <t>Character, Psyker</t>
        </is>
      </c>
      <c r="L3" s="60" t="n">
        <v>60</v>
      </c>
      <c r="M3" s="54" t="str"/>
      <c r="N3" s="54" t="inlineStr">
        <is>
          <t>Matched to Munitorum Field Manual v2.3</t>
        </is>
      </c>
      <c r="O3" s="54" t="inlineStr">
        <is>
          <t>Uploaded PDF: Munitorum Field Manual v2.3 / March 2025, p.6</t>
        </is>
      </c>
    </row>
    <row r="4">
      <c r="A4" t="inlineStr">
        <is>
          <t>Harlequins</t>
        </is>
      </c>
      <c r="C4" t="inlineStr">
        <is>
          <t>Infantry / Other</t>
        </is>
      </c>
      <c r="D4" t="inlineStr">
        <is>
          <t>Mounted / Bike</t>
        </is>
      </c>
      <c r="E4" t="inlineStr">
        <is>
          <t>Skyweavers</t>
        </is>
      </c>
      <c r="F4" t="inlineStr">
        <is>
          <t>2 models</t>
        </is>
      </c>
      <c r="G4" t="inlineStr">
        <is>
          <t>Mounted / Bike</t>
        </is>
      </c>
      <c r="L4" s="60" t="n">
        <v>95</v>
      </c>
      <c r="M4" s="54" t="inlineStr">
        <is>
          <t>Points options: 2 models = 95 pts; 4 models = 190 pts</t>
        </is>
      </c>
      <c r="N4" s="54" t="inlineStr">
        <is>
          <t>Matched to Munitorum Field Manual v2.3</t>
        </is>
      </c>
      <c r="O4" s="54" t="inlineStr">
        <is>
          <t>Uploaded PDF: Munitorum Field Manual v2.3 / March 2025, p.6</t>
        </is>
      </c>
    </row>
    <row r="5">
      <c r="A5" t="inlineStr">
        <is>
          <t>Harlequins</t>
        </is>
      </c>
      <c r="C5" t="inlineStr">
        <is>
          <t>Character</t>
        </is>
      </c>
      <c r="D5" t="inlineStr">
        <is>
          <t>Character</t>
        </is>
      </c>
      <c r="E5" t="inlineStr">
        <is>
          <t>Solitaire</t>
        </is>
      </c>
      <c r="F5" t="inlineStr">
        <is>
          <t>1 model</t>
        </is>
      </c>
      <c r="G5" t="inlineStr">
        <is>
          <t>Character</t>
        </is>
      </c>
      <c r="L5" s="60" t="n">
        <v>115</v>
      </c>
      <c r="M5" s="54" t="str"/>
      <c r="N5" s="54" t="inlineStr">
        <is>
          <t>Matched to Munitorum Field Manual v2.3</t>
        </is>
      </c>
      <c r="O5" s="54" t="inlineStr">
        <is>
          <t>Uploaded PDF: Munitorum Field Manual v2.3 / March 2025, p.6</t>
        </is>
      </c>
    </row>
    <row r="6">
      <c r="A6" t="inlineStr">
        <is>
          <t>Harlequins</t>
        </is>
      </c>
      <c r="C6" t="inlineStr">
        <is>
          <t>Infantry / Other</t>
        </is>
      </c>
      <c r="D6" t="inlineStr">
        <is>
          <t>Infantry</t>
        </is>
      </c>
      <c r="E6" t="inlineStr">
        <is>
          <t>Starweaver</t>
        </is>
      </c>
      <c r="F6" t="inlineStr">
        <is>
          <t>1 model</t>
        </is>
      </c>
      <c r="G6" t="inlineStr">
        <is>
          <t>Infantry</t>
        </is>
      </c>
      <c r="L6" s="60" t="n">
        <v>80</v>
      </c>
      <c r="M6" s="54" t="str"/>
      <c r="N6" s="54" t="inlineStr">
        <is>
          <t>Matched to Munitorum Field Manual v2.3</t>
        </is>
      </c>
      <c r="O6" s="54" t="inlineStr">
        <is>
          <t>Uploaded PDF: Munitorum Field Manual v2.3 / March 2025, p.6</t>
        </is>
      </c>
    </row>
    <row r="7">
      <c r="A7" t="inlineStr">
        <is>
          <t>Harlequins</t>
        </is>
      </c>
      <c r="C7" t="inlineStr">
        <is>
          <t>Infantry / Other</t>
        </is>
      </c>
      <c r="D7" t="inlineStr">
        <is>
          <t>Infantry</t>
        </is>
      </c>
      <c r="E7" t="inlineStr">
        <is>
          <t>Troupe</t>
        </is>
      </c>
      <c r="F7" t="inlineStr">
        <is>
          <t>5 models</t>
        </is>
      </c>
      <c r="G7" t="inlineStr">
        <is>
          <t>Infantry</t>
        </is>
      </c>
      <c r="L7" s="60" t="n">
        <v>85</v>
      </c>
      <c r="M7" s="54" t="inlineStr">
        <is>
          <t>Points options: 5 models = 85 pts; 6 models = 100 pts; 11 models = 190 pts; 12 models = 205 pts</t>
        </is>
      </c>
      <c r="N7" s="54" t="inlineStr">
        <is>
          <t>Matched to Munitorum Field Manual v2.3</t>
        </is>
      </c>
      <c r="O7" s="54" t="inlineStr">
        <is>
          <t>Uploaded PDF: Munitorum Field Manual v2.3 / March 2025, p.6</t>
        </is>
      </c>
    </row>
    <row r="8">
      <c r="A8" t="inlineStr">
        <is>
          <t>Harlequins</t>
        </is>
      </c>
      <c r="C8" t="inlineStr">
        <is>
          <t>Character</t>
        </is>
      </c>
      <c r="D8" t="inlineStr">
        <is>
          <t>Character</t>
        </is>
      </c>
      <c r="E8" t="inlineStr">
        <is>
          <t>Troupe Master</t>
        </is>
      </c>
      <c r="F8" t="inlineStr">
        <is>
          <t>1 model</t>
        </is>
      </c>
      <c r="G8" t="inlineStr">
        <is>
          <t>Character</t>
        </is>
      </c>
      <c r="L8" s="60" t="n">
        <v>75</v>
      </c>
      <c r="M8" s="54" t="str"/>
      <c r="N8" s="54" t="inlineStr">
        <is>
          <t>Matched to Munitorum Field Manual v2.3</t>
        </is>
      </c>
      <c r="O8" s="54" t="inlineStr">
        <is>
          <t>Uploaded PDF: Munitorum Field Manual v2.3 / March 2025, p.6</t>
        </is>
      </c>
    </row>
    <row r="9">
      <c r="A9" t="inlineStr">
        <is>
          <t>Harlequins</t>
        </is>
      </c>
      <c r="C9" t="inlineStr">
        <is>
          <t>Infantry / Other</t>
        </is>
      </c>
      <c r="D9" t="inlineStr">
        <is>
          <t>Infantry</t>
        </is>
      </c>
      <c r="E9" t="inlineStr">
        <is>
          <t>Voidweaver</t>
        </is>
      </c>
      <c r="F9" t="inlineStr">
        <is>
          <t>1 model</t>
        </is>
      </c>
      <c r="G9" t="inlineStr">
        <is>
          <t>Infantry</t>
        </is>
      </c>
      <c r="L9" s="60" t="n">
        <v>125</v>
      </c>
      <c r="M9" s="54" t="str"/>
      <c r="N9" s="54" t="inlineStr">
        <is>
          <t>Matched to Munitorum Field Manual v2.3</t>
        </is>
      </c>
      <c r="O9" s="54" t="inlineStr">
        <is>
          <t>Uploaded PDF: Munitorum Field Manual v2.3 / March 2025, p.6</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Imperial Agents</t>
        </is>
      </c>
      <c r="C2" t="inlineStr">
        <is>
          <t>Character</t>
        </is>
      </c>
      <c r="D2" t="inlineStr">
        <is>
          <t>Character</t>
        </is>
      </c>
      <c r="E2" t="inlineStr">
        <is>
          <t>Callidus Assassin</t>
        </is>
      </c>
      <c r="G2" t="inlineStr">
        <is>
          <t>Character</t>
        </is>
      </c>
      <c r="L2" s="60" t="n"/>
      <c r="M2" s="54" t="inlineStr">
        <is>
          <t>No matching points entry found in uploaded PDF; verify unit name/current support.</t>
        </is>
      </c>
      <c r="N2" s="54" t="inlineStr">
        <is>
          <t>Not found in uploaded PDF</t>
        </is>
      </c>
      <c r="O2" s="54" t="inlineStr">
        <is>
          <t>Uploaded PDF: Munitorum Field Manual v2.3 / March 2025</t>
        </is>
      </c>
    </row>
    <row r="3">
      <c r="A3" t="inlineStr">
        <is>
          <t>Imperial Agents</t>
        </is>
      </c>
      <c r="C3" t="inlineStr">
        <is>
          <t>Character</t>
        </is>
      </c>
      <c r="D3" t="inlineStr">
        <is>
          <t>Character</t>
        </is>
      </c>
      <c r="E3" t="inlineStr">
        <is>
          <t>Culexus Assassin</t>
        </is>
      </c>
      <c r="F3" t="inlineStr">
        <is>
          <t>1 model</t>
        </is>
      </c>
      <c r="G3" t="inlineStr">
        <is>
          <t>Character</t>
        </is>
      </c>
      <c r="L3" s="60" t="n">
        <v>85</v>
      </c>
      <c r="M3" s="54" t="inlineStr">
        <is>
          <t>Points options: 1 model = 85 pts; 1 model = 85 pts</t>
        </is>
      </c>
      <c r="N3" s="54" t="inlineStr">
        <is>
          <t>Matched to Munitorum Field Manual v2.3</t>
        </is>
      </c>
      <c r="O3" s="54" t="inlineStr">
        <is>
          <t>Uploaded PDF: Munitorum Field Manual v2.3 / March 2025, p.24</t>
        </is>
      </c>
    </row>
    <row r="4">
      <c r="A4" t="inlineStr">
        <is>
          <t>Imperial Agents</t>
        </is>
      </c>
      <c r="C4" t="inlineStr">
        <is>
          <t>Character</t>
        </is>
      </c>
      <c r="D4" t="inlineStr">
        <is>
          <t>Character</t>
        </is>
      </c>
      <c r="E4" t="inlineStr">
        <is>
          <t>Eversor Assassin</t>
        </is>
      </c>
      <c r="F4" t="inlineStr">
        <is>
          <t>1 model</t>
        </is>
      </c>
      <c r="G4" t="inlineStr">
        <is>
          <t>Character</t>
        </is>
      </c>
      <c r="L4" s="60" t="n">
        <v>110</v>
      </c>
      <c r="M4" s="54" t="inlineStr">
        <is>
          <t>Points options: 1 model = 110 pts; 1 model = 120 pts</t>
        </is>
      </c>
      <c r="N4" s="54" t="inlineStr">
        <is>
          <t>Matched to Munitorum Field Manual v2.3</t>
        </is>
      </c>
      <c r="O4" s="54" t="inlineStr">
        <is>
          <t>Uploaded PDF: Munitorum Field Manual v2.3 / March 2025, p.24</t>
        </is>
      </c>
    </row>
    <row r="5">
      <c r="A5" t="inlineStr">
        <is>
          <t>Imperial Agents</t>
        </is>
      </c>
      <c r="C5" t="inlineStr">
        <is>
          <t>Character</t>
        </is>
      </c>
      <c r="D5" t="inlineStr">
        <is>
          <t>Character</t>
        </is>
      </c>
      <c r="E5" t="inlineStr">
        <is>
          <t>Vindicare Assassin</t>
        </is>
      </c>
      <c r="F5" t="inlineStr">
        <is>
          <t>1 model</t>
        </is>
      </c>
      <c r="G5" t="inlineStr">
        <is>
          <t>Character</t>
        </is>
      </c>
      <c r="L5" s="60" t="n">
        <v>110</v>
      </c>
      <c r="M5" s="54" t="inlineStr">
        <is>
          <t>Points options: 1 model = 110 pts; 1 model = 125 pts</t>
        </is>
      </c>
      <c r="N5" s="54" t="inlineStr">
        <is>
          <t>Matched to Munitorum Field Manual v2.3</t>
        </is>
      </c>
      <c r="O5" s="54" t="inlineStr">
        <is>
          <t>Uploaded PDF: Munitorum Field Manual v2.3 / March 2025, p.24</t>
        </is>
      </c>
    </row>
    <row r="6">
      <c r="A6" t="inlineStr">
        <is>
          <t>Imperial Agents</t>
        </is>
      </c>
      <c r="C6" t="inlineStr">
        <is>
          <t>Infantry / Other</t>
        </is>
      </c>
      <c r="D6" t="inlineStr">
        <is>
          <t>Infantry</t>
        </is>
      </c>
      <c r="E6" t="inlineStr">
        <is>
          <t>Exaction Squad</t>
        </is>
      </c>
      <c r="F6" t="inlineStr">
        <is>
          <t>11 models</t>
        </is>
      </c>
      <c r="G6" t="inlineStr">
        <is>
          <t>Infantry</t>
        </is>
      </c>
      <c r="L6" s="60" t="n">
        <v>90</v>
      </c>
      <c r="M6" s="54" t="inlineStr">
        <is>
          <t>Points options: 11 models = 90 pts; 11 models = 90 pts</t>
        </is>
      </c>
      <c r="N6" s="54" t="inlineStr">
        <is>
          <t>Matched to Munitorum Field Manual v2.3</t>
        </is>
      </c>
      <c r="O6" s="54" t="inlineStr">
        <is>
          <t>Uploaded PDF: Munitorum Field Manual v2.3 / March 2025, p.24</t>
        </is>
      </c>
    </row>
    <row r="7">
      <c r="A7" t="inlineStr">
        <is>
          <t>Imperial Agents</t>
        </is>
      </c>
      <c r="C7" t="inlineStr">
        <is>
          <t>Infantry / Other</t>
        </is>
      </c>
      <c r="D7" t="inlineStr">
        <is>
          <t>Infantry</t>
        </is>
      </c>
      <c r="E7" t="inlineStr">
        <is>
          <t>Imperial Breachers</t>
        </is>
      </c>
      <c r="F7" t="inlineStr">
        <is>
          <t>10 models</t>
        </is>
      </c>
      <c r="G7" t="inlineStr">
        <is>
          <t>Infantry</t>
        </is>
      </c>
      <c r="L7" s="60" t="n">
        <v>90</v>
      </c>
      <c r="M7" s="54" t="inlineStr">
        <is>
          <t>Points options: 10 models = 90 pts; 10 models = 90 pts</t>
        </is>
      </c>
      <c r="N7" s="54" t="inlineStr">
        <is>
          <t>Matched to Munitorum Field Manual v2.3</t>
        </is>
      </c>
      <c r="O7" s="54" t="inlineStr">
        <is>
          <t>Uploaded PDF: Munitorum Field Manual v2.3 / March 2025, p.24</t>
        </is>
      </c>
    </row>
    <row r="8">
      <c r="A8" t="inlineStr">
        <is>
          <t>Imperial Agents</t>
        </is>
      </c>
      <c r="C8" t="inlineStr">
        <is>
          <t>Character</t>
        </is>
      </c>
      <c r="D8" t="inlineStr">
        <is>
          <t>Character</t>
        </is>
      </c>
      <c r="E8" t="inlineStr">
        <is>
          <t>Inquisitorial Agents</t>
        </is>
      </c>
      <c r="F8" t="inlineStr">
        <is>
          <t>6 models</t>
        </is>
      </c>
      <c r="G8" t="inlineStr">
        <is>
          <t>Character</t>
        </is>
      </c>
      <c r="L8" s="60" t="n">
        <v>50</v>
      </c>
      <c r="M8" s="54" t="inlineStr">
        <is>
          <t>Points options: 6 models = 50 pts; 12 models = 100 pts; 6 models = 60 pts; 12 models = 120 pts</t>
        </is>
      </c>
      <c r="N8" s="54" t="inlineStr">
        <is>
          <t>Matched to Munitorum Field Manual v2.3</t>
        </is>
      </c>
      <c r="O8" s="54" t="inlineStr">
        <is>
          <t>Uploaded PDF: Munitorum Field Manual v2.3 / March 2025, p.24</t>
        </is>
      </c>
    </row>
    <row r="9">
      <c r="A9" t="inlineStr">
        <is>
          <t>Imperial Agents</t>
        </is>
      </c>
      <c r="C9" t="inlineStr">
        <is>
          <t>Character</t>
        </is>
      </c>
      <c r="D9" t="inlineStr">
        <is>
          <t>Character</t>
        </is>
      </c>
      <c r="E9" t="inlineStr">
        <is>
          <t>Lord Inquisitor Kyria Draxus</t>
        </is>
      </c>
      <c r="F9" t="inlineStr">
        <is>
          <t>1 model</t>
        </is>
      </c>
      <c r="G9" t="inlineStr">
        <is>
          <t>Character</t>
        </is>
      </c>
      <c r="L9" s="60" t="n">
        <v>75</v>
      </c>
      <c r="M9" s="54" t="inlineStr">
        <is>
          <t>Points options: 1 model = 75 pts; 1 model = 95 pts</t>
        </is>
      </c>
      <c r="N9" s="54" t="inlineStr">
        <is>
          <t>Matched to Munitorum Field Manual v2.3</t>
        </is>
      </c>
      <c r="O9" s="54" t="inlineStr">
        <is>
          <t>Uploaded PDF: Munitorum Field Manual v2.3 / March 2025, p.24</t>
        </is>
      </c>
    </row>
    <row r="10">
      <c r="A10" t="inlineStr">
        <is>
          <t>Imperial Agents</t>
        </is>
      </c>
      <c r="C10" t="inlineStr">
        <is>
          <t>Character</t>
        </is>
      </c>
      <c r="D10" t="inlineStr">
        <is>
          <t>Character</t>
        </is>
      </c>
      <c r="E10" t="inlineStr">
        <is>
          <t>Ministorum Priest</t>
        </is>
      </c>
      <c r="F10" t="inlineStr">
        <is>
          <t>1 model</t>
        </is>
      </c>
      <c r="G10" t="inlineStr">
        <is>
          <t>Character</t>
        </is>
      </c>
      <c r="L10" s="60" t="n">
        <v>40</v>
      </c>
      <c r="M10" s="54" t="inlineStr">
        <is>
          <t>Points options: 1 model = 40 pts; 1 model = 40 pts</t>
        </is>
      </c>
      <c r="N10" s="54" t="inlineStr">
        <is>
          <t>Matched to Munitorum Field Manual v2.3</t>
        </is>
      </c>
      <c r="O10" s="54" t="inlineStr">
        <is>
          <t>Uploaded PDF: Munitorum Field Manual v2.3 / March 2025, p.24</t>
        </is>
      </c>
    </row>
    <row r="11">
      <c r="A11" t="inlineStr">
        <is>
          <t>Imperial Agents</t>
        </is>
      </c>
      <c r="C11" t="inlineStr">
        <is>
          <t>Character</t>
        </is>
      </c>
      <c r="D11" t="inlineStr">
        <is>
          <t>Character</t>
        </is>
      </c>
      <c r="E11" t="inlineStr">
        <is>
          <t>Navigator</t>
        </is>
      </c>
      <c r="F11" t="inlineStr">
        <is>
          <t>1 model</t>
        </is>
      </c>
      <c r="G11" t="inlineStr">
        <is>
          <t>Character</t>
        </is>
      </c>
      <c r="L11" s="60" t="n">
        <v>60</v>
      </c>
      <c r="M11" s="54" t="inlineStr">
        <is>
          <t>Points options: 1 model = 60 pts; 1 model = 75 pts</t>
        </is>
      </c>
      <c r="N11" s="54" t="inlineStr">
        <is>
          <t>Matched to Munitorum Field Manual v2.3</t>
        </is>
      </c>
      <c r="O11" s="54" t="inlineStr">
        <is>
          <t>Uploaded PDF: Munitorum Field Manual v2.3 / March 2025, p.24</t>
        </is>
      </c>
    </row>
    <row r="12">
      <c r="A12" t="inlineStr">
        <is>
          <t>Imperial Agents</t>
        </is>
      </c>
      <c r="C12" t="inlineStr">
        <is>
          <t>Infantry / Other</t>
        </is>
      </c>
      <c r="D12" t="inlineStr">
        <is>
          <t>Infantry</t>
        </is>
      </c>
      <c r="E12" t="inlineStr">
        <is>
          <t>Rogue Trader Entourage</t>
        </is>
      </c>
      <c r="F12" t="inlineStr">
        <is>
          <t>4 models</t>
        </is>
      </c>
      <c r="G12" t="inlineStr">
        <is>
          <t>Infantry</t>
        </is>
      </c>
      <c r="L12" s="60" t="n">
        <v>75</v>
      </c>
      <c r="M12" s="54" t="inlineStr">
        <is>
          <t>Points options: 4 models = 75 pts; 4 models = 105 pts</t>
        </is>
      </c>
      <c r="N12" s="54" t="inlineStr">
        <is>
          <t>Matched to Munitorum Field Manual v2.3</t>
        </is>
      </c>
      <c r="O12" s="54" t="inlineStr">
        <is>
          <t>Uploaded PDF: Munitorum Field Manual v2.3 / March 2025, p.24</t>
        </is>
      </c>
    </row>
    <row r="13">
      <c r="A13" t="inlineStr">
        <is>
          <t>Imperial Agents</t>
        </is>
      </c>
      <c r="C13" t="inlineStr">
        <is>
          <t>Infantry / Other</t>
        </is>
      </c>
      <c r="D13" t="inlineStr">
        <is>
          <t>Infantry</t>
        </is>
      </c>
      <c r="E13" t="inlineStr">
        <is>
          <t>Subductor Squad</t>
        </is>
      </c>
      <c r="F13" t="inlineStr">
        <is>
          <t>11 models</t>
        </is>
      </c>
      <c r="G13" t="inlineStr">
        <is>
          <t>Infantry</t>
        </is>
      </c>
      <c r="L13" s="60" t="n">
        <v>85</v>
      </c>
      <c r="M13" s="54" t="inlineStr">
        <is>
          <t>Points options: 11 models = 85 pts; 11 models = 100 pts</t>
        </is>
      </c>
      <c r="N13" s="54" t="inlineStr">
        <is>
          <t>Matched to Munitorum Field Manual v2.3</t>
        </is>
      </c>
      <c r="O13" s="54" t="inlineStr">
        <is>
          <t>Uploaded PDF: Munitorum Field Manual v2.3 / March 2025, p.24</t>
        </is>
      </c>
    </row>
    <row r="14">
      <c r="A14" t="inlineStr">
        <is>
          <t>Imperial Agents</t>
        </is>
      </c>
      <c r="C14" t="inlineStr">
        <is>
          <t>Infantry / Other</t>
        </is>
      </c>
      <c r="D14" t="inlineStr">
        <is>
          <t>Infantry</t>
        </is>
      </c>
      <c r="E14" t="inlineStr">
        <is>
          <t>Voidsmen-at-Arms</t>
        </is>
      </c>
      <c r="F14" t="inlineStr">
        <is>
          <t>6 models</t>
        </is>
      </c>
      <c r="G14" t="inlineStr">
        <is>
          <t>Infantry</t>
        </is>
      </c>
      <c r="L14" s="60" t="n">
        <v>50</v>
      </c>
      <c r="M14" s="54" t="inlineStr">
        <is>
          <t>Points options: 6 models = 50 pts; 6 models = 70 pts</t>
        </is>
      </c>
      <c r="N14" s="54" t="inlineStr">
        <is>
          <t>Matched to Munitorum Field Manual v2.3</t>
        </is>
      </c>
      <c r="O14" s="54" t="inlineStr">
        <is>
          <t>Uploaded PDF: Munitorum Field Manual v2.3 / March 2025, p.24</t>
        </is>
      </c>
    </row>
    <row r="15">
      <c r="A15" t="inlineStr">
        <is>
          <t>Imperial Agents</t>
        </is>
      </c>
      <c r="C15" t="inlineStr">
        <is>
          <t>Character</t>
        </is>
      </c>
      <c r="D15" t="inlineStr">
        <is>
          <t>Character</t>
        </is>
      </c>
      <c r="E15" t="inlineStr">
        <is>
          <t>Watch Captain Artemis</t>
        </is>
      </c>
      <c r="F15" t="inlineStr">
        <is>
          <t>1 model</t>
        </is>
      </c>
      <c r="G15" t="inlineStr">
        <is>
          <t>Character</t>
        </is>
      </c>
      <c r="L15" s="60" t="n">
        <v>65</v>
      </c>
      <c r="M15" s="54" t="inlineStr">
        <is>
          <t>Points options: 1 model = 65 pts; 1 model = 65 pts</t>
        </is>
      </c>
      <c r="N15" s="54" t="inlineStr">
        <is>
          <t>Matched to Munitorum Field Manual v2.3</t>
        </is>
      </c>
      <c r="O15" s="54" t="inlineStr">
        <is>
          <t>Uploaded PDF: Munitorum Field Manual v2.3 / March 2025, p.24</t>
        </is>
      </c>
    </row>
    <row r="16">
      <c r="A16" t="inlineStr">
        <is>
          <t>Imperial Agents</t>
        </is>
      </c>
      <c r="C16" t="inlineStr">
        <is>
          <t>Infantry / Other</t>
        </is>
      </c>
      <c r="D16" t="inlineStr">
        <is>
          <t>Infantry</t>
        </is>
      </c>
      <c r="E16" t="inlineStr">
        <is>
          <t>Aquila Kill Team</t>
        </is>
      </c>
      <c r="F16" t="inlineStr">
        <is>
          <t>5 models</t>
        </is>
      </c>
      <c r="G16" t="inlineStr">
        <is>
          <t>Infantry</t>
        </is>
      </c>
      <c r="L16" t="n">
        <v>100</v>
      </c>
      <c r="N16" t="inlineStr">
        <is>
          <t>Added from current Munitorum Field Manual v4.1 (non-Legends)</t>
        </is>
      </c>
      <c r="O16" t="inlineStr">
        <is>
          <t>https://www.warhammer-community.com/en-gb/downloads/warhammer-40000/</t>
        </is>
      </c>
    </row>
    <row r="17">
      <c r="A17" t="inlineStr">
        <is>
          <t>Imperial Agents</t>
        </is>
      </c>
      <c r="C17" t="inlineStr">
        <is>
          <t>Infantry / Other</t>
        </is>
      </c>
      <c r="D17" t="inlineStr">
        <is>
          <t>Infantry</t>
        </is>
      </c>
      <c r="E17" t="inlineStr">
        <is>
          <t>Corvus Blackstar</t>
        </is>
      </c>
      <c r="F17" t="inlineStr">
        <is>
          <t>1 model</t>
        </is>
      </c>
      <c r="G17" t="inlineStr">
        <is>
          <t>Infantry</t>
        </is>
      </c>
      <c r="L17" t="n">
        <v>180</v>
      </c>
      <c r="N17" t="inlineStr">
        <is>
          <t>Added from current Munitorum Field Manual v4.1 (non-Legends)</t>
        </is>
      </c>
      <c r="O17" t="inlineStr">
        <is>
          <t>https://www.warhammer-community.com/en-gb/downloads/warhammer-40000/</t>
        </is>
      </c>
    </row>
    <row r="18">
      <c r="A18" t="inlineStr">
        <is>
          <t>Imperial Agents</t>
        </is>
      </c>
      <c r="C18" t="inlineStr">
        <is>
          <t>Infantry / Other</t>
        </is>
      </c>
      <c r="D18" t="inlineStr">
        <is>
          <t>Infantry</t>
        </is>
      </c>
      <c r="E18" t="inlineStr">
        <is>
          <t>Deathwatch Kill Team</t>
        </is>
      </c>
      <c r="F18" t="inlineStr">
        <is>
          <t>5 models</t>
        </is>
      </c>
      <c r="G18" t="inlineStr">
        <is>
          <t>Infantry</t>
        </is>
      </c>
      <c r="L18" t="n">
        <v>100</v>
      </c>
      <c r="N18" t="inlineStr">
        <is>
          <t>Added from current Munitorum Field Manual v4.1 (non-Legends)</t>
        </is>
      </c>
      <c r="O18" t="inlineStr">
        <is>
          <t>https://www.warhammer-community.com/en-gb/downloads/warhammer-40000/</t>
        </is>
      </c>
    </row>
    <row r="19">
      <c r="A19" t="inlineStr">
        <is>
          <t>Imperial Agents</t>
        </is>
      </c>
      <c r="C19" t="inlineStr">
        <is>
          <t>Infantry / Other</t>
        </is>
      </c>
      <c r="D19" t="inlineStr">
        <is>
          <t>Infantry</t>
        </is>
      </c>
      <c r="E19" t="inlineStr">
        <is>
          <t>Grey Knights Terminator Squad</t>
        </is>
      </c>
      <c r="F19" t="inlineStr">
        <is>
          <t>5 models</t>
        </is>
      </c>
      <c r="G19" t="inlineStr">
        <is>
          <t>Infantry</t>
        </is>
      </c>
      <c r="L19" t="n">
        <v>190</v>
      </c>
      <c r="M19" t="inlineStr">
        <is>
          <t>Your Unit Costs: 5 models = 190 pts | Wargear: Psycannon +5 pts</t>
        </is>
      </c>
      <c r="N19" t="inlineStr">
        <is>
          <t>Added from current Munitorum Field Manual v4.1 (non-Legends)</t>
        </is>
      </c>
      <c r="O19" t="inlineStr">
        <is>
          <t>https://www.warhammer-community.com/en-gb/downloads/warhammer-40000/</t>
        </is>
      </c>
    </row>
    <row r="20">
      <c r="A20" t="inlineStr">
        <is>
          <t>Imperial Agents</t>
        </is>
      </c>
      <c r="C20" t="inlineStr">
        <is>
          <t>Vehicle / Support</t>
        </is>
      </c>
      <c r="D20" t="inlineStr">
        <is>
          <t>Vehicle</t>
        </is>
      </c>
      <c r="E20" t="inlineStr">
        <is>
          <t>Imperial Rhino</t>
        </is>
      </c>
      <c r="F20" t="inlineStr">
        <is>
          <t>1 model</t>
        </is>
      </c>
      <c r="G20" t="inlineStr">
        <is>
          <t>Vehicle</t>
        </is>
      </c>
      <c r="L20" t="n">
        <v>75</v>
      </c>
      <c r="N20" t="inlineStr">
        <is>
          <t>Added from current Munitorum Field Manual v4.1 (non-Legends)</t>
        </is>
      </c>
      <c r="O20" t="inlineStr">
        <is>
          <t>https://www.warhammer-community.com/en-gb/downloads/warhammer-40000/</t>
        </is>
      </c>
    </row>
    <row r="21">
      <c r="A21" t="inlineStr">
        <is>
          <t>Imperial Agents</t>
        </is>
      </c>
      <c r="C21" t="inlineStr">
        <is>
          <t>Character</t>
        </is>
      </c>
      <c r="D21" t="inlineStr">
        <is>
          <t>Character</t>
        </is>
      </c>
      <c r="E21" t="inlineStr">
        <is>
          <t>Inquisitor</t>
        </is>
      </c>
      <c r="F21" t="inlineStr">
        <is>
          <t>1 model</t>
        </is>
      </c>
      <c r="G21" t="inlineStr">
        <is>
          <t>Character</t>
        </is>
      </c>
      <c r="L21" t="n">
        <v>55</v>
      </c>
      <c r="N21" t="inlineStr">
        <is>
          <t>Added from current Munitorum Field Manual v4.1 (non-Legends)</t>
        </is>
      </c>
      <c r="O21" t="inlineStr">
        <is>
          <t>https://www.warhammer-community.com/en-gb/downloads/warhammer-40000/</t>
        </is>
      </c>
    </row>
    <row r="22">
      <c r="A22" t="inlineStr">
        <is>
          <t>Imperial Agents</t>
        </is>
      </c>
      <c r="C22" t="inlineStr">
        <is>
          <t>Character</t>
        </is>
      </c>
      <c r="D22" t="inlineStr">
        <is>
          <t>Character</t>
        </is>
      </c>
      <c r="E22" t="inlineStr">
        <is>
          <t>Inquisitor Coteaz</t>
        </is>
      </c>
      <c r="F22" t="inlineStr">
        <is>
          <t>1 model</t>
        </is>
      </c>
      <c r="G22" t="inlineStr">
        <is>
          <t>Character</t>
        </is>
      </c>
      <c r="L22" t="n">
        <v>75</v>
      </c>
      <c r="N22" t="inlineStr">
        <is>
          <t>Added from current Munitorum Field Manual v4.1 (non-Legends)</t>
        </is>
      </c>
      <c r="O22" t="inlineStr">
        <is>
          <t>https://www.warhammer-community.com/en-gb/downloads/warhammer-40000/</t>
        </is>
      </c>
    </row>
    <row r="23">
      <c r="A23" t="inlineStr">
        <is>
          <t>Imperial Agents</t>
        </is>
      </c>
      <c r="C23" t="inlineStr">
        <is>
          <t>Character</t>
        </is>
      </c>
      <c r="D23" t="inlineStr">
        <is>
          <t>Character</t>
        </is>
      </c>
      <c r="E23" t="inlineStr">
        <is>
          <t>Inquisitor Greyfax</t>
        </is>
      </c>
      <c r="F23" t="inlineStr">
        <is>
          <t>1 model</t>
        </is>
      </c>
      <c r="G23" t="inlineStr">
        <is>
          <t>Character</t>
        </is>
      </c>
      <c r="L23" t="n">
        <v>65</v>
      </c>
      <c r="N23" t="inlineStr">
        <is>
          <t>Added from current Munitorum Field Manual v4.1 (non-Legends)</t>
        </is>
      </c>
      <c r="O23" t="inlineStr">
        <is>
          <t>https://www.warhammer-community.com/en-gb/downloads/warhammer-40000/</t>
        </is>
      </c>
    </row>
    <row r="24">
      <c r="A24" t="inlineStr">
        <is>
          <t>Imperial Agents</t>
        </is>
      </c>
      <c r="C24" t="inlineStr">
        <is>
          <t>Character</t>
        </is>
      </c>
      <c r="D24" t="inlineStr">
        <is>
          <t>Character</t>
        </is>
      </c>
      <c r="E24" t="inlineStr">
        <is>
          <t>Inquisitor Kroyle</t>
        </is>
      </c>
      <c r="F24" t="inlineStr">
        <is>
          <t>1 model</t>
        </is>
      </c>
      <c r="G24" t="inlineStr">
        <is>
          <t>Character</t>
        </is>
      </c>
      <c r="L24" t="n">
        <v>100</v>
      </c>
      <c r="N24" t="inlineStr">
        <is>
          <t>Added from current Munitorum Field Manual v4.1 (non-Legends)</t>
        </is>
      </c>
      <c r="O24" t="inlineStr">
        <is>
          <t>https://www.warhammer-community.com/en-gb/downloads/warhammer-40000/</t>
        </is>
      </c>
    </row>
    <row r="25">
      <c r="A25" t="inlineStr">
        <is>
          <t>Imperial Agents</t>
        </is>
      </c>
      <c r="C25" t="inlineStr">
        <is>
          <t>Character</t>
        </is>
      </c>
      <c r="D25" t="inlineStr">
        <is>
          <t>Character</t>
        </is>
      </c>
      <c r="E25" t="inlineStr">
        <is>
          <t>Inquisitorial Chimera</t>
        </is>
      </c>
      <c r="F25" t="inlineStr">
        <is>
          <t>1 model</t>
        </is>
      </c>
      <c r="G25" t="inlineStr">
        <is>
          <t>Character</t>
        </is>
      </c>
      <c r="L25" t="n">
        <v>70</v>
      </c>
      <c r="N25" t="inlineStr">
        <is>
          <t>Added from current Munitorum Field Manual v4.1 (non-Legends)</t>
        </is>
      </c>
      <c r="O25" t="inlineStr">
        <is>
          <t>https://www.warhammer-community.com/en-gb/downloads/warhammer-40000/</t>
        </is>
      </c>
    </row>
    <row r="26">
      <c r="A26" t="inlineStr">
        <is>
          <t>Imperial Agents</t>
        </is>
      </c>
      <c r="C26" t="inlineStr">
        <is>
          <t>Infantry / Other</t>
        </is>
      </c>
      <c r="D26" t="inlineStr">
        <is>
          <t>Infantry</t>
        </is>
      </c>
      <c r="E26" t="inlineStr">
        <is>
          <t>Sanctifiers</t>
        </is>
      </c>
      <c r="F26" t="inlineStr">
        <is>
          <t>9 models</t>
        </is>
      </c>
      <c r="G26" t="inlineStr">
        <is>
          <t>Infantry</t>
        </is>
      </c>
      <c r="L26" t="n">
        <v>100</v>
      </c>
      <c r="N26" t="inlineStr">
        <is>
          <t>Added from current Munitorum Field Manual v4.1 (non-Legends)</t>
        </is>
      </c>
      <c r="O26" t="inlineStr">
        <is>
          <t>https://www.warhammer-community.com/en-gb/downloads/warhammer-40000/</t>
        </is>
      </c>
    </row>
    <row r="27">
      <c r="A27" t="inlineStr">
        <is>
          <t>Imperial Agents</t>
        </is>
      </c>
      <c r="C27" t="inlineStr">
        <is>
          <t>Infantry / Other</t>
        </is>
      </c>
      <c r="D27" t="inlineStr">
        <is>
          <t>Infantry</t>
        </is>
      </c>
      <c r="E27" t="inlineStr">
        <is>
          <t>Sisters Of Battle Immolator</t>
        </is>
      </c>
      <c r="F27" t="inlineStr">
        <is>
          <t>1 model</t>
        </is>
      </c>
      <c r="G27" t="inlineStr">
        <is>
          <t>Infantry</t>
        </is>
      </c>
      <c r="L27" t="n">
        <v>100</v>
      </c>
      <c r="M27" t="inlineStr">
        <is>
          <t>Your Unit Costs: 1 models = 100 pts | Wargear: Twin multi-melta +15 pts</t>
        </is>
      </c>
      <c r="N27" t="inlineStr">
        <is>
          <t>Added from current Munitorum Field Manual v4.1 (non-Legends)</t>
        </is>
      </c>
      <c r="O27" t="inlineStr">
        <is>
          <t>https://www.warhammer-community.com/en-gb/downloads/warhammer-40000/</t>
        </is>
      </c>
    </row>
    <row r="28">
      <c r="A28" t="inlineStr">
        <is>
          <t>Imperial Agents</t>
        </is>
      </c>
      <c r="C28" t="inlineStr">
        <is>
          <t>Infantry / Other</t>
        </is>
      </c>
      <c r="D28" t="inlineStr">
        <is>
          <t>Infantry</t>
        </is>
      </c>
      <c r="E28" t="inlineStr">
        <is>
          <t>Sisters Of Battle Squad</t>
        </is>
      </c>
      <c r="F28" t="inlineStr">
        <is>
          <t>10 models</t>
        </is>
      </c>
      <c r="G28" t="inlineStr">
        <is>
          <t>Infantry</t>
        </is>
      </c>
      <c r="L28" t="n">
        <v>100</v>
      </c>
      <c r="N28" t="inlineStr">
        <is>
          <t>Added from current Munitorum Field Manual v4.1 (non-Legends)</t>
        </is>
      </c>
      <c r="O28" t="inlineStr">
        <is>
          <t>https://www.warhammer-community.com/en-gb/downloads/warhammer-40000/</t>
        </is>
      </c>
    </row>
    <row r="29">
      <c r="A29" t="inlineStr">
        <is>
          <t>Imperial Agents</t>
        </is>
      </c>
      <c r="C29" t="inlineStr">
        <is>
          <t>Infantry / Other</t>
        </is>
      </c>
      <c r="D29" t="inlineStr">
        <is>
          <t>Infantry</t>
        </is>
      </c>
      <c r="E29" t="inlineStr">
        <is>
          <t>Vigilant Squad</t>
        </is>
      </c>
      <c r="F29" t="inlineStr">
        <is>
          <t>11 models</t>
        </is>
      </c>
      <c r="G29" t="inlineStr">
        <is>
          <t>Infantry</t>
        </is>
      </c>
      <c r="L29" t="n">
        <v>85</v>
      </c>
      <c r="N29" t="inlineStr">
        <is>
          <t>Added from current Munitorum Field Manual v4.1 (non-Legends)</t>
        </is>
      </c>
      <c r="O29" t="inlineStr">
        <is>
          <t>https://www.warhammer-community.com/en-gb/downloads/warhammer-40000/</t>
        </is>
      </c>
    </row>
    <row r="30">
      <c r="A30" t="inlineStr">
        <is>
          <t>Imperial Agents</t>
        </is>
      </c>
      <c r="C30" t="inlineStr">
        <is>
          <t>Character</t>
        </is>
      </c>
      <c r="D30" t="inlineStr">
        <is>
          <t>Character</t>
        </is>
      </c>
      <c r="E30" t="inlineStr">
        <is>
          <t>Watch Master</t>
        </is>
      </c>
      <c r="F30" t="inlineStr">
        <is>
          <t>1 model</t>
        </is>
      </c>
      <c r="G30" t="inlineStr">
        <is>
          <t>Character</t>
        </is>
      </c>
      <c r="L30" t="n">
        <v>95</v>
      </c>
      <c r="N30" t="inlineStr">
        <is>
          <t>Added from current Munitorum Field Manual v4.1 (non-Legends)</t>
        </is>
      </c>
      <c r="O30"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Imperial Knights</t>
        </is>
      </c>
      <c r="C2" t="inlineStr">
        <is>
          <t>Infantry / Other</t>
        </is>
      </c>
      <c r="D2" t="inlineStr">
        <is>
          <t>Infantry</t>
        </is>
      </c>
      <c r="E2" t="inlineStr">
        <is>
          <t>Armiger Helverin</t>
        </is>
      </c>
      <c r="F2" t="inlineStr">
        <is>
          <t>1 model</t>
        </is>
      </c>
      <c r="G2" t="inlineStr">
        <is>
          <t>Infantry</t>
        </is>
      </c>
      <c r="L2" s="60" t="n">
        <v>130</v>
      </c>
      <c r="M2" s="54" t="str"/>
      <c r="N2" s="54" t="inlineStr">
        <is>
          <t>Matched to Munitorum Field Manual v2.3</t>
        </is>
      </c>
      <c r="O2" s="54" t="inlineStr">
        <is>
          <t>Uploaded PDF: Munitorum Field Manual v2.3 / March 2025, p.26</t>
        </is>
      </c>
    </row>
    <row r="3">
      <c r="A3" t="inlineStr">
        <is>
          <t>Imperial Knights</t>
        </is>
      </c>
      <c r="C3" t="inlineStr">
        <is>
          <t>Infantry / Other</t>
        </is>
      </c>
      <c r="D3" t="inlineStr">
        <is>
          <t>Infantry</t>
        </is>
      </c>
      <c r="E3" t="inlineStr">
        <is>
          <t>Armiger Warglaive</t>
        </is>
      </c>
      <c r="F3" t="inlineStr">
        <is>
          <t>1 model</t>
        </is>
      </c>
      <c r="G3" t="inlineStr">
        <is>
          <t>Infantry</t>
        </is>
      </c>
      <c r="L3" s="60" t="n">
        <v>140</v>
      </c>
      <c r="M3" s="54" t="str"/>
      <c r="N3" s="54" t="inlineStr">
        <is>
          <t>Matched to Munitorum Field Manual v2.3</t>
        </is>
      </c>
      <c r="O3" s="54" t="inlineStr">
        <is>
          <t>Uploaded PDF: Munitorum Field Manual v2.3 / March 2025, p.26</t>
        </is>
      </c>
    </row>
    <row r="4">
      <c r="A4" t="inlineStr">
        <is>
          <t>Imperial Knights</t>
        </is>
      </c>
      <c r="C4" t="inlineStr">
        <is>
          <t>Infantry / Other</t>
        </is>
      </c>
      <c r="D4" t="inlineStr">
        <is>
          <t>Infantry</t>
        </is>
      </c>
      <c r="E4" t="inlineStr">
        <is>
          <t>Canis Rex</t>
        </is>
      </c>
      <c r="F4" t="inlineStr">
        <is>
          <t>1 model</t>
        </is>
      </c>
      <c r="G4" t="inlineStr">
        <is>
          <t>Infantry</t>
        </is>
      </c>
      <c r="L4" s="60" t="n">
        <v>450</v>
      </c>
      <c r="M4" s="54" t="str"/>
      <c r="N4" s="54" t="inlineStr">
        <is>
          <t>Matched to Munitorum Field Manual v2.3</t>
        </is>
      </c>
      <c r="O4" s="54" t="inlineStr">
        <is>
          <t>Uploaded PDF: Munitorum Field Manual v2.3 / March 2025, p.26</t>
        </is>
      </c>
    </row>
    <row r="5">
      <c r="A5" t="inlineStr">
        <is>
          <t>Imperial Knights</t>
        </is>
      </c>
      <c r="C5" t="inlineStr">
        <is>
          <t>Vehicle / Support</t>
        </is>
      </c>
      <c r="D5" t="inlineStr">
        <is>
          <t>Super-heavy Vehicle/Monster</t>
        </is>
      </c>
      <c r="E5" t="inlineStr">
        <is>
          <t>Knight Castellan</t>
        </is>
      </c>
      <c r="F5" t="inlineStr">
        <is>
          <t>1 model</t>
        </is>
      </c>
      <c r="G5" t="inlineStr">
        <is>
          <t>Super-heavy Vehicle/Monster</t>
        </is>
      </c>
      <c r="L5" s="60" t="n">
        <v>480</v>
      </c>
      <c r="M5" s="54" t="str"/>
      <c r="N5" s="54" t="inlineStr">
        <is>
          <t>Matched to Munitorum Field Manual v2.3</t>
        </is>
      </c>
      <c r="O5" s="54" t="inlineStr">
        <is>
          <t>Uploaded PDF: Munitorum Field Manual v2.3 / March 2025, p.26</t>
        </is>
      </c>
    </row>
    <row r="6">
      <c r="A6" t="inlineStr">
        <is>
          <t>Imperial Knights</t>
        </is>
      </c>
      <c r="C6" t="inlineStr">
        <is>
          <t>Vehicle / Support</t>
        </is>
      </c>
      <c r="D6" t="inlineStr">
        <is>
          <t>Super-heavy Vehicle/Monster</t>
        </is>
      </c>
      <c r="E6" t="inlineStr">
        <is>
          <t>Knight Crusader</t>
        </is>
      </c>
      <c r="F6" t="inlineStr">
        <is>
          <t>1 model</t>
        </is>
      </c>
      <c r="G6" t="inlineStr">
        <is>
          <t>Super-heavy Vehicle/Monster</t>
        </is>
      </c>
      <c r="L6" s="60" t="n">
        <v>445</v>
      </c>
      <c r="M6" s="54" t="str"/>
      <c r="N6" s="54" t="inlineStr">
        <is>
          <t>Matched to Munitorum Field Manual v2.3</t>
        </is>
      </c>
      <c r="O6" s="54" t="inlineStr">
        <is>
          <t>Uploaded PDF: Munitorum Field Manual v2.3 / March 2025, p.26</t>
        </is>
      </c>
    </row>
    <row r="7">
      <c r="A7" t="inlineStr">
        <is>
          <t>Imperial Knights</t>
        </is>
      </c>
      <c r="C7" t="inlineStr">
        <is>
          <t>Vehicle / Support</t>
        </is>
      </c>
      <c r="D7" t="inlineStr">
        <is>
          <t>Super-heavy Vehicle/Monster</t>
        </is>
      </c>
      <c r="E7" t="inlineStr">
        <is>
          <t>Knight Errant</t>
        </is>
      </c>
      <c r="F7" t="inlineStr">
        <is>
          <t>1 model</t>
        </is>
      </c>
      <c r="G7" t="inlineStr">
        <is>
          <t>Super-heavy Vehicle/Monster</t>
        </is>
      </c>
      <c r="L7" s="60" t="n">
        <v>390</v>
      </c>
      <c r="M7" s="54" t="str"/>
      <c r="N7" s="54" t="inlineStr">
        <is>
          <t>Matched to Munitorum Field Manual v2.3</t>
        </is>
      </c>
      <c r="O7" s="54" t="inlineStr">
        <is>
          <t>Uploaded PDF: Munitorum Field Manual v2.3 / March 2025, p.26</t>
        </is>
      </c>
    </row>
    <row r="8">
      <c r="A8" t="inlineStr">
        <is>
          <t>Imperial Knights</t>
        </is>
      </c>
      <c r="C8" t="inlineStr">
        <is>
          <t>Vehicle / Support</t>
        </is>
      </c>
      <c r="D8" t="inlineStr">
        <is>
          <t>Super-heavy Vehicle/Monster</t>
        </is>
      </c>
      <c r="E8" t="inlineStr">
        <is>
          <t>Knight Gallant</t>
        </is>
      </c>
      <c r="F8" t="inlineStr">
        <is>
          <t>1 model</t>
        </is>
      </c>
      <c r="G8" t="inlineStr">
        <is>
          <t>Super-heavy Vehicle/Monster</t>
        </is>
      </c>
      <c r="L8" s="60" t="n">
        <v>380</v>
      </c>
      <c r="M8" s="54" t="str"/>
      <c r="N8" s="54" t="inlineStr">
        <is>
          <t>Matched to Munitorum Field Manual v2.3</t>
        </is>
      </c>
      <c r="O8" s="54" t="inlineStr">
        <is>
          <t>Uploaded PDF: Munitorum Field Manual v2.3 / March 2025, p.26</t>
        </is>
      </c>
    </row>
    <row r="9">
      <c r="A9" t="inlineStr">
        <is>
          <t>Imperial Knights</t>
        </is>
      </c>
      <c r="C9" t="inlineStr">
        <is>
          <t>Vehicle / Support</t>
        </is>
      </c>
      <c r="D9" t="inlineStr">
        <is>
          <t>Super-heavy Vehicle/Monster</t>
        </is>
      </c>
      <c r="E9" t="inlineStr">
        <is>
          <t>Knight Paladin</t>
        </is>
      </c>
      <c r="F9" t="inlineStr">
        <is>
          <t>1 model</t>
        </is>
      </c>
      <c r="G9" t="inlineStr">
        <is>
          <t>Super-heavy Vehicle/Monster</t>
        </is>
      </c>
      <c r="L9" s="60" t="n">
        <v>405</v>
      </c>
      <c r="M9" s="54" t="str"/>
      <c r="N9" s="54" t="inlineStr">
        <is>
          <t>Matched to Munitorum Field Manual v2.3</t>
        </is>
      </c>
      <c r="O9" s="54" t="inlineStr">
        <is>
          <t>Uploaded PDF: Munitorum Field Manual v2.3 / March 2025, p.26</t>
        </is>
      </c>
    </row>
    <row r="10">
      <c r="A10" t="inlineStr">
        <is>
          <t>Imperial Knights</t>
        </is>
      </c>
      <c r="C10" t="inlineStr">
        <is>
          <t>Vehicle / Support</t>
        </is>
      </c>
      <c r="D10" t="inlineStr">
        <is>
          <t>Super-heavy Vehicle/Monster</t>
        </is>
      </c>
      <c r="E10" t="inlineStr">
        <is>
          <t>Knight Preceptor</t>
        </is>
      </c>
      <c r="F10" t="inlineStr">
        <is>
          <t>1 model</t>
        </is>
      </c>
      <c r="G10" t="inlineStr">
        <is>
          <t>Super-heavy Vehicle/Monster</t>
        </is>
      </c>
      <c r="L10" s="60" t="n">
        <v>405</v>
      </c>
      <c r="M10" s="54" t="str"/>
      <c r="N10" s="54" t="inlineStr">
        <is>
          <t>Matched to Munitorum Field Manual v2.3</t>
        </is>
      </c>
      <c r="O10" s="54" t="inlineStr">
        <is>
          <t>Uploaded PDF: Munitorum Field Manual v2.3 / March 2025, p.26</t>
        </is>
      </c>
    </row>
    <row r="11">
      <c r="A11" t="inlineStr">
        <is>
          <t>Imperial Knights</t>
        </is>
      </c>
      <c r="C11" t="inlineStr">
        <is>
          <t>Vehicle / Support</t>
        </is>
      </c>
      <c r="D11" t="inlineStr">
        <is>
          <t>Super-heavy Vehicle/Monster</t>
        </is>
      </c>
      <c r="E11" t="inlineStr">
        <is>
          <t>Knight Valiant</t>
        </is>
      </c>
      <c r="F11" t="inlineStr">
        <is>
          <t>1 model</t>
        </is>
      </c>
      <c r="G11" t="inlineStr">
        <is>
          <t>Super-heavy Vehicle/Monster</t>
        </is>
      </c>
      <c r="L11" s="60" t="n">
        <v>480</v>
      </c>
      <c r="M11" s="54" t="str"/>
      <c r="N11" s="54" t="inlineStr">
        <is>
          <t>Matched to Munitorum Field Manual v2.3</t>
        </is>
      </c>
      <c r="O11" s="54" t="inlineStr">
        <is>
          <t>Uploaded PDF: Munitorum Field Manual v2.3 / March 2025, p.26</t>
        </is>
      </c>
    </row>
    <row r="12">
      <c r="A12" t="inlineStr">
        <is>
          <t>Imperial Knights</t>
        </is>
      </c>
      <c r="C12" t="inlineStr">
        <is>
          <t>Vehicle / Support</t>
        </is>
      </c>
      <c r="D12" t="inlineStr">
        <is>
          <t>Super-heavy Vehicle/Monster</t>
        </is>
      </c>
      <c r="E12" t="inlineStr">
        <is>
          <t>Knight Warden</t>
        </is>
      </c>
      <c r="F12" t="inlineStr">
        <is>
          <t>1 model</t>
        </is>
      </c>
      <c r="G12" t="inlineStr">
        <is>
          <t>Super-heavy Vehicle/Monster</t>
        </is>
      </c>
      <c r="L12" s="60" t="n">
        <v>450</v>
      </c>
      <c r="M12" s="54" t="str"/>
      <c r="N12" s="54" t="inlineStr">
        <is>
          <t>Matched to Munitorum Field Manual v2.3</t>
        </is>
      </c>
      <c r="O12" s="54" t="inlineStr">
        <is>
          <t>Uploaded PDF: Munitorum Field Manual v2.3 / March 2025, p.26</t>
        </is>
      </c>
    </row>
    <row r="13">
      <c r="A13" t="inlineStr">
        <is>
          <t>Imperial Knights</t>
        </is>
      </c>
      <c r="C13" t="inlineStr">
        <is>
          <t>Infantry / Other</t>
        </is>
      </c>
      <c r="D13" t="inlineStr">
        <is>
          <t>Infantry</t>
        </is>
      </c>
      <c r="E13" t="inlineStr">
        <is>
          <t>Acastus Knight Asterius</t>
        </is>
      </c>
      <c r="F13" t="inlineStr">
        <is>
          <t>1 model</t>
        </is>
      </c>
      <c r="G13" t="inlineStr">
        <is>
          <t>Infantry</t>
        </is>
      </c>
      <c r="L13" t="n">
        <v>785</v>
      </c>
      <c r="M13" t="inlineStr">
        <is>
          <t>Your 1st Unit Costs: 1 models = 785 pts | Your 2nd + Unit Costs: 1 models = 860 pts</t>
        </is>
      </c>
      <c r="N13" t="inlineStr">
        <is>
          <t>Added from current Munitorum Field Manual v4.1 (non-Legends)</t>
        </is>
      </c>
      <c r="O13" t="inlineStr">
        <is>
          <t>https://www.warhammer-community.com/en-gb/downloads/warhammer-40000/</t>
        </is>
      </c>
    </row>
    <row r="14">
      <c r="A14" t="inlineStr">
        <is>
          <t>Imperial Knights</t>
        </is>
      </c>
      <c r="C14" t="inlineStr">
        <is>
          <t>Infantry / Other</t>
        </is>
      </c>
      <c r="D14" t="inlineStr">
        <is>
          <t>Infantry</t>
        </is>
      </c>
      <c r="E14" t="inlineStr">
        <is>
          <t>Acastus Knight Porphyrion</t>
        </is>
      </c>
      <c r="F14" t="inlineStr">
        <is>
          <t>1 model</t>
        </is>
      </c>
      <c r="G14" t="inlineStr">
        <is>
          <t>Infantry</t>
        </is>
      </c>
      <c r="L14" t="n">
        <v>725</v>
      </c>
      <c r="M14" t="inlineStr">
        <is>
          <t>Your 1st Unit Costs: 1 models = 725 pts | Your 2nd + Unit Costs: 1 models = 800 pts</t>
        </is>
      </c>
      <c r="N14" t="inlineStr">
        <is>
          <t>Added from current Munitorum Field Manual v4.1 (non-Legends)</t>
        </is>
      </c>
      <c r="O14" t="inlineStr">
        <is>
          <t>https://www.warhammer-community.com/en-gb/downloads/warhammer-40000/</t>
        </is>
      </c>
    </row>
    <row r="15">
      <c r="A15" t="inlineStr">
        <is>
          <t>Imperial Knights</t>
        </is>
      </c>
      <c r="C15" t="inlineStr">
        <is>
          <t>Infantry / Other</t>
        </is>
      </c>
      <c r="D15" t="inlineStr">
        <is>
          <t>Infantry</t>
        </is>
      </c>
      <c r="E15" t="inlineStr">
        <is>
          <t>Armiger Moirax</t>
        </is>
      </c>
      <c r="F15" t="inlineStr">
        <is>
          <t>1 model</t>
        </is>
      </c>
      <c r="G15" t="inlineStr">
        <is>
          <t>Infantry</t>
        </is>
      </c>
      <c r="L15" t="n">
        <v>150</v>
      </c>
      <c r="M15" t="inlineStr">
        <is>
          <t>Your 1st To 2nd Units Cost: 1 models = 150 pts | Your 3rd + Unit Costs: 1 models = 160 pts</t>
        </is>
      </c>
      <c r="N15" t="inlineStr">
        <is>
          <t>Added from current Munitorum Field Manual v4.1 (non-Legends)</t>
        </is>
      </c>
      <c r="O15" t="inlineStr">
        <is>
          <t>https://www.warhammer-community.com/en-gb/downloads/warhammer-40000/</t>
        </is>
      </c>
    </row>
    <row r="16">
      <c r="A16" t="inlineStr">
        <is>
          <t>Imperial Knights</t>
        </is>
      </c>
      <c r="C16" t="inlineStr">
        <is>
          <t>Infantry / Other</t>
        </is>
      </c>
      <c r="D16" t="inlineStr">
        <is>
          <t>Infantry</t>
        </is>
      </c>
      <c r="E16" t="inlineStr">
        <is>
          <t>Cerastus Knight Acheron</t>
        </is>
      </c>
      <c r="F16" t="inlineStr">
        <is>
          <t>1 model</t>
        </is>
      </c>
      <c r="G16" t="inlineStr">
        <is>
          <t>Infantry</t>
        </is>
      </c>
      <c r="L16" t="n">
        <v>380</v>
      </c>
      <c r="M16" t="inlineStr">
        <is>
          <t>Your 1st Unit Costs: 1 models = 380 pts | Your 2nd + Unit Costs: 1 models = 395 pts</t>
        </is>
      </c>
      <c r="N16" t="inlineStr">
        <is>
          <t>Added from current Munitorum Field Manual v4.1 (non-Legends)</t>
        </is>
      </c>
      <c r="O16" t="inlineStr">
        <is>
          <t>https://www.warhammer-community.com/en-gb/downloads/warhammer-40000/</t>
        </is>
      </c>
    </row>
    <row r="17">
      <c r="A17" t="inlineStr">
        <is>
          <t>Imperial Knights</t>
        </is>
      </c>
      <c r="C17" t="inlineStr">
        <is>
          <t>Infantry / Other</t>
        </is>
      </c>
      <c r="D17" t="inlineStr">
        <is>
          <t>Infantry</t>
        </is>
      </c>
      <c r="E17" t="inlineStr">
        <is>
          <t>Cerastus Knight Atrapos</t>
        </is>
      </c>
      <c r="F17" t="inlineStr">
        <is>
          <t>1 model</t>
        </is>
      </c>
      <c r="G17" t="inlineStr">
        <is>
          <t>Infantry</t>
        </is>
      </c>
      <c r="L17" t="n">
        <v>405</v>
      </c>
      <c r="M17" t="inlineStr">
        <is>
          <t>Your 1st Unit Costs: 1 models = 405 pts | Your 2nd + Unit Costs: 1 models = 425 pts</t>
        </is>
      </c>
      <c r="N17" t="inlineStr">
        <is>
          <t>Added from current Munitorum Field Manual v4.1 (non-Legends)</t>
        </is>
      </c>
      <c r="O17" t="inlineStr">
        <is>
          <t>https://www.warhammer-community.com/en-gb/downloads/warhammer-40000/</t>
        </is>
      </c>
    </row>
    <row r="18">
      <c r="A18" t="inlineStr">
        <is>
          <t>Imperial Knights</t>
        </is>
      </c>
      <c r="C18" t="inlineStr">
        <is>
          <t>Infantry / Other</t>
        </is>
      </c>
      <c r="D18" t="inlineStr">
        <is>
          <t>Infantry</t>
        </is>
      </c>
      <c r="E18" t="inlineStr">
        <is>
          <t>Cerastus Knight Castigator</t>
        </is>
      </c>
      <c r="F18" t="inlineStr">
        <is>
          <t>1 model</t>
        </is>
      </c>
      <c r="G18" t="inlineStr">
        <is>
          <t>Infantry</t>
        </is>
      </c>
      <c r="L18" t="n">
        <v>380</v>
      </c>
      <c r="M18" t="inlineStr">
        <is>
          <t>Your 1st Unit Costs: 1 models = 380 pts | Your 2nd + Unit Costs: 1 models = 395 pts</t>
        </is>
      </c>
      <c r="N18" t="inlineStr">
        <is>
          <t>Added from current Munitorum Field Manual v4.1 (non-Legends)</t>
        </is>
      </c>
      <c r="O18" t="inlineStr">
        <is>
          <t>https://www.warhammer-community.com/en-gb/downloads/warhammer-40000/</t>
        </is>
      </c>
    </row>
    <row r="19">
      <c r="A19" t="inlineStr">
        <is>
          <t>Imperial Knights</t>
        </is>
      </c>
      <c r="C19" t="inlineStr">
        <is>
          <t>Infantry / Other</t>
        </is>
      </c>
      <c r="D19" t="inlineStr">
        <is>
          <t>Infantry</t>
        </is>
      </c>
      <c r="E19" t="inlineStr">
        <is>
          <t>Cerastus Knight Lancer</t>
        </is>
      </c>
      <c r="F19" t="inlineStr">
        <is>
          <t>1 model</t>
        </is>
      </c>
      <c r="G19" t="inlineStr">
        <is>
          <t>Infantry</t>
        </is>
      </c>
      <c r="L19" t="n">
        <v>415</v>
      </c>
      <c r="M19" t="inlineStr">
        <is>
          <t>Your 1st Unit Costs: 1 models = 415 pts | Your 2nd + Unit Costs: 1 models = 435 pts</t>
        </is>
      </c>
      <c r="N19" t="inlineStr">
        <is>
          <t>Added from current Munitorum Field Manual v4.1 (non-Legends)</t>
        </is>
      </c>
      <c r="O19" t="inlineStr">
        <is>
          <t>https://www.warhammer-community.com/en-gb/downloads/warhammer-40000/</t>
        </is>
      </c>
    </row>
    <row r="20">
      <c r="A20" t="inlineStr">
        <is>
          <t>Imperial Knights</t>
        </is>
      </c>
      <c r="C20" t="inlineStr">
        <is>
          <t>Infantry / Other</t>
        </is>
      </c>
      <c r="D20" t="inlineStr">
        <is>
          <t>Infantry</t>
        </is>
      </c>
      <c r="E20" t="inlineStr">
        <is>
          <t>Knight Defender</t>
        </is>
      </c>
      <c r="F20" t="inlineStr">
        <is>
          <t>1 model</t>
        </is>
      </c>
      <c r="G20" t="inlineStr">
        <is>
          <t>Infantry</t>
        </is>
      </c>
      <c r="L20" t="n">
        <v>400</v>
      </c>
      <c r="M20" t="inlineStr">
        <is>
          <t>Your 1st Unit Costs: 1 models = 400 pts | Your 2nd + Unit Costs: 1 models = 420 pts</t>
        </is>
      </c>
      <c r="N20" t="inlineStr">
        <is>
          <t>Added from current Munitorum Field Manual v4.1 (non-Legends)</t>
        </is>
      </c>
      <c r="O20" t="inlineStr">
        <is>
          <t>https://www.warhammer-community.com/en-gb/downloads/warhammer-40000/</t>
        </is>
      </c>
    </row>
    <row r="21">
      <c r="A21" t="inlineStr">
        <is>
          <t>Imperial Knights</t>
        </is>
      </c>
      <c r="C21" t="inlineStr">
        <is>
          <t>Infantry / Other</t>
        </is>
      </c>
      <c r="D21" t="inlineStr">
        <is>
          <t>Infantry</t>
        </is>
      </c>
      <c r="E21" t="inlineStr">
        <is>
          <t>Knight Destrier</t>
        </is>
      </c>
      <c r="F21" t="inlineStr">
        <is>
          <t>1 model</t>
        </is>
      </c>
      <c r="G21" t="inlineStr">
        <is>
          <t>Infantry</t>
        </is>
      </c>
      <c r="L21" t="n">
        <v>265</v>
      </c>
      <c r="M21" t="inlineStr">
        <is>
          <t>Your 1st To 2nd Units Cost: 1 models = 265 pts | Your 3rd + Unit Costs: 1 models = 280 pts</t>
        </is>
      </c>
      <c r="N21" t="inlineStr">
        <is>
          <t>Added from current Munitorum Field Manual v4.1 (non-Legends)</t>
        </is>
      </c>
      <c r="O21" t="inlineStr">
        <is>
          <t>https://www.warhammer-community.com/en-gb/downloads/warhammer-40000/</t>
        </is>
      </c>
    </row>
    <row r="22">
      <c r="A22" t="inlineStr">
        <is>
          <t>Imperial Knights</t>
        </is>
      </c>
      <c r="C22" t="inlineStr">
        <is>
          <t>Infantry / Other</t>
        </is>
      </c>
      <c r="D22" t="inlineStr">
        <is>
          <t>Infantry</t>
        </is>
      </c>
      <c r="E22" t="inlineStr">
        <is>
          <t>Questoris Knight Magaera</t>
        </is>
      </c>
      <c r="F22" t="inlineStr">
        <is>
          <t>1 model</t>
        </is>
      </c>
      <c r="G22" t="inlineStr">
        <is>
          <t>Infantry</t>
        </is>
      </c>
      <c r="L22" t="n">
        <v>385</v>
      </c>
      <c r="M22" t="inlineStr">
        <is>
          <t>Your 1st Unit Costs: 1 models = 385 pts | Your 2nd + Unit Costs: 1 models = 400 pts</t>
        </is>
      </c>
      <c r="N22" t="inlineStr">
        <is>
          <t>Added from current Munitorum Field Manual v4.1 (non-Legends)</t>
        </is>
      </c>
      <c r="O22" t="inlineStr">
        <is>
          <t>https://www.warhammer-community.com/en-gb/downloads/warhammer-40000/</t>
        </is>
      </c>
    </row>
    <row r="23">
      <c r="A23" t="inlineStr">
        <is>
          <t>Imperial Knights</t>
        </is>
      </c>
      <c r="C23" t="inlineStr">
        <is>
          <t>Infantry / Other</t>
        </is>
      </c>
      <c r="D23" t="inlineStr">
        <is>
          <t>Infantry</t>
        </is>
      </c>
      <c r="E23" t="inlineStr">
        <is>
          <t>Questoris Knight Styrix</t>
        </is>
      </c>
      <c r="F23" t="inlineStr">
        <is>
          <t>1 model</t>
        </is>
      </c>
      <c r="G23" t="inlineStr">
        <is>
          <t>Infantry</t>
        </is>
      </c>
      <c r="L23" t="n">
        <v>375</v>
      </c>
      <c r="M23" t="inlineStr">
        <is>
          <t>Your 1st Unit Costs: 1 models = 375 pts | Your 2nd + Unit Costs: 1 models = 390 pts</t>
        </is>
      </c>
      <c r="N23" t="inlineStr">
        <is>
          <t>Added from current Munitorum Field Manual v4.1 (non-Legends)</t>
        </is>
      </c>
      <c r="O2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Leagues of Votann</t>
        </is>
      </c>
      <c r="C2" t="inlineStr">
        <is>
          <t>Character</t>
        </is>
      </c>
      <c r="D2" t="inlineStr">
        <is>
          <t>Character</t>
        </is>
      </c>
      <c r="E2" t="inlineStr">
        <is>
          <t>Brôkhyr Iron-master</t>
        </is>
      </c>
      <c r="F2" t="inlineStr">
        <is>
          <t>5 models</t>
        </is>
      </c>
      <c r="G2" t="inlineStr">
        <is>
          <t>Character</t>
        </is>
      </c>
      <c r="L2" s="60" t="n">
        <v>65</v>
      </c>
      <c r="M2" s="54" t="str"/>
      <c r="N2" s="54" t="inlineStr">
        <is>
          <t>Matched to Munitorum Field Manual v2.3</t>
        </is>
      </c>
      <c r="O2" s="54" t="inlineStr">
        <is>
          <t>Uploaded PDF: Munitorum Field Manual v2.3 / March 2025, p.27</t>
        </is>
      </c>
    </row>
    <row r="3">
      <c r="A3" t="inlineStr">
        <is>
          <t>Leagues of Votann</t>
        </is>
      </c>
      <c r="C3" t="inlineStr">
        <is>
          <t>Infantry / Other</t>
        </is>
      </c>
      <c r="D3" t="inlineStr">
        <is>
          <t>Infantry</t>
        </is>
      </c>
      <c r="E3" t="inlineStr">
        <is>
          <t>Brôkhyr Thunderkyn</t>
        </is>
      </c>
      <c r="F3" t="inlineStr">
        <is>
          <t>3 models</t>
        </is>
      </c>
      <c r="G3" t="inlineStr">
        <is>
          <t>Infantry</t>
        </is>
      </c>
      <c r="L3" s="60" t="n">
        <v>80</v>
      </c>
      <c r="M3" s="54" t="inlineStr">
        <is>
          <t>Points options: 3 models = 80 pts; 6 models = 160 pts</t>
        </is>
      </c>
      <c r="N3" s="54" t="inlineStr">
        <is>
          <t>Matched to Munitorum Field Manual v2.3</t>
        </is>
      </c>
      <c r="O3" s="54" t="inlineStr">
        <is>
          <t>Uploaded PDF: Munitorum Field Manual v2.3 / March 2025, p.27</t>
        </is>
      </c>
    </row>
    <row r="4">
      <c r="A4" t="inlineStr">
        <is>
          <t>Leagues of Votann</t>
        </is>
      </c>
      <c r="C4" t="inlineStr">
        <is>
          <t>Infantry / Other</t>
        </is>
      </c>
      <c r="D4" t="inlineStr">
        <is>
          <t>Infantry</t>
        </is>
      </c>
      <c r="E4" t="inlineStr">
        <is>
          <t>Cthonian Beserks</t>
        </is>
      </c>
      <c r="F4" t="inlineStr">
        <is>
          <t>5 models</t>
        </is>
      </c>
      <c r="G4" t="inlineStr">
        <is>
          <t>Infantry</t>
        </is>
      </c>
      <c r="L4" s="60" t="n">
        <v>100</v>
      </c>
      <c r="M4" s="54" t="inlineStr">
        <is>
          <t>Points options: 5 models = 100 pts; 10 models = 200 pts</t>
        </is>
      </c>
      <c r="N4" s="54" t="inlineStr">
        <is>
          <t>Matched to Munitorum Field Manual v2.3</t>
        </is>
      </c>
      <c r="O4" s="54" t="inlineStr">
        <is>
          <t>Uploaded PDF: Munitorum Field Manual v2.3 / March 2025, p.27</t>
        </is>
      </c>
    </row>
    <row r="5">
      <c r="A5" t="inlineStr">
        <is>
          <t>Leagues of Votann</t>
        </is>
      </c>
      <c r="C5" t="inlineStr">
        <is>
          <t>Character</t>
        </is>
      </c>
      <c r="D5" t="inlineStr">
        <is>
          <t>Character</t>
        </is>
      </c>
      <c r="E5" t="inlineStr">
        <is>
          <t>Einhyr Champion</t>
        </is>
      </c>
      <c r="F5" t="inlineStr">
        <is>
          <t>1 model</t>
        </is>
      </c>
      <c r="G5" t="inlineStr">
        <is>
          <t>Character</t>
        </is>
      </c>
      <c r="L5" s="60" t="n">
        <v>60</v>
      </c>
      <c r="M5" s="54" t="str"/>
      <c r="N5" s="54" t="inlineStr">
        <is>
          <t>Matched to Munitorum Field Manual v2.3</t>
        </is>
      </c>
      <c r="O5" s="54" t="inlineStr">
        <is>
          <t>Uploaded PDF: Munitorum Field Manual v2.3 / March 2025, p.27</t>
        </is>
      </c>
    </row>
    <row r="6">
      <c r="A6" t="inlineStr">
        <is>
          <t>Leagues of Votann</t>
        </is>
      </c>
      <c r="C6" t="inlineStr">
        <is>
          <t>Infantry / Other</t>
        </is>
      </c>
      <c r="D6" t="inlineStr">
        <is>
          <t>Infantry</t>
        </is>
      </c>
      <c r="E6" t="inlineStr">
        <is>
          <t>Einhyr Hearthguard</t>
        </is>
      </c>
      <c r="F6" t="inlineStr">
        <is>
          <t>5 models</t>
        </is>
      </c>
      <c r="G6" t="inlineStr">
        <is>
          <t>Infantry</t>
        </is>
      </c>
      <c r="L6" s="60" t="n">
        <v>150</v>
      </c>
      <c r="M6" s="54" t="inlineStr">
        <is>
          <t>Points options: 5 models = 150 pts; 10 models = 320 pts</t>
        </is>
      </c>
      <c r="N6" s="54" t="inlineStr">
        <is>
          <t>Matched to Munitorum Field Manual v2.3</t>
        </is>
      </c>
      <c r="O6" s="54" t="inlineStr">
        <is>
          <t>Uploaded PDF: Munitorum Field Manual v2.3 / March 2025, p.27</t>
        </is>
      </c>
    </row>
    <row r="7">
      <c r="A7" t="inlineStr">
        <is>
          <t>Leagues of Votann</t>
        </is>
      </c>
      <c r="C7" t="inlineStr">
        <is>
          <t>Character</t>
        </is>
      </c>
      <c r="D7" t="inlineStr">
        <is>
          <t>Character</t>
        </is>
      </c>
      <c r="E7" t="inlineStr">
        <is>
          <t>Grimnyr</t>
        </is>
      </c>
      <c r="F7" t="inlineStr">
        <is>
          <t>3 models</t>
        </is>
      </c>
      <c r="G7" t="inlineStr">
        <is>
          <t>Character</t>
        </is>
      </c>
      <c r="L7" s="60" t="n">
        <v>65</v>
      </c>
      <c r="M7" s="54" t="str"/>
      <c r="N7" s="54" t="inlineStr">
        <is>
          <t>Matched to Munitorum Field Manual v2.3</t>
        </is>
      </c>
      <c r="O7" s="54" t="inlineStr">
        <is>
          <t>Uploaded PDF: Munitorum Field Manual v2.3 / March 2025, p.27</t>
        </is>
      </c>
    </row>
    <row r="8">
      <c r="A8" t="inlineStr">
        <is>
          <t>Leagues of Votann</t>
        </is>
      </c>
      <c r="C8" t="inlineStr">
        <is>
          <t>Vehicle / Support</t>
        </is>
      </c>
      <c r="D8" t="inlineStr">
        <is>
          <t>Vehicle</t>
        </is>
      </c>
      <c r="E8" t="inlineStr">
        <is>
          <t>Hekaton Land Fortress</t>
        </is>
      </c>
      <c r="F8" t="inlineStr">
        <is>
          <t>1 model</t>
        </is>
      </c>
      <c r="G8" t="inlineStr">
        <is>
          <t>Vehicle</t>
        </is>
      </c>
      <c r="L8" s="60" t="n">
        <v>225</v>
      </c>
      <c r="M8" s="54" t="str"/>
      <c r="N8" s="54" t="inlineStr">
        <is>
          <t>Matched to Munitorum Field Manual v2.3</t>
        </is>
      </c>
      <c r="O8" s="54" t="inlineStr">
        <is>
          <t>Uploaded PDF: Munitorum Field Manual v2.3 / March 2025, p.27</t>
        </is>
      </c>
    </row>
    <row r="9">
      <c r="A9" t="inlineStr">
        <is>
          <t>Leagues of Votann</t>
        </is>
      </c>
      <c r="C9" t="inlineStr">
        <is>
          <t>Infantry / Other</t>
        </is>
      </c>
      <c r="D9" t="inlineStr">
        <is>
          <t>Mounted / Bike</t>
        </is>
      </c>
      <c r="E9" t="inlineStr">
        <is>
          <t>Hernkyn Pioneers</t>
        </is>
      </c>
      <c r="F9" t="inlineStr">
        <is>
          <t>3 models</t>
        </is>
      </c>
      <c r="G9" t="inlineStr">
        <is>
          <t>Mounted / Bike</t>
        </is>
      </c>
      <c r="L9" s="60" t="n">
        <v>90</v>
      </c>
      <c r="M9" s="54" t="inlineStr">
        <is>
          <t>Points options: 3 models = 90 pts; 6 models = 180 pts</t>
        </is>
      </c>
      <c r="N9" s="54" t="inlineStr">
        <is>
          <t>Matched to Munitorum Field Manual v2.3</t>
        </is>
      </c>
      <c r="O9" s="54" t="inlineStr">
        <is>
          <t>Uploaded PDF: Munitorum Field Manual v2.3 / March 2025, p.27</t>
        </is>
      </c>
    </row>
    <row r="10">
      <c r="A10" t="inlineStr">
        <is>
          <t>Leagues of Votann</t>
        </is>
      </c>
      <c r="C10" t="inlineStr">
        <is>
          <t>Infantry / Other</t>
        </is>
      </c>
      <c r="D10" t="inlineStr">
        <is>
          <t>Infantry</t>
        </is>
      </c>
      <c r="E10" t="inlineStr">
        <is>
          <t>Hernkyn Yaegirs</t>
        </is>
      </c>
      <c r="F10" t="inlineStr">
        <is>
          <t>10 models</t>
        </is>
      </c>
      <c r="G10" t="inlineStr">
        <is>
          <t>Infantry</t>
        </is>
      </c>
      <c r="L10" s="60" t="n">
        <v>90</v>
      </c>
      <c r="M10" s="54" t="str"/>
      <c r="N10" s="54" t="inlineStr">
        <is>
          <t>Matched to Munitorum Field Manual v2.3</t>
        </is>
      </c>
      <c r="O10" s="54" t="inlineStr">
        <is>
          <t>Uploaded PDF: Munitorum Field Manual v2.3 / March 2025, p.27</t>
        </is>
      </c>
    </row>
    <row r="11">
      <c r="A11" t="inlineStr">
        <is>
          <t>Leagues of Votann</t>
        </is>
      </c>
      <c r="C11" t="inlineStr">
        <is>
          <t>Battleline / Core</t>
        </is>
      </c>
      <c r="D11" t="inlineStr">
        <is>
          <t>Infantry</t>
        </is>
      </c>
      <c r="E11" t="inlineStr">
        <is>
          <t>Hearthkyn Warriors</t>
        </is>
      </c>
      <c r="F11" t="inlineStr">
        <is>
          <t>10 models</t>
        </is>
      </c>
      <c r="G11" t="inlineStr">
        <is>
          <t>Infantry</t>
        </is>
      </c>
      <c r="L11" s="60" t="n">
        <v>100</v>
      </c>
      <c r="M11" s="54" t="str"/>
      <c r="N11" s="54" t="inlineStr">
        <is>
          <t>Matched to Munitorum Field Manual v2.3</t>
        </is>
      </c>
      <c r="O11" s="54" t="inlineStr">
        <is>
          <t>Uploaded PDF: Munitorum Field Manual v2.3 / March 2025, p.27</t>
        </is>
      </c>
    </row>
    <row r="12">
      <c r="A12" t="inlineStr">
        <is>
          <t>Leagues of Votann</t>
        </is>
      </c>
      <c r="C12" t="inlineStr">
        <is>
          <t>Character</t>
        </is>
      </c>
      <c r="D12" t="inlineStr">
        <is>
          <t>Character</t>
        </is>
      </c>
      <c r="E12" t="inlineStr">
        <is>
          <t>Kâhl</t>
        </is>
      </c>
      <c r="F12" t="inlineStr">
        <is>
          <t>1 model</t>
        </is>
      </c>
      <c r="G12" t="inlineStr">
        <is>
          <t>Character</t>
        </is>
      </c>
      <c r="L12" s="60" t="n">
        <v>70</v>
      </c>
      <c r="M12" s="54" t="str"/>
      <c r="N12" s="54" t="inlineStr">
        <is>
          <t>Matched to Munitorum Field Manual v2.3</t>
        </is>
      </c>
      <c r="O12" s="54" t="inlineStr">
        <is>
          <t>Uploaded PDF: Munitorum Field Manual v2.3 / March 2025, p.27</t>
        </is>
      </c>
    </row>
    <row r="13">
      <c r="A13" t="inlineStr">
        <is>
          <t>Leagues of Votann</t>
        </is>
      </c>
      <c r="C13" t="inlineStr">
        <is>
          <t>Vehicle / Support</t>
        </is>
      </c>
      <c r="D13" t="inlineStr">
        <is>
          <t>Vehicle</t>
        </is>
      </c>
      <c r="E13" t="inlineStr">
        <is>
          <t>Sagitaur</t>
        </is>
      </c>
      <c r="F13" t="inlineStr">
        <is>
          <t>1 model</t>
        </is>
      </c>
      <c r="G13" t="inlineStr">
        <is>
          <t>Vehicle</t>
        </is>
      </c>
      <c r="L13" s="60" t="n">
        <v>115</v>
      </c>
      <c r="M13" s="54" t="str"/>
      <c r="N13" s="54" t="inlineStr">
        <is>
          <t>Matched to Munitorum Field Manual v2.3</t>
        </is>
      </c>
      <c r="O13" s="54" t="inlineStr">
        <is>
          <t>Uploaded PDF: Munitorum Field Manual v2.3 / March 2025, p.27</t>
        </is>
      </c>
    </row>
    <row r="14">
      <c r="A14" t="inlineStr">
        <is>
          <t>Leagues of Votann</t>
        </is>
      </c>
      <c r="C14" t="inlineStr">
        <is>
          <t>Infantry / Other</t>
        </is>
      </c>
      <c r="D14" t="inlineStr">
        <is>
          <t>Infantry</t>
        </is>
      </c>
      <c r="E14" t="inlineStr">
        <is>
          <t>Ûthar the Destined</t>
        </is>
      </c>
      <c r="F14" t="inlineStr">
        <is>
          <t>1 model</t>
        </is>
      </c>
      <c r="G14" t="inlineStr">
        <is>
          <t>Infantry</t>
        </is>
      </c>
      <c r="L14" s="60" t="n">
        <v>80</v>
      </c>
      <c r="M14" s="54" t="str"/>
      <c r="N14" s="54" t="inlineStr">
        <is>
          <t>Matched to Munitorum Field Manual v2.3</t>
        </is>
      </c>
      <c r="O14" s="54" t="inlineStr">
        <is>
          <t>Uploaded PDF: Munitorum Field Manual v2.3 / March 2025, p.27</t>
        </is>
      </c>
    </row>
    <row r="15">
      <c r="A15" t="inlineStr">
        <is>
          <t>Leagues of Votann</t>
        </is>
      </c>
      <c r="C15" t="inlineStr">
        <is>
          <t>Infantry / Other</t>
        </is>
      </c>
      <c r="D15" t="inlineStr">
        <is>
          <t>Infantry</t>
        </is>
      </c>
      <c r="E15" t="inlineStr">
        <is>
          <t>Arkanyst Evaluator</t>
        </is>
      </c>
      <c r="F15" t="inlineStr">
        <is>
          <t>1 model</t>
        </is>
      </c>
      <c r="G15" t="inlineStr">
        <is>
          <t>Infantry</t>
        </is>
      </c>
      <c r="L15" t="n">
        <v>70</v>
      </c>
      <c r="N15" t="inlineStr">
        <is>
          <t>Added from current Munitorum Field Manual v4.1 (non-Legends)</t>
        </is>
      </c>
      <c r="O15" t="inlineStr">
        <is>
          <t>https://www.warhammer-community.com/en-gb/downloads/warhammer-40000/</t>
        </is>
      </c>
    </row>
    <row r="16">
      <c r="A16" t="inlineStr">
        <is>
          <t>Leagues of Votann</t>
        </is>
      </c>
      <c r="C16" t="inlineStr">
        <is>
          <t>Character</t>
        </is>
      </c>
      <c r="D16" t="inlineStr">
        <is>
          <t>Character</t>
        </is>
      </c>
      <c r="E16" t="inlineStr">
        <is>
          <t>Berehk Stornbröw</t>
        </is>
      </c>
      <c r="F16" t="inlineStr">
        <is>
          <t>1 model</t>
        </is>
      </c>
      <c r="G16" t="inlineStr">
        <is>
          <t>Character</t>
        </is>
      </c>
      <c r="L16" t="n">
        <v>95</v>
      </c>
      <c r="N16" t="inlineStr">
        <is>
          <t>Added from current Munitorum Field Manual v4.1 (non-Legends)</t>
        </is>
      </c>
      <c r="O16" t="inlineStr">
        <is>
          <t>https://www.warhammer-community.com/en-gb/downloads/warhammer-40000/</t>
        </is>
      </c>
    </row>
    <row r="17">
      <c r="A17" t="inlineStr">
        <is>
          <t>Leagues of Votann</t>
        </is>
      </c>
      <c r="C17" t="inlineStr">
        <is>
          <t>Infantry / Other</t>
        </is>
      </c>
      <c r="D17" t="inlineStr">
        <is>
          <t>Infantry</t>
        </is>
      </c>
      <c r="E17" t="inlineStr">
        <is>
          <t>Buri Aegnirssen</t>
        </is>
      </c>
      <c r="F17" t="inlineStr">
        <is>
          <t>1 model</t>
        </is>
      </c>
      <c r="G17" t="inlineStr">
        <is>
          <t>Infantry</t>
        </is>
      </c>
      <c r="L17" t="n">
        <v>95</v>
      </c>
      <c r="N17" t="inlineStr">
        <is>
          <t>Added from current Munitorum Field Manual v4.1 (non-Legends)</t>
        </is>
      </c>
      <c r="O17" t="inlineStr">
        <is>
          <t>https://www.warhammer-community.com/en-gb/downloads/warhammer-40000/</t>
        </is>
      </c>
    </row>
    <row r="18">
      <c r="A18" t="inlineStr">
        <is>
          <t>Leagues of Votann</t>
        </is>
      </c>
      <c r="C18" t="inlineStr">
        <is>
          <t>Infantry / Other</t>
        </is>
      </c>
      <c r="D18" t="inlineStr">
        <is>
          <t>Infantry</t>
        </is>
      </c>
      <c r="E18" t="inlineStr">
        <is>
          <t>Cthonian Earthshakers</t>
        </is>
      </c>
      <c r="F18" t="inlineStr">
        <is>
          <t>2 models</t>
        </is>
      </c>
      <c r="G18" t="inlineStr">
        <is>
          <t>Infantry</t>
        </is>
      </c>
      <c r="L18" t="n">
        <v>110</v>
      </c>
      <c r="N18" t="inlineStr">
        <is>
          <t>Added from current Munitorum Field Manual v4.1 (non-Legends)</t>
        </is>
      </c>
      <c r="O18" t="inlineStr">
        <is>
          <t>https://www.warhammer-community.com/en-gb/downloads/warhammer-40000/</t>
        </is>
      </c>
    </row>
    <row r="19">
      <c r="A19" t="inlineStr">
        <is>
          <t>Leagues of Votann</t>
        </is>
      </c>
      <c r="C19" t="inlineStr">
        <is>
          <t>Infantry / Other</t>
        </is>
      </c>
      <c r="D19" t="inlineStr">
        <is>
          <t>Infantry</t>
        </is>
      </c>
      <c r="E19" t="inlineStr">
        <is>
          <t>Ironkin Steeljacks With Heavy Volkanite Disintegrators</t>
        </is>
      </c>
      <c r="F19" t="inlineStr">
        <is>
          <t>3 models</t>
        </is>
      </c>
      <c r="G19" t="inlineStr">
        <is>
          <t>Infantry</t>
        </is>
      </c>
      <c r="L19" t="n">
        <v>80</v>
      </c>
      <c r="M19" t="inlineStr">
        <is>
          <t>Your 1st To 2nd Units Cost: 3 models = 80 pts; 6 models = 160 pts | Your 3rd + Unit Costs: 3 models = 90 pts; 6 models = 170 pts</t>
        </is>
      </c>
      <c r="N19" t="inlineStr">
        <is>
          <t>Added from current Munitorum Field Manual v4.1 (non-Legends)</t>
        </is>
      </c>
      <c r="O19" t="inlineStr">
        <is>
          <t>https://www.warhammer-community.com/en-gb/downloads/warhammer-40000/</t>
        </is>
      </c>
    </row>
    <row r="20">
      <c r="A20" t="inlineStr">
        <is>
          <t>Leagues of Votann</t>
        </is>
      </c>
      <c r="C20" t="inlineStr">
        <is>
          <t>Infantry / Other</t>
        </is>
      </c>
      <c r="D20" t="inlineStr">
        <is>
          <t>Infantry</t>
        </is>
      </c>
      <c r="E20" t="inlineStr">
        <is>
          <t>Ironkin Steeljacks With Melee Weapons</t>
        </is>
      </c>
      <c r="F20" t="inlineStr">
        <is>
          <t>3 models</t>
        </is>
      </c>
      <c r="G20" t="inlineStr">
        <is>
          <t>Infantry</t>
        </is>
      </c>
      <c r="L20" t="n">
        <v>80</v>
      </c>
      <c r="M20" t="inlineStr">
        <is>
          <t>Your 1st To 2nd Units Cost: 3 models = 80 pts; 6 models = 160 pts | Your 3rd + Unit Costs: 3 models = 90 pts; 6 models = 170 pts</t>
        </is>
      </c>
      <c r="N20" t="inlineStr">
        <is>
          <t>Added from current Munitorum Field Manual v4.1 (non-Legends)</t>
        </is>
      </c>
      <c r="O20" t="inlineStr">
        <is>
          <t>https://www.warhammer-community.com/en-gb/downloads/warhammer-40000/</t>
        </is>
      </c>
    </row>
    <row r="21">
      <c r="A21" t="inlineStr">
        <is>
          <t>Leagues of Votann</t>
        </is>
      </c>
      <c r="C21" t="inlineStr">
        <is>
          <t>Vehicle / Support</t>
        </is>
      </c>
      <c r="D21" t="inlineStr">
        <is>
          <t>Vehicle</t>
        </is>
      </c>
      <c r="E21" t="inlineStr">
        <is>
          <t>Kapricus Carrier</t>
        </is>
      </c>
      <c r="F21" t="inlineStr">
        <is>
          <t>1 model</t>
        </is>
      </c>
      <c r="G21" t="inlineStr">
        <is>
          <t>Vehicle</t>
        </is>
      </c>
      <c r="L21" t="n">
        <v>75</v>
      </c>
      <c r="N21" t="inlineStr">
        <is>
          <t>Added from current Munitorum Field Manual v4.1 (non-Legends)</t>
        </is>
      </c>
      <c r="O21" t="inlineStr">
        <is>
          <t>https://www.warhammer-community.com/en-gb/downloads/warhammer-40000/</t>
        </is>
      </c>
    </row>
    <row r="22">
      <c r="A22" t="inlineStr">
        <is>
          <t>Leagues of Votann</t>
        </is>
      </c>
      <c r="C22" t="inlineStr">
        <is>
          <t>Infantry / Other</t>
        </is>
      </c>
      <c r="D22" t="inlineStr">
        <is>
          <t>Infantry</t>
        </is>
      </c>
      <c r="E22" t="inlineStr">
        <is>
          <t>Kapricus Defenders</t>
        </is>
      </c>
      <c r="F22" t="inlineStr">
        <is>
          <t>1 model</t>
        </is>
      </c>
      <c r="G22" t="inlineStr">
        <is>
          <t>Infantry</t>
        </is>
      </c>
      <c r="L22" t="n">
        <v>65</v>
      </c>
      <c r="N22" t="inlineStr">
        <is>
          <t>Added from current Munitorum Field Manual v4.1 (non-Legends)</t>
        </is>
      </c>
      <c r="O22" t="inlineStr">
        <is>
          <t>https://www.warhammer-community.com/en-gb/downloads/warhammer-40000/</t>
        </is>
      </c>
    </row>
    <row r="23">
      <c r="A23" t="inlineStr">
        <is>
          <t>Leagues of Votann</t>
        </is>
      </c>
      <c r="C23" t="inlineStr">
        <is>
          <t>Character</t>
        </is>
      </c>
      <c r="D23" t="inlineStr">
        <is>
          <t>Character</t>
        </is>
      </c>
      <c r="E23" t="inlineStr">
        <is>
          <t>Memnyr Strategist</t>
        </is>
      </c>
      <c r="F23" t="inlineStr">
        <is>
          <t>1 model</t>
        </is>
      </c>
      <c r="G23" t="inlineStr">
        <is>
          <t>Character</t>
        </is>
      </c>
      <c r="L23" t="n">
        <v>45</v>
      </c>
      <c r="N23" t="inlineStr">
        <is>
          <t>Added from current Munitorum Field Manual v4.1 (non-Legends)</t>
        </is>
      </c>
      <c r="O2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Necrons</t>
        </is>
      </c>
      <c r="C2" t="inlineStr">
        <is>
          <t>Vehicle / Support</t>
        </is>
      </c>
      <c r="D2" t="inlineStr">
        <is>
          <t>Vehicle</t>
        </is>
      </c>
      <c r="E2" t="inlineStr">
        <is>
          <t>Annihilation Barge</t>
        </is>
      </c>
      <c r="F2" t="inlineStr">
        <is>
          <t>1 model</t>
        </is>
      </c>
      <c r="G2" t="inlineStr">
        <is>
          <t>Vehicle</t>
        </is>
      </c>
      <c r="L2" s="60" t="n">
        <v>105</v>
      </c>
      <c r="M2" s="54" t="str"/>
      <c r="N2" s="54" t="inlineStr">
        <is>
          <t>Matched to Munitorum Field Manual v2.3</t>
        </is>
      </c>
      <c r="O2" s="54" t="inlineStr">
        <is>
          <t>Uploaded PDF: Munitorum Field Manual v2.3 / March 2025, p.28</t>
        </is>
      </c>
    </row>
    <row r="3">
      <c r="A3" t="inlineStr">
        <is>
          <t>Necrons</t>
        </is>
      </c>
      <c r="C3" t="inlineStr">
        <is>
          <t>Infantry / Other</t>
        </is>
      </c>
      <c r="D3" t="inlineStr">
        <is>
          <t>Infantry</t>
        </is>
      </c>
      <c r="E3" t="inlineStr">
        <is>
          <t>Anrakyr the Traveller</t>
        </is>
      </c>
      <c r="G3" t="inlineStr">
        <is>
          <t>Infantry</t>
        </is>
      </c>
      <c r="L3" s="60" t="n"/>
      <c r="M3" s="54" t="inlineStr">
        <is>
          <t>No matching points entry found in uploaded PDF; verify unit name/current support.</t>
        </is>
      </c>
      <c r="N3" s="54" t="inlineStr">
        <is>
          <t>Not found in uploaded PDF</t>
        </is>
      </c>
      <c r="O3" s="54" t="inlineStr">
        <is>
          <t>Uploaded PDF: Munitorum Field Manual v2.3 / March 2025</t>
        </is>
      </c>
    </row>
    <row r="4">
      <c r="A4" t="inlineStr">
        <is>
          <t>Necrons</t>
        </is>
      </c>
      <c r="C4" t="inlineStr">
        <is>
          <t>Infantry / Other</t>
        </is>
      </c>
      <c r="D4" t="inlineStr">
        <is>
          <t>Infantry</t>
        </is>
      </c>
      <c r="E4" t="inlineStr">
        <is>
          <t>Canoptek Acanthrites</t>
        </is>
      </c>
      <c r="G4" t="inlineStr">
        <is>
          <t>Infantry</t>
        </is>
      </c>
      <c r="L4" s="60" t="n"/>
      <c r="M4" s="54" t="inlineStr">
        <is>
          <t>No matching points entry found in uploaded PDF; verify unit name/current support.</t>
        </is>
      </c>
      <c r="N4" s="54" t="inlineStr">
        <is>
          <t>Not found in uploaded PDF</t>
        </is>
      </c>
      <c r="O4" s="54" t="inlineStr">
        <is>
          <t>Uploaded PDF: Munitorum Field Manual v2.3 / March 2025</t>
        </is>
      </c>
    </row>
    <row r="5">
      <c r="A5" t="inlineStr">
        <is>
          <t>Necrons</t>
        </is>
      </c>
      <c r="C5" t="inlineStr">
        <is>
          <t>Vehicle / Support</t>
        </is>
      </c>
      <c r="D5" t="inlineStr">
        <is>
          <t>Walker / Battlesuit</t>
        </is>
      </c>
      <c r="E5" t="inlineStr">
        <is>
          <t>Canoptek Doomstalker</t>
        </is>
      </c>
      <c r="F5" t="inlineStr">
        <is>
          <t>1 model</t>
        </is>
      </c>
      <c r="G5" t="inlineStr">
        <is>
          <t>Walker / Battlesuit</t>
        </is>
      </c>
      <c r="L5" s="60" t="n">
        <v>145</v>
      </c>
      <c r="M5" s="54" t="str"/>
      <c r="N5" s="54" t="inlineStr">
        <is>
          <t>Matched to Munitorum Field Manual v2.3</t>
        </is>
      </c>
      <c r="O5" s="54" t="inlineStr">
        <is>
          <t>Uploaded PDF: Munitorum Field Manual v2.3 / March 2025, p.28</t>
        </is>
      </c>
    </row>
    <row r="6">
      <c r="A6" t="inlineStr">
        <is>
          <t>Necrons</t>
        </is>
      </c>
      <c r="C6" t="inlineStr">
        <is>
          <t>Vehicle / Support</t>
        </is>
      </c>
      <c r="D6" t="inlineStr">
        <is>
          <t>Walker / Battlesuit</t>
        </is>
      </c>
      <c r="E6" t="inlineStr">
        <is>
          <t>Canoptek Reanimator</t>
        </is>
      </c>
      <c r="F6" t="inlineStr">
        <is>
          <t>1 model</t>
        </is>
      </c>
      <c r="G6" t="inlineStr">
        <is>
          <t>Walker / Battlesuit</t>
        </is>
      </c>
      <c r="L6" s="60" t="n">
        <v>75</v>
      </c>
      <c r="M6" s="54" t="str"/>
      <c r="N6" s="54" t="inlineStr">
        <is>
          <t>Matched to Munitorum Field Manual v2.3</t>
        </is>
      </c>
      <c r="O6" s="54" t="inlineStr">
        <is>
          <t>Uploaded PDF: Munitorum Field Manual v2.3 / March 2025, p.28</t>
        </is>
      </c>
    </row>
    <row r="7">
      <c r="A7" t="inlineStr">
        <is>
          <t>Necrons</t>
        </is>
      </c>
      <c r="C7" t="inlineStr">
        <is>
          <t>Infantry / Other</t>
        </is>
      </c>
      <c r="D7" t="inlineStr">
        <is>
          <t>Beast / Swarm</t>
        </is>
      </c>
      <c r="E7" t="inlineStr">
        <is>
          <t>Canoptek Scarab Swarms</t>
        </is>
      </c>
      <c r="F7" t="inlineStr">
        <is>
          <t>3 models</t>
        </is>
      </c>
      <c r="G7" t="inlineStr">
        <is>
          <t>Beast / Swarm</t>
        </is>
      </c>
      <c r="L7" s="60" t="n">
        <v>40</v>
      </c>
      <c r="M7" s="54" t="inlineStr">
        <is>
          <t>Points options: 3 models = 40 pts; 6 models = 80 pts</t>
        </is>
      </c>
      <c r="N7" s="54" t="inlineStr">
        <is>
          <t>Matched to Munitorum Field Manual v2.3</t>
        </is>
      </c>
      <c r="O7" s="54" t="inlineStr">
        <is>
          <t>Uploaded PDF: Munitorum Field Manual v2.3 / March 2025, p.28</t>
        </is>
      </c>
    </row>
    <row r="8">
      <c r="A8" t="inlineStr">
        <is>
          <t>Necrons</t>
        </is>
      </c>
      <c r="C8" t="inlineStr">
        <is>
          <t>Vehicle / Support</t>
        </is>
      </c>
      <c r="D8" t="inlineStr">
        <is>
          <t>Walker / Battlesuit</t>
        </is>
      </c>
      <c r="E8" t="inlineStr">
        <is>
          <t>Canoptek Spyders</t>
        </is>
      </c>
      <c r="F8" t="inlineStr">
        <is>
          <t>1 model</t>
        </is>
      </c>
      <c r="G8" t="inlineStr">
        <is>
          <t>Walker / Battlesuit</t>
        </is>
      </c>
      <c r="L8" s="60" t="n">
        <v>75</v>
      </c>
      <c r="M8" s="54" t="inlineStr">
        <is>
          <t>Points options: 1 model = 75 pts; 2 models = 150 pts</t>
        </is>
      </c>
      <c r="N8" s="54" t="inlineStr">
        <is>
          <t>Matched to Munitorum Field Manual v2.3</t>
        </is>
      </c>
      <c r="O8" s="54" t="inlineStr">
        <is>
          <t>Uploaded PDF: Munitorum Field Manual v2.3 / March 2025, p.28</t>
        </is>
      </c>
    </row>
    <row r="9">
      <c r="A9" t="inlineStr">
        <is>
          <t>Necrons</t>
        </is>
      </c>
      <c r="C9" t="inlineStr">
        <is>
          <t>Infantry / Other</t>
        </is>
      </c>
      <c r="D9" t="inlineStr">
        <is>
          <t>Infantry</t>
        </is>
      </c>
      <c r="E9" t="inlineStr">
        <is>
          <t>Canoptek Wraiths</t>
        </is>
      </c>
      <c r="F9" t="inlineStr">
        <is>
          <t>3 models</t>
        </is>
      </c>
      <c r="G9" t="inlineStr">
        <is>
          <t>Infantry</t>
        </is>
      </c>
      <c r="L9" s="60" t="n">
        <v>115</v>
      </c>
      <c r="M9" s="54" t="inlineStr">
        <is>
          <t>Points options: 3 models = 115 pts; 6 models = 230 pts</t>
        </is>
      </c>
      <c r="N9" s="54" t="inlineStr">
        <is>
          <t>Matched to Munitorum Field Manual v2.3</t>
        </is>
      </c>
      <c r="O9" s="54" t="inlineStr">
        <is>
          <t>Uploaded PDF: Munitorum Field Manual v2.3 / March 2025, p.28</t>
        </is>
      </c>
    </row>
    <row r="10">
      <c r="A10" t="inlineStr">
        <is>
          <t>Necrons</t>
        </is>
      </c>
      <c r="C10" t="inlineStr">
        <is>
          <t>Infantry / Other</t>
        </is>
      </c>
      <c r="D10" t="inlineStr">
        <is>
          <t>Infantry</t>
        </is>
      </c>
      <c r="E10" t="inlineStr">
        <is>
          <t>Catacomb Command Barge</t>
        </is>
      </c>
      <c r="F10" t="inlineStr">
        <is>
          <t>1 model</t>
        </is>
      </c>
      <c r="G10" t="inlineStr">
        <is>
          <t>Infantry</t>
        </is>
      </c>
      <c r="L10" s="60" t="n">
        <v>120</v>
      </c>
      <c r="M10" s="54" t="str"/>
      <c r="N10" s="54" t="inlineStr">
        <is>
          <t>Matched to Munitorum Field Manual v2.3</t>
        </is>
      </c>
      <c r="O10" s="54" t="inlineStr">
        <is>
          <t>Uploaded PDF: Munitorum Field Manual v2.3 / March 2025, p.28</t>
        </is>
      </c>
    </row>
    <row r="11">
      <c r="A11" t="inlineStr">
        <is>
          <t>Necrons</t>
        </is>
      </c>
      <c r="C11" t="inlineStr">
        <is>
          <t>Infantry / Other</t>
        </is>
      </c>
      <c r="D11" t="inlineStr">
        <is>
          <t>Infantry</t>
        </is>
      </c>
      <c r="E11" t="inlineStr">
        <is>
          <t>Chronomancer</t>
        </is>
      </c>
      <c r="F11" t="inlineStr">
        <is>
          <t>1 model</t>
        </is>
      </c>
      <c r="G11" t="inlineStr">
        <is>
          <t>Infantry</t>
        </is>
      </c>
      <c r="L11" s="60" t="n">
        <v>65</v>
      </c>
      <c r="M11" s="54" t="str"/>
      <c r="N11" s="54" t="inlineStr">
        <is>
          <t>Matched to Munitorum Field Manual v2.3</t>
        </is>
      </c>
      <c r="O11" s="54" t="inlineStr">
        <is>
          <t>Uploaded PDF: Munitorum Field Manual v2.3 / March 2025, p.28</t>
        </is>
      </c>
    </row>
    <row r="12">
      <c r="A12" t="inlineStr">
        <is>
          <t>Necrons</t>
        </is>
      </c>
      <c r="C12" t="inlineStr">
        <is>
          <t>Infantry / Other</t>
        </is>
      </c>
      <c r="D12" t="inlineStr">
        <is>
          <t>Infantry</t>
        </is>
      </c>
      <c r="E12" t="inlineStr">
        <is>
          <t>Convergence of Dominion</t>
        </is>
      </c>
      <c r="F12" t="inlineStr">
        <is>
          <t>1 model</t>
        </is>
      </c>
      <c r="G12" t="inlineStr">
        <is>
          <t>Infantry</t>
        </is>
      </c>
      <c r="L12" s="60" t="n">
        <v>60</v>
      </c>
      <c r="M12" s="54" t="inlineStr">
        <is>
          <t>Points options: 1 model = 60 pts; 2 models = 120 pts; 3 models = 180 pts</t>
        </is>
      </c>
      <c r="N12" s="54" t="inlineStr">
        <is>
          <t>Matched to Munitorum Field Manual v2.3</t>
        </is>
      </c>
      <c r="O12" s="54" t="inlineStr">
        <is>
          <t>Uploaded PDF: Munitorum Field Manual v2.3 / March 2025, p.28</t>
        </is>
      </c>
    </row>
    <row r="13">
      <c r="A13" t="inlineStr">
        <is>
          <t>Necrons</t>
        </is>
      </c>
      <c r="C13" t="inlineStr">
        <is>
          <t>Monster / Heavy Support</t>
        </is>
      </c>
      <c r="D13" t="inlineStr">
        <is>
          <t>Monster</t>
        </is>
      </c>
      <c r="E13" t="inlineStr">
        <is>
          <t>C'tan Shard of the Deceiver</t>
        </is>
      </c>
      <c r="F13" t="inlineStr">
        <is>
          <t>1 model</t>
        </is>
      </c>
      <c r="G13" t="inlineStr">
        <is>
          <t>Monster</t>
        </is>
      </c>
      <c r="L13" s="60" t="n">
        <v>265</v>
      </c>
      <c r="M13" s="54" t="str"/>
      <c r="N13" s="54" t="inlineStr">
        <is>
          <t>Matched to Munitorum Field Manual v2.3</t>
        </is>
      </c>
      <c r="O13" s="54" t="inlineStr">
        <is>
          <t>Uploaded PDF: Munitorum Field Manual v2.3 / March 2025, p.28</t>
        </is>
      </c>
    </row>
    <row r="14">
      <c r="A14" t="inlineStr">
        <is>
          <t>Necrons</t>
        </is>
      </c>
      <c r="C14" t="inlineStr">
        <is>
          <t>Monster / Heavy Support</t>
        </is>
      </c>
      <c r="D14" t="inlineStr">
        <is>
          <t>Monster</t>
        </is>
      </c>
      <c r="E14" t="inlineStr">
        <is>
          <t>C'tan Shard of the Nightbringer</t>
        </is>
      </c>
      <c r="F14" t="inlineStr">
        <is>
          <t>1 model</t>
        </is>
      </c>
      <c r="G14" t="inlineStr">
        <is>
          <t>Monster</t>
        </is>
      </c>
      <c r="L14" s="60" t="n">
        <v>305</v>
      </c>
      <c r="M14" s="54" t="str"/>
      <c r="N14" s="54" t="inlineStr">
        <is>
          <t>Matched to Munitorum Field Manual v2.3</t>
        </is>
      </c>
      <c r="O14" s="54" t="inlineStr">
        <is>
          <t>Uploaded PDF: Munitorum Field Manual v2.3 / March 2025, p.28</t>
        </is>
      </c>
    </row>
    <row r="15">
      <c r="A15" t="inlineStr">
        <is>
          <t>Necrons</t>
        </is>
      </c>
      <c r="C15" t="inlineStr">
        <is>
          <t>Monster / Heavy Support</t>
        </is>
      </c>
      <c r="D15" t="inlineStr">
        <is>
          <t>Monster</t>
        </is>
      </c>
      <c r="E15" t="inlineStr">
        <is>
          <t>C'tan Shard of the Void Dragon</t>
        </is>
      </c>
      <c r="F15" t="inlineStr">
        <is>
          <t>1 model</t>
        </is>
      </c>
      <c r="G15" t="inlineStr">
        <is>
          <t>Monster</t>
        </is>
      </c>
      <c r="L15" s="60" t="n">
        <v>300</v>
      </c>
      <c r="M15" s="54" t="str"/>
      <c r="N15" s="54" t="inlineStr">
        <is>
          <t>Matched to Munitorum Field Manual v2.3</t>
        </is>
      </c>
      <c r="O15" s="54" t="inlineStr">
        <is>
          <t>Uploaded PDF: Munitorum Field Manual v2.3 / March 2025, p.28</t>
        </is>
      </c>
    </row>
    <row r="16">
      <c r="A16" t="inlineStr">
        <is>
          <t>Necrons</t>
        </is>
      </c>
      <c r="C16" t="inlineStr">
        <is>
          <t>Infantry / Other</t>
        </is>
      </c>
      <c r="D16" t="inlineStr">
        <is>
          <t>Infantry</t>
        </is>
      </c>
      <c r="E16" t="inlineStr">
        <is>
          <t>Deathmarks</t>
        </is>
      </c>
      <c r="F16" t="inlineStr">
        <is>
          <t>5 models</t>
        </is>
      </c>
      <c r="G16" t="inlineStr">
        <is>
          <t>Infantry</t>
        </is>
      </c>
      <c r="L16" s="60" t="n">
        <v>65</v>
      </c>
      <c r="M16" s="54" t="inlineStr">
        <is>
          <t>Points options: 5 models = 65 pts; 10 models = 130 pts</t>
        </is>
      </c>
      <c r="N16" s="54" t="inlineStr">
        <is>
          <t>Matched to Munitorum Field Manual v2.3</t>
        </is>
      </c>
      <c r="O16" s="54" t="inlineStr">
        <is>
          <t>Uploaded PDF: Munitorum Field Manual v2.3 / March 2025, p.28</t>
        </is>
      </c>
    </row>
    <row r="17">
      <c r="A17" t="inlineStr">
        <is>
          <t>Necrons</t>
        </is>
      </c>
      <c r="C17" t="inlineStr">
        <is>
          <t>Vehicle / Support</t>
        </is>
      </c>
      <c r="D17" t="inlineStr">
        <is>
          <t>Vehicle</t>
        </is>
      </c>
      <c r="E17" t="inlineStr">
        <is>
          <t>Doom Scythe</t>
        </is>
      </c>
      <c r="F17" t="inlineStr">
        <is>
          <t>1 model</t>
        </is>
      </c>
      <c r="G17" t="inlineStr">
        <is>
          <t>Vehicle</t>
        </is>
      </c>
      <c r="L17" s="60" t="n">
        <v>230</v>
      </c>
      <c r="M17" s="54" t="str"/>
      <c r="N17" s="54" t="inlineStr">
        <is>
          <t>Matched to Munitorum Field Manual v2.3</t>
        </is>
      </c>
      <c r="O17" s="54" t="inlineStr">
        <is>
          <t>Uploaded PDF: Munitorum Field Manual v2.3 / March 2025, p.28</t>
        </is>
      </c>
    </row>
    <row r="18">
      <c r="A18" t="inlineStr">
        <is>
          <t>Necrons</t>
        </is>
      </c>
      <c r="C18" t="inlineStr">
        <is>
          <t>Vehicle / Support</t>
        </is>
      </c>
      <c r="D18" t="inlineStr">
        <is>
          <t>Vehicle</t>
        </is>
      </c>
      <c r="E18" t="inlineStr">
        <is>
          <t>Doomsday Ark</t>
        </is>
      </c>
      <c r="F18" t="inlineStr">
        <is>
          <t>1 model</t>
        </is>
      </c>
      <c r="G18" t="inlineStr">
        <is>
          <t>Vehicle</t>
        </is>
      </c>
      <c r="L18" s="60" t="n">
        <v>200</v>
      </c>
      <c r="M18" s="54" t="str"/>
      <c r="N18" s="54" t="inlineStr">
        <is>
          <t>Matched to Munitorum Field Manual v2.3</t>
        </is>
      </c>
      <c r="O18" s="54" t="inlineStr">
        <is>
          <t>Uploaded PDF: Munitorum Field Manual v2.3 / March 2025, p.28</t>
        </is>
      </c>
    </row>
    <row r="19">
      <c r="A19" t="inlineStr">
        <is>
          <t>Necrons</t>
        </is>
      </c>
      <c r="C19" t="inlineStr">
        <is>
          <t>Infantry / Other</t>
        </is>
      </c>
      <c r="D19" t="inlineStr">
        <is>
          <t>Infantry</t>
        </is>
      </c>
      <c r="E19" t="inlineStr">
        <is>
          <t>Flayed Ones</t>
        </is>
      </c>
      <c r="F19" t="inlineStr">
        <is>
          <t>5 models</t>
        </is>
      </c>
      <c r="G19" t="inlineStr">
        <is>
          <t>Infantry</t>
        </is>
      </c>
      <c r="L19" s="60" t="n">
        <v>60</v>
      </c>
      <c r="M19" s="54" t="inlineStr">
        <is>
          <t>Points options: 5 models = 60 pts; 10 models = 120 pts</t>
        </is>
      </c>
      <c r="N19" s="54" t="inlineStr">
        <is>
          <t>Matched to Munitorum Field Manual v2.3</t>
        </is>
      </c>
      <c r="O19" s="54" t="inlineStr">
        <is>
          <t>Uploaded PDF: Munitorum Field Manual v2.3 / March 2025, p.28</t>
        </is>
      </c>
    </row>
    <row r="20">
      <c r="A20" t="inlineStr">
        <is>
          <t>Necrons</t>
        </is>
      </c>
      <c r="C20" t="inlineStr">
        <is>
          <t>Vehicle / Support</t>
        </is>
      </c>
      <c r="D20" t="inlineStr">
        <is>
          <t>Vehicle</t>
        </is>
      </c>
      <c r="E20" t="inlineStr">
        <is>
          <t>Ghost Ark</t>
        </is>
      </c>
      <c r="F20" t="inlineStr">
        <is>
          <t>1 model</t>
        </is>
      </c>
      <c r="G20" t="inlineStr">
        <is>
          <t>Vehicle</t>
        </is>
      </c>
      <c r="L20" s="60" t="n">
        <v>115</v>
      </c>
      <c r="M20" s="54" t="str"/>
      <c r="N20" s="54" t="inlineStr">
        <is>
          <t>Matched to Munitorum Field Manual v2.3</t>
        </is>
      </c>
      <c r="O20" s="54" t="inlineStr">
        <is>
          <t>Uploaded PDF: Munitorum Field Manual v2.3 / March 2025, p.28</t>
        </is>
      </c>
    </row>
    <row r="21">
      <c r="A21" t="inlineStr">
        <is>
          <t>Necrons</t>
        </is>
      </c>
      <c r="C21" t="inlineStr">
        <is>
          <t>Infantry / Other</t>
        </is>
      </c>
      <c r="D21" t="inlineStr">
        <is>
          <t>Infantry</t>
        </is>
      </c>
      <c r="E21" t="inlineStr">
        <is>
          <t>Hexmark Destroyer</t>
        </is>
      </c>
      <c r="F21" t="inlineStr">
        <is>
          <t>1 model</t>
        </is>
      </c>
      <c r="G21" t="inlineStr">
        <is>
          <t>Infantry</t>
        </is>
      </c>
      <c r="L21" s="60" t="n">
        <v>75</v>
      </c>
      <c r="M21" s="54" t="str"/>
      <c r="N21" s="54" t="inlineStr">
        <is>
          <t>Matched to Munitorum Field Manual v2.3</t>
        </is>
      </c>
      <c r="O21" s="54" t="inlineStr">
        <is>
          <t>Uploaded PDF: Munitorum Field Manual v2.3 / March 2025, p.28</t>
        </is>
      </c>
    </row>
    <row r="22">
      <c r="A22" t="inlineStr">
        <is>
          <t>Necrons</t>
        </is>
      </c>
      <c r="C22" t="inlineStr">
        <is>
          <t>Infantry / Other</t>
        </is>
      </c>
      <c r="D22" t="inlineStr">
        <is>
          <t>Infantry</t>
        </is>
      </c>
      <c r="E22" t="inlineStr">
        <is>
          <t>Illuminor Szeras</t>
        </is>
      </c>
      <c r="F22" t="inlineStr">
        <is>
          <t>1 model</t>
        </is>
      </c>
      <c r="G22" t="inlineStr">
        <is>
          <t>Infantry</t>
        </is>
      </c>
      <c r="L22" s="60" t="n">
        <v>175</v>
      </c>
      <c r="M22" s="54" t="str"/>
      <c r="N22" s="54" t="inlineStr">
        <is>
          <t>Matched to Munitorum Field Manual v2.3</t>
        </is>
      </c>
      <c r="O22" s="54" t="inlineStr">
        <is>
          <t>Uploaded PDF: Munitorum Field Manual v2.3 / March 2025, p.28</t>
        </is>
      </c>
    </row>
    <row r="23">
      <c r="A23" t="inlineStr">
        <is>
          <t>Necrons</t>
        </is>
      </c>
      <c r="C23" t="inlineStr">
        <is>
          <t>Infantry / Other</t>
        </is>
      </c>
      <c r="D23" t="inlineStr">
        <is>
          <t>Infantry</t>
        </is>
      </c>
      <c r="E23" t="inlineStr">
        <is>
          <t>Immortals</t>
        </is>
      </c>
      <c r="F23" t="inlineStr">
        <is>
          <t>5 models</t>
        </is>
      </c>
      <c r="G23" t="inlineStr">
        <is>
          <t>Infantry</t>
        </is>
      </c>
      <c r="L23" s="60" t="n">
        <v>70</v>
      </c>
      <c r="M23" s="54" t="inlineStr">
        <is>
          <t>Points options: 5 models = 70 pts; 10 models = 150 pts</t>
        </is>
      </c>
      <c r="N23" s="54" t="inlineStr">
        <is>
          <t>Matched to Munitorum Field Manual v2.3</t>
        </is>
      </c>
      <c r="O23" s="54" t="inlineStr">
        <is>
          <t>Uploaded PDF: Munitorum Field Manual v2.3 / March 2025, p.28</t>
        </is>
      </c>
    </row>
    <row r="24">
      <c r="A24" t="inlineStr">
        <is>
          <t>Necrons</t>
        </is>
      </c>
      <c r="C24" t="inlineStr">
        <is>
          <t>Vehicle / Support</t>
        </is>
      </c>
      <c r="D24" t="inlineStr">
        <is>
          <t>Super-heavy Vehicle/Monster</t>
        </is>
      </c>
      <c r="E24" t="inlineStr">
        <is>
          <t>Imotekh the Stormlord</t>
        </is>
      </c>
      <c r="F24" t="inlineStr">
        <is>
          <t>1 model</t>
        </is>
      </c>
      <c r="G24" t="inlineStr">
        <is>
          <t>Super-heavy Vehicle/Monster</t>
        </is>
      </c>
      <c r="L24" s="60" t="n">
        <v>100</v>
      </c>
      <c r="M24" s="54" t="str"/>
      <c r="N24" s="54" t="inlineStr">
        <is>
          <t>Matched to Munitorum Field Manual v2.3</t>
        </is>
      </c>
      <c r="O24" s="54" t="inlineStr">
        <is>
          <t>Uploaded PDF: Munitorum Field Manual v2.3 / March 2025, p.28</t>
        </is>
      </c>
    </row>
    <row r="25">
      <c r="A25" t="inlineStr">
        <is>
          <t>Necrons</t>
        </is>
      </c>
      <c r="C25" t="inlineStr">
        <is>
          <t>Infantry / Other</t>
        </is>
      </c>
      <c r="D25" t="inlineStr">
        <is>
          <t>Infantry</t>
        </is>
      </c>
      <c r="E25" t="inlineStr">
        <is>
          <t>Lokhust Destroyers</t>
        </is>
      </c>
      <c r="F25" t="inlineStr">
        <is>
          <t>1 model</t>
        </is>
      </c>
      <c r="G25" t="inlineStr">
        <is>
          <t>Infantry</t>
        </is>
      </c>
      <c r="L25" s="60" t="n">
        <v>35</v>
      </c>
      <c r="M25" s="54" t="inlineStr">
        <is>
          <t>Points options: 1 model = 35 pts; 2 models = 60 pts; 3 models = 90 pts; 6 models = 180 pts</t>
        </is>
      </c>
      <c r="N25" s="54" t="inlineStr">
        <is>
          <t>Matched to Munitorum Field Manual v2.3</t>
        </is>
      </c>
      <c r="O25" s="54" t="inlineStr">
        <is>
          <t>Uploaded PDF: Munitorum Field Manual v2.3 / March 2025, p.28</t>
        </is>
      </c>
    </row>
    <row r="26">
      <c r="A26" t="inlineStr">
        <is>
          <t>Necrons</t>
        </is>
      </c>
      <c r="C26" t="inlineStr">
        <is>
          <t>Infantry / Other</t>
        </is>
      </c>
      <c r="D26" t="inlineStr">
        <is>
          <t>Infantry</t>
        </is>
      </c>
      <c r="E26" t="inlineStr">
        <is>
          <t>Lokhust Heavy Destroyers</t>
        </is>
      </c>
      <c r="F26" t="inlineStr">
        <is>
          <t>1 model</t>
        </is>
      </c>
      <c r="G26" t="inlineStr">
        <is>
          <t>Infantry</t>
        </is>
      </c>
      <c r="L26" s="60" t="n">
        <v>55</v>
      </c>
      <c r="M26" s="54" t="inlineStr">
        <is>
          <t>Points options: 1 model = 55 pts; 2 models = 110 pts; 3 models = 165 pts</t>
        </is>
      </c>
      <c r="N26" s="54" t="inlineStr">
        <is>
          <t>Matched to Munitorum Field Manual v2.3</t>
        </is>
      </c>
      <c r="O26" s="54" t="inlineStr">
        <is>
          <t>Uploaded PDF: Munitorum Field Manual v2.3 / March 2025, p.28</t>
        </is>
      </c>
    </row>
    <row r="27">
      <c r="A27" t="inlineStr">
        <is>
          <t>Necrons</t>
        </is>
      </c>
      <c r="C27" t="inlineStr">
        <is>
          <t>Character</t>
        </is>
      </c>
      <c r="D27" t="inlineStr">
        <is>
          <t>Character</t>
        </is>
      </c>
      <c r="E27" t="inlineStr">
        <is>
          <t>Lokhust Lord</t>
        </is>
      </c>
      <c r="F27" t="inlineStr">
        <is>
          <t>1 model</t>
        </is>
      </c>
      <c r="G27" t="inlineStr">
        <is>
          <t>Character</t>
        </is>
      </c>
      <c r="L27" s="60" t="n">
        <v>80</v>
      </c>
      <c r="M27" s="54" t="str"/>
      <c r="N27" s="54" t="inlineStr">
        <is>
          <t>Matched to Munitorum Field Manual v2.3</t>
        </is>
      </c>
      <c r="O27" s="54" t="inlineStr">
        <is>
          <t>Uploaded PDF: Munitorum Field Manual v2.3 / March 2025, p.28</t>
        </is>
      </c>
    </row>
    <row r="28">
      <c r="A28" t="inlineStr">
        <is>
          <t>Necrons</t>
        </is>
      </c>
      <c r="C28" t="inlineStr">
        <is>
          <t>Infantry / Other</t>
        </is>
      </c>
      <c r="D28" t="inlineStr">
        <is>
          <t>Infantry</t>
        </is>
      </c>
      <c r="E28" t="inlineStr">
        <is>
          <t>Lychguard</t>
        </is>
      </c>
      <c r="F28" t="inlineStr">
        <is>
          <t>5 models</t>
        </is>
      </c>
      <c r="G28" t="inlineStr">
        <is>
          <t>Infantry</t>
        </is>
      </c>
      <c r="L28" s="60" t="n">
        <v>85</v>
      </c>
      <c r="M28" s="54" t="inlineStr">
        <is>
          <t>Points options: 5 models = 85 pts; 10 models = 170 pts</t>
        </is>
      </c>
      <c r="N28" s="54" t="inlineStr">
        <is>
          <t>Matched to Munitorum Field Manual v2.3</t>
        </is>
      </c>
      <c r="O28" s="54" t="inlineStr">
        <is>
          <t>Uploaded PDF: Munitorum Field Manual v2.3 / March 2025, p.28</t>
        </is>
      </c>
    </row>
    <row r="29">
      <c r="A29" t="inlineStr">
        <is>
          <t>Necrons</t>
        </is>
      </c>
      <c r="C29" t="inlineStr">
        <is>
          <t>Vehicle / Support</t>
        </is>
      </c>
      <c r="D29" t="inlineStr">
        <is>
          <t>Super-heavy Vehicle/Monster</t>
        </is>
      </c>
      <c r="E29" t="inlineStr">
        <is>
          <t>Monolith</t>
        </is>
      </c>
      <c r="F29" t="inlineStr">
        <is>
          <t>1 model</t>
        </is>
      </c>
      <c r="G29" t="inlineStr">
        <is>
          <t>Super-heavy Vehicle/Monster</t>
        </is>
      </c>
      <c r="L29" s="60" t="n">
        <v>400</v>
      </c>
      <c r="M29" s="54" t="str"/>
      <c r="N29" s="54" t="inlineStr">
        <is>
          <t>Matched to Munitorum Field Manual v2.3</t>
        </is>
      </c>
      <c r="O29" s="54" t="inlineStr">
        <is>
          <t>Uploaded PDF: Munitorum Field Manual v2.3 / March 2025, p.28</t>
        </is>
      </c>
    </row>
    <row r="30">
      <c r="A30" t="inlineStr">
        <is>
          <t>Necrons</t>
        </is>
      </c>
      <c r="C30" t="inlineStr">
        <is>
          <t>Battleline / Core</t>
        </is>
      </c>
      <c r="D30" t="inlineStr">
        <is>
          <t>Infantry</t>
        </is>
      </c>
      <c r="E30" t="inlineStr">
        <is>
          <t>Necron Warriors</t>
        </is>
      </c>
      <c r="F30" t="inlineStr">
        <is>
          <t>10 models</t>
        </is>
      </c>
      <c r="G30" t="inlineStr">
        <is>
          <t>Infantry</t>
        </is>
      </c>
      <c r="L30" s="60" t="n">
        <v>90</v>
      </c>
      <c r="M30" s="54" t="inlineStr">
        <is>
          <t>Points options: 10 models = 90 pts; 20 models = 200 pts</t>
        </is>
      </c>
      <c r="N30" s="54" t="inlineStr">
        <is>
          <t>Matched to Munitorum Field Manual v2.3</t>
        </is>
      </c>
      <c r="O30" s="54" t="inlineStr">
        <is>
          <t>Uploaded PDF: Munitorum Field Manual v2.3 / March 2025, p.28</t>
        </is>
      </c>
    </row>
    <row r="31">
      <c r="A31" t="inlineStr">
        <is>
          <t>Necrons</t>
        </is>
      </c>
      <c r="C31" t="inlineStr">
        <is>
          <t>Vehicle / Support</t>
        </is>
      </c>
      <c r="D31" t="inlineStr">
        <is>
          <t>Vehicle</t>
        </is>
      </c>
      <c r="E31" t="inlineStr">
        <is>
          <t>Night Scythe</t>
        </is>
      </c>
      <c r="F31" t="inlineStr">
        <is>
          <t>1 model</t>
        </is>
      </c>
      <c r="G31" t="inlineStr">
        <is>
          <t>Vehicle</t>
        </is>
      </c>
      <c r="L31" s="60" t="n">
        <v>145</v>
      </c>
      <c r="M31" s="54" t="str"/>
      <c r="N31" s="54" t="inlineStr">
        <is>
          <t>Matched to Munitorum Field Manual v2.3</t>
        </is>
      </c>
      <c r="O31" s="54" t="inlineStr">
        <is>
          <t>Uploaded PDF: Munitorum Field Manual v2.3 / March 2025, p.28</t>
        </is>
      </c>
    </row>
    <row r="32">
      <c r="A32" t="inlineStr">
        <is>
          <t>Necrons</t>
        </is>
      </c>
      <c r="C32" t="inlineStr">
        <is>
          <t>Vehicle / Support</t>
        </is>
      </c>
      <c r="D32" t="inlineStr">
        <is>
          <t>Vehicle</t>
        </is>
      </c>
      <c r="E32" t="inlineStr">
        <is>
          <t>Obelisk</t>
        </is>
      </c>
      <c r="F32" t="inlineStr">
        <is>
          <t>1 model</t>
        </is>
      </c>
      <c r="G32" t="inlineStr">
        <is>
          <t>Vehicle</t>
        </is>
      </c>
      <c r="L32" s="60" t="n">
        <v>300</v>
      </c>
      <c r="M32" s="54" t="str"/>
      <c r="N32" s="54" t="inlineStr">
        <is>
          <t>Matched to Munitorum Field Manual v2.3</t>
        </is>
      </c>
      <c r="O32" s="54" t="inlineStr">
        <is>
          <t>Uploaded PDF: Munitorum Field Manual v2.3 / March 2025, p.28</t>
        </is>
      </c>
    </row>
    <row r="33">
      <c r="A33" t="inlineStr">
        <is>
          <t>Necrons</t>
        </is>
      </c>
      <c r="C33" t="inlineStr">
        <is>
          <t>Infantry / Other</t>
        </is>
      </c>
      <c r="D33" t="inlineStr">
        <is>
          <t>Infantry</t>
        </is>
      </c>
      <c r="E33" t="inlineStr">
        <is>
          <t>Ophydian Destroyers</t>
        </is>
      </c>
      <c r="F33" t="inlineStr">
        <is>
          <t>3 models</t>
        </is>
      </c>
      <c r="G33" t="inlineStr">
        <is>
          <t>Infantry</t>
        </is>
      </c>
      <c r="L33" s="60" t="n">
        <v>80</v>
      </c>
      <c r="M33" s="54" t="inlineStr">
        <is>
          <t>Points options: 3 models = 80 pts; 6 models = 160 pts</t>
        </is>
      </c>
      <c r="N33" s="54" t="inlineStr">
        <is>
          <t>Matched to Munitorum Field Manual v2.3</t>
        </is>
      </c>
      <c r="O33" s="54" t="inlineStr">
        <is>
          <t>Uploaded PDF: Munitorum Field Manual v2.3 / March 2025, p.28</t>
        </is>
      </c>
    </row>
    <row r="34">
      <c r="A34" t="inlineStr">
        <is>
          <t>Necrons</t>
        </is>
      </c>
      <c r="C34" t="inlineStr">
        <is>
          <t>Infantry / Other</t>
        </is>
      </c>
      <c r="D34" t="inlineStr">
        <is>
          <t>Infantry</t>
        </is>
      </c>
      <c r="E34" t="inlineStr">
        <is>
          <t>Orikan the Diviner</t>
        </is>
      </c>
      <c r="F34" t="inlineStr">
        <is>
          <t>1 model</t>
        </is>
      </c>
      <c r="G34" t="inlineStr">
        <is>
          <t>Infantry</t>
        </is>
      </c>
      <c r="L34" s="60" t="n">
        <v>80</v>
      </c>
      <c r="M34" s="54" t="str"/>
      <c r="N34" s="54" t="inlineStr">
        <is>
          <t>Matched to Munitorum Field Manual v2.3</t>
        </is>
      </c>
      <c r="O34" s="54" t="inlineStr">
        <is>
          <t>Uploaded PDF: Munitorum Field Manual v2.3 / March 2025, p.28</t>
        </is>
      </c>
    </row>
    <row r="35">
      <c r="A35" t="inlineStr">
        <is>
          <t>Necrons</t>
        </is>
      </c>
      <c r="C35" t="inlineStr">
        <is>
          <t>Character</t>
        </is>
      </c>
      <c r="D35" t="inlineStr">
        <is>
          <t>Character</t>
        </is>
      </c>
      <c r="E35" t="inlineStr">
        <is>
          <t>Overlord</t>
        </is>
      </c>
      <c r="F35" t="inlineStr">
        <is>
          <t>1 model</t>
        </is>
      </c>
      <c r="G35" t="inlineStr">
        <is>
          <t>Character</t>
        </is>
      </c>
      <c r="L35" s="60" t="n">
        <v>85</v>
      </c>
      <c r="M35" s="54" t="str"/>
      <c r="N35" s="54" t="inlineStr">
        <is>
          <t>Matched to Munitorum Field Manual v2.3</t>
        </is>
      </c>
      <c r="O35" s="54" t="inlineStr">
        <is>
          <t>Uploaded PDF: Munitorum Field Manual v2.3 / March 2025, p.28</t>
        </is>
      </c>
    </row>
    <row r="36">
      <c r="A36" t="inlineStr">
        <is>
          <t>Necrons</t>
        </is>
      </c>
      <c r="C36" t="inlineStr">
        <is>
          <t>Character</t>
        </is>
      </c>
      <c r="D36" t="inlineStr">
        <is>
          <t>Character</t>
        </is>
      </c>
      <c r="E36" t="inlineStr">
        <is>
          <t>Overlord with Translocation Shroud</t>
        </is>
      </c>
      <c r="F36" t="inlineStr">
        <is>
          <t>1 model</t>
        </is>
      </c>
      <c r="G36" t="inlineStr">
        <is>
          <t>Character</t>
        </is>
      </c>
      <c r="L36" s="60" t="n">
        <v>85</v>
      </c>
      <c r="M36" s="54" t="str"/>
      <c r="N36" s="54" t="inlineStr">
        <is>
          <t>Matched to Munitorum Field Manual v2.3</t>
        </is>
      </c>
      <c r="O36" s="54" t="inlineStr">
        <is>
          <t>Uploaded PDF: Munitorum Field Manual v2.3 / March 2025, p.28</t>
        </is>
      </c>
    </row>
    <row r="37">
      <c r="A37" t="inlineStr">
        <is>
          <t>Necrons</t>
        </is>
      </c>
      <c r="C37" t="inlineStr">
        <is>
          <t>Infantry / Other</t>
        </is>
      </c>
      <c r="D37" t="inlineStr">
        <is>
          <t>Infantry</t>
        </is>
      </c>
      <c r="E37" t="inlineStr">
        <is>
          <t>Plasmancer</t>
        </is>
      </c>
      <c r="F37" t="inlineStr">
        <is>
          <t>1 model</t>
        </is>
      </c>
      <c r="G37" t="inlineStr">
        <is>
          <t>Infantry</t>
        </is>
      </c>
      <c r="L37" s="60" t="n">
        <v>60</v>
      </c>
      <c r="M37" s="54" t="str"/>
      <c r="N37" s="54" t="inlineStr">
        <is>
          <t>Matched to Munitorum Field Manual v2.3</t>
        </is>
      </c>
      <c r="O37" s="54" t="inlineStr">
        <is>
          <t>Uploaded PDF: Munitorum Field Manual v2.3 / March 2025, p.28</t>
        </is>
      </c>
    </row>
    <row r="38">
      <c r="A38" t="inlineStr">
        <is>
          <t>Necrons</t>
        </is>
      </c>
      <c r="C38" t="inlineStr">
        <is>
          <t>Infantry / Other</t>
        </is>
      </c>
      <c r="D38" t="inlineStr">
        <is>
          <t>Infantry</t>
        </is>
      </c>
      <c r="E38" t="inlineStr">
        <is>
          <t>Psychomancer</t>
        </is>
      </c>
      <c r="F38" t="inlineStr">
        <is>
          <t>1 model</t>
        </is>
      </c>
      <c r="G38" t="inlineStr">
        <is>
          <t>Infantry</t>
        </is>
      </c>
      <c r="L38" s="60" t="n">
        <v>55</v>
      </c>
      <c r="M38" s="54" t="str"/>
      <c r="N38" s="54" t="inlineStr">
        <is>
          <t>Matched to Munitorum Field Manual v2.3</t>
        </is>
      </c>
      <c r="O38" s="54" t="inlineStr">
        <is>
          <t>Uploaded PDF: Munitorum Field Manual v2.3 / March 2025, p.28</t>
        </is>
      </c>
    </row>
    <row r="39">
      <c r="A39" t="inlineStr">
        <is>
          <t>Necrons</t>
        </is>
      </c>
      <c r="C39" t="inlineStr">
        <is>
          <t>Infantry / Other</t>
        </is>
      </c>
      <c r="D39" t="inlineStr">
        <is>
          <t>Infantry</t>
        </is>
      </c>
      <c r="E39" t="inlineStr">
        <is>
          <t>Royal Warden</t>
        </is>
      </c>
      <c r="F39" t="inlineStr">
        <is>
          <t>1 model</t>
        </is>
      </c>
      <c r="G39" t="inlineStr">
        <is>
          <t>Infantry</t>
        </is>
      </c>
      <c r="L39" s="60" t="n">
        <v>50</v>
      </c>
      <c r="M39" s="54" t="str"/>
      <c r="N39" s="54" t="inlineStr">
        <is>
          <t>Matched to Munitorum Field Manual v2.3</t>
        </is>
      </c>
      <c r="O39" s="54" t="inlineStr">
        <is>
          <t>Uploaded PDF: Munitorum Field Manual v2.3 / March 2025, p.28</t>
        </is>
      </c>
    </row>
    <row r="40">
      <c r="A40" t="inlineStr">
        <is>
          <t>Necrons</t>
        </is>
      </c>
      <c r="C40" t="inlineStr">
        <is>
          <t>Infantry / Other</t>
        </is>
      </c>
      <c r="D40" t="inlineStr">
        <is>
          <t>Infantry</t>
        </is>
      </c>
      <c r="E40" t="inlineStr">
        <is>
          <t>Skorpekh Destroyers</t>
        </is>
      </c>
      <c r="F40" t="inlineStr">
        <is>
          <t>3 models</t>
        </is>
      </c>
      <c r="G40" t="inlineStr">
        <is>
          <t>Infantry</t>
        </is>
      </c>
      <c r="L40" s="60" t="n">
        <v>90</v>
      </c>
      <c r="M40" s="54" t="inlineStr">
        <is>
          <t>Points options: 3 models = 90 pts; 6 models = 180 pts</t>
        </is>
      </c>
      <c r="N40" s="54" t="inlineStr">
        <is>
          <t>Matched to Munitorum Field Manual v2.3</t>
        </is>
      </c>
      <c r="O40" s="54" t="inlineStr">
        <is>
          <t>Uploaded PDF: Munitorum Field Manual v2.3 / March 2025, p.28</t>
        </is>
      </c>
    </row>
    <row r="41">
      <c r="A41" t="inlineStr">
        <is>
          <t>Necrons</t>
        </is>
      </c>
      <c r="C41" t="inlineStr">
        <is>
          <t>Character</t>
        </is>
      </c>
      <c r="D41" t="inlineStr">
        <is>
          <t>Character</t>
        </is>
      </c>
      <c r="E41" t="inlineStr">
        <is>
          <t>Skorpekh Lord</t>
        </is>
      </c>
      <c r="F41" t="inlineStr">
        <is>
          <t>1 model</t>
        </is>
      </c>
      <c r="G41" t="inlineStr">
        <is>
          <t>Character</t>
        </is>
      </c>
      <c r="L41" s="60" t="n">
        <v>80</v>
      </c>
      <c r="M41" s="54" t="str"/>
      <c r="N41" s="54" t="inlineStr">
        <is>
          <t>Matched to Munitorum Field Manual v2.3</t>
        </is>
      </c>
      <c r="O41" s="54" t="inlineStr">
        <is>
          <t>Uploaded PDF: Munitorum Field Manual v2.3 / March 2025, p.28</t>
        </is>
      </c>
    </row>
    <row r="42">
      <c r="A42" t="inlineStr">
        <is>
          <t>Necrons</t>
        </is>
      </c>
      <c r="C42" t="inlineStr">
        <is>
          <t>Infantry / Other</t>
        </is>
      </c>
      <c r="D42" t="inlineStr">
        <is>
          <t>Infantry</t>
        </is>
      </c>
      <c r="E42" t="inlineStr">
        <is>
          <t>Technomancer</t>
        </is>
      </c>
      <c r="F42" t="inlineStr">
        <is>
          <t>1 model</t>
        </is>
      </c>
      <c r="G42" t="inlineStr">
        <is>
          <t>Infantry</t>
        </is>
      </c>
      <c r="L42" s="60" t="n">
        <v>85</v>
      </c>
      <c r="M42" s="54" t="str"/>
      <c r="N42" s="54" t="inlineStr">
        <is>
          <t>Matched to Munitorum Field Manual v2.3</t>
        </is>
      </c>
      <c r="O42" s="54" t="inlineStr">
        <is>
          <t>Uploaded PDF: Munitorum Field Manual v2.3 / March 2025, p.28</t>
        </is>
      </c>
    </row>
    <row r="43">
      <c r="A43" t="inlineStr">
        <is>
          <t>Necrons</t>
        </is>
      </c>
      <c r="C43" t="inlineStr">
        <is>
          <t>Vehicle / Support</t>
        </is>
      </c>
      <c r="D43" t="inlineStr">
        <is>
          <t>Super-heavy Vehicle/Monster</t>
        </is>
      </c>
      <c r="E43" t="inlineStr">
        <is>
          <t>Tesseract Vault</t>
        </is>
      </c>
      <c r="F43" t="inlineStr">
        <is>
          <t>1 model</t>
        </is>
      </c>
      <c r="G43" t="inlineStr">
        <is>
          <t>Super-heavy Vehicle/Monster</t>
        </is>
      </c>
      <c r="L43" s="60" t="n">
        <v>425</v>
      </c>
      <c r="M43" s="54" t="str"/>
      <c r="N43" s="54" t="inlineStr">
        <is>
          <t>Matched to Munitorum Field Manual v2.3</t>
        </is>
      </c>
      <c r="O43" s="54" t="inlineStr">
        <is>
          <t>Uploaded PDF: Munitorum Field Manual v2.3 / March 2025, p.28</t>
        </is>
      </c>
    </row>
    <row r="44">
      <c r="A44" t="inlineStr">
        <is>
          <t>Necrons</t>
        </is>
      </c>
      <c r="C44" t="inlineStr">
        <is>
          <t>Infantry / Other</t>
        </is>
      </c>
      <c r="D44" t="inlineStr">
        <is>
          <t>Infantry</t>
        </is>
      </c>
      <c r="E44" t="inlineStr">
        <is>
          <t>The Silent King</t>
        </is>
      </c>
      <c r="F44" t="inlineStr">
        <is>
          <t>3 models</t>
        </is>
      </c>
      <c r="G44" t="inlineStr">
        <is>
          <t>Infantry, Epic Hero</t>
        </is>
      </c>
      <c r="L44" s="60" t="n">
        <v>420</v>
      </c>
      <c r="M44" s="54" t="str"/>
      <c r="N44" s="54" t="inlineStr">
        <is>
          <t>Matched to Munitorum Field Manual v2.3</t>
        </is>
      </c>
      <c r="O44" s="54" t="inlineStr">
        <is>
          <t>Uploaded PDF: Munitorum Field Manual v2.3 / March 2025, p.28</t>
        </is>
      </c>
    </row>
    <row r="45">
      <c r="A45" t="inlineStr">
        <is>
          <t>Necrons</t>
        </is>
      </c>
      <c r="C45" t="inlineStr">
        <is>
          <t>Infantry / Other</t>
        </is>
      </c>
      <c r="D45" t="inlineStr">
        <is>
          <t>Infantry</t>
        </is>
      </c>
      <c r="E45" t="inlineStr">
        <is>
          <t>Tomb Blades</t>
        </is>
      </c>
      <c r="F45" t="inlineStr">
        <is>
          <t>3 models</t>
        </is>
      </c>
      <c r="G45" t="inlineStr">
        <is>
          <t>Infantry</t>
        </is>
      </c>
      <c r="L45" s="60" t="n">
        <v>75</v>
      </c>
      <c r="M45" s="54" t="inlineStr">
        <is>
          <t>Points options: 3 models = 75 pts; 6 models = 150 pts</t>
        </is>
      </c>
      <c r="N45" s="54" t="inlineStr">
        <is>
          <t>Matched to Munitorum Field Manual v2.3</t>
        </is>
      </c>
      <c r="O45" s="54" t="inlineStr">
        <is>
          <t>Uploaded PDF: Munitorum Field Manual v2.3 / March 2025, p.28</t>
        </is>
      </c>
    </row>
    <row r="46">
      <c r="A46" t="inlineStr">
        <is>
          <t>Necrons</t>
        </is>
      </c>
      <c r="C46" t="inlineStr">
        <is>
          <t>Infantry / Other</t>
        </is>
      </c>
      <c r="D46" t="inlineStr">
        <is>
          <t>Infantry</t>
        </is>
      </c>
      <c r="E46" t="inlineStr">
        <is>
          <t>Transcendent C'tan</t>
        </is>
      </c>
      <c r="F46" t="inlineStr">
        <is>
          <t>1 model</t>
        </is>
      </c>
      <c r="G46" t="inlineStr">
        <is>
          <t>Infantry</t>
        </is>
      </c>
      <c r="L46" s="60" t="n">
        <v>295</v>
      </c>
      <c r="M46" s="54" t="str"/>
      <c r="N46" s="54" t="inlineStr">
        <is>
          <t>Matched to Munitorum Field Manual v2.3</t>
        </is>
      </c>
      <c r="O46" s="54" t="inlineStr">
        <is>
          <t>Uploaded PDF: Munitorum Field Manual v2.3 / March 2025, p.28</t>
        </is>
      </c>
    </row>
    <row r="47">
      <c r="A47" t="inlineStr">
        <is>
          <t>Necrons</t>
        </is>
      </c>
      <c r="C47" t="inlineStr">
        <is>
          <t>Infantry / Other</t>
        </is>
      </c>
      <c r="D47" t="inlineStr">
        <is>
          <t>Infantry</t>
        </is>
      </c>
      <c r="E47" t="inlineStr">
        <is>
          <t>Triarch Praetorians</t>
        </is>
      </c>
      <c r="F47" t="inlineStr">
        <is>
          <t>5 models</t>
        </is>
      </c>
      <c r="G47" t="inlineStr">
        <is>
          <t>Infantry</t>
        </is>
      </c>
      <c r="L47" s="60" t="n">
        <v>100</v>
      </c>
      <c r="M47" s="54" t="inlineStr">
        <is>
          <t>Points options: 5 models = 100 pts; 10 models = 200 pts</t>
        </is>
      </c>
      <c r="N47" s="54" t="inlineStr">
        <is>
          <t>Matched to Munitorum Field Manual v2.3</t>
        </is>
      </c>
      <c r="O47" s="54" t="inlineStr">
        <is>
          <t>Uploaded PDF: Munitorum Field Manual v2.3 / March 2025, p.28</t>
        </is>
      </c>
    </row>
    <row r="48">
      <c r="A48" t="inlineStr">
        <is>
          <t>Necrons</t>
        </is>
      </c>
      <c r="C48" t="inlineStr">
        <is>
          <t>Vehicle / Support</t>
        </is>
      </c>
      <c r="D48" t="inlineStr">
        <is>
          <t>Walker / Battlesuit</t>
        </is>
      </c>
      <c r="E48" t="inlineStr">
        <is>
          <t>Triarch Stalker</t>
        </is>
      </c>
      <c r="F48" t="inlineStr">
        <is>
          <t>1 model</t>
        </is>
      </c>
      <c r="G48" t="inlineStr">
        <is>
          <t>Walker / Battlesuit</t>
        </is>
      </c>
      <c r="L48" s="60" t="n">
        <v>110</v>
      </c>
      <c r="M48" s="54" t="str"/>
      <c r="N48" s="54" t="inlineStr">
        <is>
          <t>Matched to Munitorum Field Manual v2.3</t>
        </is>
      </c>
      <c r="O48" s="54" t="inlineStr">
        <is>
          <t>Uploaded PDF: Munitorum Field Manual v2.3 / March 2025, p.28</t>
        </is>
      </c>
    </row>
    <row r="49">
      <c r="A49" t="inlineStr">
        <is>
          <t>Necrons</t>
        </is>
      </c>
      <c r="C49" t="inlineStr">
        <is>
          <t>Infantry / Other</t>
        </is>
      </c>
      <c r="D49" t="inlineStr">
        <is>
          <t>Infantry</t>
        </is>
      </c>
      <c r="E49" t="inlineStr">
        <is>
          <t>Trazyn the Infinite</t>
        </is>
      </c>
      <c r="F49" t="inlineStr">
        <is>
          <t>1 model</t>
        </is>
      </c>
      <c r="G49" t="inlineStr">
        <is>
          <t>Infantry</t>
        </is>
      </c>
      <c r="L49" s="60" t="n">
        <v>75</v>
      </c>
      <c r="M49" s="54" t="str"/>
      <c r="N49" s="54" t="inlineStr">
        <is>
          <t>Matched to Munitorum Field Manual v2.3</t>
        </is>
      </c>
      <c r="O49" s="54" t="inlineStr">
        <is>
          <t>Uploaded PDF: Munitorum Field Manual v2.3 / March 2025, p.28</t>
        </is>
      </c>
    </row>
    <row r="50">
      <c r="A50" t="inlineStr">
        <is>
          <t>Necrons</t>
        </is>
      </c>
      <c r="C50" t="inlineStr">
        <is>
          <t>Infantry / Other</t>
        </is>
      </c>
      <c r="D50" t="inlineStr">
        <is>
          <t>Infantry</t>
        </is>
      </c>
      <c r="E50" t="inlineStr">
        <is>
          <t>Canoptek Macrocytes</t>
        </is>
      </c>
      <c r="F50" t="inlineStr">
        <is>
          <t>5 models</t>
        </is>
      </c>
      <c r="G50" t="inlineStr">
        <is>
          <t>Infantry</t>
        </is>
      </c>
      <c r="L50" t="n">
        <v>70</v>
      </c>
      <c r="N50" t="inlineStr">
        <is>
          <t>Added from current Munitorum Field Manual v4.1 (non-Legends)</t>
        </is>
      </c>
      <c r="O50" t="inlineStr">
        <is>
          <t>https://www.warhammer-community.com/en-gb/downloads/warhammer-40000/</t>
        </is>
      </c>
    </row>
    <row r="51">
      <c r="A51" t="inlineStr">
        <is>
          <t>Necrons</t>
        </is>
      </c>
      <c r="C51" t="inlineStr">
        <is>
          <t>Infantry / Other</t>
        </is>
      </c>
      <c r="D51" t="inlineStr">
        <is>
          <t>Infantry</t>
        </is>
      </c>
      <c r="E51" t="inlineStr">
        <is>
          <t>Canoptek Tomb Crawlers</t>
        </is>
      </c>
      <c r="F51" t="inlineStr">
        <is>
          <t>2 models</t>
        </is>
      </c>
      <c r="G51" t="inlineStr">
        <is>
          <t>Infantry</t>
        </is>
      </c>
      <c r="L51" t="n">
        <v>50</v>
      </c>
      <c r="N51" t="inlineStr">
        <is>
          <t>Added from current Munitorum Field Manual v4.1 (non-Legends)</t>
        </is>
      </c>
      <c r="O51" t="inlineStr">
        <is>
          <t>https://www.warhammer-community.com/en-gb/downloads/warhammer-40000/</t>
        </is>
      </c>
    </row>
    <row r="52">
      <c r="A52" t="inlineStr">
        <is>
          <t>Necrons</t>
        </is>
      </c>
      <c r="C52" t="inlineStr">
        <is>
          <t>Infantry / Other</t>
        </is>
      </c>
      <c r="D52" t="inlineStr">
        <is>
          <t>Infantry</t>
        </is>
      </c>
      <c r="E52" t="inlineStr">
        <is>
          <t>Cryptothralls</t>
        </is>
      </c>
      <c r="F52" t="inlineStr">
        <is>
          <t>2 models</t>
        </is>
      </c>
      <c r="G52" t="inlineStr">
        <is>
          <t>Infantry</t>
        </is>
      </c>
      <c r="L52" t="n">
        <v>60</v>
      </c>
      <c r="N52" t="inlineStr">
        <is>
          <t>Added from current Munitorum Field Manual v4.1 (non-Legends)</t>
        </is>
      </c>
      <c r="O52" t="inlineStr">
        <is>
          <t>https://www.warhammer-community.com/en-gb/downloads/warhammer-40000/</t>
        </is>
      </c>
    </row>
    <row r="53">
      <c r="A53" t="inlineStr">
        <is>
          <t>Necrons</t>
        </is>
      </c>
      <c r="C53" t="inlineStr">
        <is>
          <t>Character</t>
        </is>
      </c>
      <c r="D53" t="inlineStr">
        <is>
          <t>Character</t>
        </is>
      </c>
      <c r="E53" t="inlineStr">
        <is>
          <t>Geomancer</t>
        </is>
      </c>
      <c r="F53" t="inlineStr">
        <is>
          <t>1 model</t>
        </is>
      </c>
      <c r="G53" t="inlineStr">
        <is>
          <t>Character</t>
        </is>
      </c>
      <c r="L53" t="n">
        <v>75</v>
      </c>
      <c r="N53" t="inlineStr">
        <is>
          <t>Added from current Munitorum Field Manual v4.1 (non-Legends)</t>
        </is>
      </c>
      <c r="O53" t="inlineStr">
        <is>
          <t>https://www.warhammer-community.com/en-gb/downloads/warhammer-40000/</t>
        </is>
      </c>
    </row>
    <row r="54">
      <c r="A54" t="inlineStr">
        <is>
          <t>Necrons</t>
        </is>
      </c>
      <c r="C54" t="inlineStr">
        <is>
          <t>Character</t>
        </is>
      </c>
      <c r="D54" t="inlineStr">
        <is>
          <t>Character</t>
        </is>
      </c>
      <c r="E54" t="inlineStr">
        <is>
          <t>Nekrosor Ammentar</t>
        </is>
      </c>
      <c r="F54" t="inlineStr">
        <is>
          <t>1 model</t>
        </is>
      </c>
      <c r="G54" t="inlineStr">
        <is>
          <t>Character</t>
        </is>
      </c>
      <c r="L54" t="n">
        <v>175</v>
      </c>
      <c r="N54" t="inlineStr">
        <is>
          <t>Added from current Munitorum Field Manual v4.1 (non-Legends)</t>
        </is>
      </c>
      <c r="O54" t="inlineStr">
        <is>
          <t>https://www.warhammer-community.com/en-gb/downloads/warhammer-40000/</t>
        </is>
      </c>
    </row>
    <row r="55">
      <c r="A55" t="inlineStr">
        <is>
          <t>Necrons</t>
        </is>
      </c>
      <c r="C55" t="inlineStr">
        <is>
          <t>Vehicle / Support</t>
        </is>
      </c>
      <c r="D55" t="inlineStr">
        <is>
          <t>Vehicle</t>
        </is>
      </c>
      <c r="E55" t="inlineStr">
        <is>
          <t>Seraptek Heavy Construct</t>
        </is>
      </c>
      <c r="F55" t="inlineStr">
        <is>
          <t>1 model</t>
        </is>
      </c>
      <c r="G55" t="inlineStr">
        <is>
          <t>Vehicle</t>
        </is>
      </c>
      <c r="L55" t="n">
        <v>540</v>
      </c>
      <c r="M55" t="inlineStr">
        <is>
          <t>Your 1st Unit Costs: 1 models = 540 pts | Your 2nd + Unit Costs: 1 models = 570 pts</t>
        </is>
      </c>
      <c r="N55" t="inlineStr">
        <is>
          <t>Added from current Munitorum Field Manual v4.1 (non-Legends)</t>
        </is>
      </c>
      <c r="O5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Orks</t>
        </is>
      </c>
      <c r="C2" t="inlineStr">
        <is>
          <t>Vehicle / Support</t>
        </is>
      </c>
      <c r="D2" t="inlineStr">
        <is>
          <t>Vehicle</t>
        </is>
      </c>
      <c r="E2" t="inlineStr">
        <is>
          <t>Battlewagon</t>
        </is>
      </c>
      <c r="F2" t="inlineStr">
        <is>
          <t>1 model</t>
        </is>
      </c>
      <c r="G2" t="inlineStr">
        <is>
          <t>Vehicle</t>
        </is>
      </c>
      <c r="L2" s="60" t="n">
        <v>160</v>
      </c>
      <c r="M2" s="54" t="str"/>
      <c r="N2" s="54" t="inlineStr">
        <is>
          <t>Matched to Munitorum Field Manual v2.3</t>
        </is>
      </c>
      <c r="O2" s="54" t="inlineStr">
        <is>
          <t>Uploaded PDF: Munitorum Field Manual v2.3 / March 2025, p.29</t>
        </is>
      </c>
    </row>
    <row r="3">
      <c r="A3" t="inlineStr">
        <is>
          <t>Orks</t>
        </is>
      </c>
      <c r="C3" t="inlineStr">
        <is>
          <t>Battleline / Core</t>
        </is>
      </c>
      <c r="D3" t="inlineStr">
        <is>
          <t>Beast / Swarm</t>
        </is>
      </c>
      <c r="E3" t="inlineStr">
        <is>
          <t>Beast Snagga Boyz</t>
        </is>
      </c>
      <c r="F3" t="inlineStr">
        <is>
          <t>10 models</t>
        </is>
      </c>
      <c r="G3" t="inlineStr">
        <is>
          <t>Beast / Swarm</t>
        </is>
      </c>
      <c r="L3" s="60" t="n">
        <v>95</v>
      </c>
      <c r="M3" s="54" t="inlineStr">
        <is>
          <t>Points options: 10 models = 95 pts; 20 models = 190 pts</t>
        </is>
      </c>
      <c r="N3" s="54" t="inlineStr">
        <is>
          <t>Matched to Munitorum Field Manual v2.3</t>
        </is>
      </c>
      <c r="O3" s="54" t="inlineStr">
        <is>
          <t>Uploaded PDF: Munitorum Field Manual v2.3 / March 2025, p.29</t>
        </is>
      </c>
    </row>
    <row r="4">
      <c r="A4" t="inlineStr">
        <is>
          <t>Orks</t>
        </is>
      </c>
      <c r="C4" t="inlineStr">
        <is>
          <t>Character</t>
        </is>
      </c>
      <c r="D4" t="inlineStr">
        <is>
          <t>Character</t>
        </is>
      </c>
      <c r="E4" t="inlineStr">
        <is>
          <t>Beastboss</t>
        </is>
      </c>
      <c r="F4" t="inlineStr">
        <is>
          <t>1 model</t>
        </is>
      </c>
      <c r="G4" t="inlineStr">
        <is>
          <t>Character</t>
        </is>
      </c>
      <c r="L4" s="60" t="n">
        <v>80</v>
      </c>
      <c r="M4" s="54" t="str"/>
      <c r="N4" s="54" t="inlineStr">
        <is>
          <t>Matched to Munitorum Field Manual v2.3</t>
        </is>
      </c>
      <c r="O4" s="54" t="inlineStr">
        <is>
          <t>Uploaded PDF: Munitorum Field Manual v2.3 / March 2025, p.29</t>
        </is>
      </c>
    </row>
    <row r="5">
      <c r="A5" t="inlineStr">
        <is>
          <t>Orks</t>
        </is>
      </c>
      <c r="C5" t="inlineStr">
        <is>
          <t>Character</t>
        </is>
      </c>
      <c r="D5" t="inlineStr">
        <is>
          <t>Character</t>
        </is>
      </c>
      <c r="E5" t="inlineStr">
        <is>
          <t>Beastboss on Squigosaur</t>
        </is>
      </c>
      <c r="F5" t="inlineStr">
        <is>
          <t>1 model</t>
        </is>
      </c>
      <c r="G5" t="inlineStr">
        <is>
          <t>Character</t>
        </is>
      </c>
      <c r="L5" s="60" t="n">
        <v>130</v>
      </c>
      <c r="M5" s="54" t="str"/>
      <c r="N5" s="54" t="inlineStr">
        <is>
          <t>Matched to Munitorum Field Manual v2.3</t>
        </is>
      </c>
      <c r="O5" s="54" t="inlineStr">
        <is>
          <t>Uploaded PDF: Munitorum Field Manual v2.3 / March 2025, p.29</t>
        </is>
      </c>
    </row>
    <row r="6">
      <c r="A6" t="inlineStr">
        <is>
          <t>Orks</t>
        </is>
      </c>
      <c r="C6" t="inlineStr">
        <is>
          <t>Character</t>
        </is>
      </c>
      <c r="D6" t="inlineStr">
        <is>
          <t>Character</t>
        </is>
      </c>
      <c r="E6" t="inlineStr">
        <is>
          <t>Big Mek</t>
        </is>
      </c>
      <c r="F6" t="inlineStr">
        <is>
          <t>1 model</t>
        </is>
      </c>
      <c r="G6" t="inlineStr">
        <is>
          <t>Character</t>
        </is>
      </c>
      <c r="L6" s="60" t="n">
        <v>70</v>
      </c>
      <c r="M6" s="54" t="str"/>
      <c r="N6" s="54" t="inlineStr">
        <is>
          <t>Matched to Munitorum Field Manual v2.3</t>
        </is>
      </c>
      <c r="O6" s="54" t="inlineStr">
        <is>
          <t>Uploaded PDF: Munitorum Field Manual v2.3 / March 2025, p.29</t>
        </is>
      </c>
    </row>
    <row r="7">
      <c r="A7" t="inlineStr">
        <is>
          <t>Orks</t>
        </is>
      </c>
      <c r="C7" t="inlineStr">
        <is>
          <t>Character</t>
        </is>
      </c>
      <c r="D7" t="inlineStr">
        <is>
          <t>Character</t>
        </is>
      </c>
      <c r="E7" t="inlineStr">
        <is>
          <t>Big Mek in Mega Armour</t>
        </is>
      </c>
      <c r="F7" t="inlineStr">
        <is>
          <t>1 model</t>
        </is>
      </c>
      <c r="G7" t="inlineStr">
        <is>
          <t>Character</t>
        </is>
      </c>
      <c r="L7" s="60" t="n">
        <v>90</v>
      </c>
      <c r="M7" s="54" t="str"/>
      <c r="N7" s="54" t="inlineStr">
        <is>
          <t>Matched to Munitorum Field Manual v2.3</t>
        </is>
      </c>
      <c r="O7" s="54" t="inlineStr">
        <is>
          <t>Uploaded PDF: Munitorum Field Manual v2.3 / March 2025, p.29</t>
        </is>
      </c>
    </row>
    <row r="8">
      <c r="A8" t="inlineStr">
        <is>
          <t>Orks</t>
        </is>
      </c>
      <c r="C8" t="inlineStr">
        <is>
          <t>Character</t>
        </is>
      </c>
      <c r="D8" t="inlineStr">
        <is>
          <t>Character</t>
        </is>
      </c>
      <c r="E8" t="inlineStr">
        <is>
          <t>Big Mek with Shokk Attack Gun</t>
        </is>
      </c>
      <c r="F8" t="inlineStr">
        <is>
          <t>1 model</t>
        </is>
      </c>
      <c r="G8" t="inlineStr">
        <is>
          <t>Character</t>
        </is>
      </c>
      <c r="L8" s="60" t="n">
        <v>75</v>
      </c>
      <c r="M8" s="54" t="str"/>
      <c r="N8" s="54" t="inlineStr">
        <is>
          <t>Matched to Munitorum Field Manual v2.3</t>
        </is>
      </c>
      <c r="O8" s="54" t="inlineStr">
        <is>
          <t>Uploaded PDF: Munitorum Field Manual v2.3 / March 2025, p.29</t>
        </is>
      </c>
    </row>
    <row r="9">
      <c r="A9" t="inlineStr">
        <is>
          <t>Orks</t>
        </is>
      </c>
      <c r="C9" t="inlineStr">
        <is>
          <t>Vehicle / Support</t>
        </is>
      </c>
      <c r="D9" t="inlineStr">
        <is>
          <t>Vehicle</t>
        </is>
      </c>
      <c r="E9" t="inlineStr">
        <is>
          <t>Blitza-bommer</t>
        </is>
      </c>
      <c r="F9" t="inlineStr">
        <is>
          <t>1 model</t>
        </is>
      </c>
      <c r="G9" t="inlineStr">
        <is>
          <t>Vehicle</t>
        </is>
      </c>
      <c r="L9" s="60" t="n">
        <v>115</v>
      </c>
      <c r="M9" s="54" t="str"/>
      <c r="N9" s="54" t="inlineStr">
        <is>
          <t>Matched to Munitorum Field Manual v2.3</t>
        </is>
      </c>
      <c r="O9" s="54" t="inlineStr">
        <is>
          <t>Uploaded PDF: Munitorum Field Manual v2.3 / March 2025, p.29</t>
        </is>
      </c>
    </row>
    <row r="10">
      <c r="A10" t="inlineStr">
        <is>
          <t>Orks</t>
        </is>
      </c>
      <c r="C10" t="inlineStr">
        <is>
          <t>Vehicle / Support</t>
        </is>
      </c>
      <c r="D10" t="inlineStr">
        <is>
          <t>Vehicle</t>
        </is>
      </c>
      <c r="E10" t="inlineStr">
        <is>
          <t>Boomdakka Snazzwagon</t>
        </is>
      </c>
      <c r="F10" t="inlineStr">
        <is>
          <t>1 model</t>
        </is>
      </c>
      <c r="G10" t="inlineStr">
        <is>
          <t>Vehicle</t>
        </is>
      </c>
      <c r="L10" s="60" t="n">
        <v>80</v>
      </c>
      <c r="M10" s="54" t="str"/>
      <c r="N10" s="54" t="inlineStr">
        <is>
          <t>Matched to Munitorum Field Manual v2.3</t>
        </is>
      </c>
      <c r="O10" s="54" t="inlineStr">
        <is>
          <t>Uploaded PDF: Munitorum Field Manual v2.3 / March 2025, p.29</t>
        </is>
      </c>
    </row>
    <row r="11">
      <c r="A11" t="inlineStr">
        <is>
          <t>Orks</t>
        </is>
      </c>
      <c r="C11" t="inlineStr">
        <is>
          <t>Character</t>
        </is>
      </c>
      <c r="D11" t="inlineStr">
        <is>
          <t>Character</t>
        </is>
      </c>
      <c r="E11" t="inlineStr">
        <is>
          <t>Boss Snikrot</t>
        </is>
      </c>
      <c r="F11" t="inlineStr">
        <is>
          <t>1 model</t>
        </is>
      </c>
      <c r="G11" t="inlineStr">
        <is>
          <t>Character</t>
        </is>
      </c>
      <c r="L11" s="60" t="n">
        <v>95</v>
      </c>
      <c r="M11" s="54" t="str"/>
      <c r="N11" s="54" t="inlineStr">
        <is>
          <t>Matched to Munitorum Field Manual v2.3</t>
        </is>
      </c>
      <c r="O11" s="54" t="inlineStr">
        <is>
          <t>Uploaded PDF: Munitorum Field Manual v2.3 / March 2025, p.29</t>
        </is>
      </c>
    </row>
    <row r="12">
      <c r="A12" t="inlineStr">
        <is>
          <t>Orks</t>
        </is>
      </c>
      <c r="C12" t="inlineStr">
        <is>
          <t>Character</t>
        </is>
      </c>
      <c r="D12" t="inlineStr">
        <is>
          <t>Character</t>
        </is>
      </c>
      <c r="E12" t="inlineStr">
        <is>
          <t>Boss Zagstruk</t>
        </is>
      </c>
      <c r="G12" t="inlineStr">
        <is>
          <t>Character</t>
        </is>
      </c>
      <c r="L12" s="60" t="n"/>
      <c r="M12" s="54" t="inlineStr">
        <is>
          <t>No matching points entry found in uploaded PDF; verify unit name/current support.</t>
        </is>
      </c>
      <c r="N12" s="54" t="inlineStr">
        <is>
          <t>Not found in uploaded PDF</t>
        </is>
      </c>
      <c r="O12" s="54" t="inlineStr">
        <is>
          <t>Uploaded PDF: Munitorum Field Manual v2.3 / March 2025</t>
        </is>
      </c>
    </row>
    <row r="13">
      <c r="A13" t="inlineStr">
        <is>
          <t>Orks</t>
        </is>
      </c>
      <c r="C13" t="inlineStr">
        <is>
          <t>Battleline / Core</t>
        </is>
      </c>
      <c r="D13" t="inlineStr">
        <is>
          <t>Infantry</t>
        </is>
      </c>
      <c r="E13" t="inlineStr">
        <is>
          <t>Boyz</t>
        </is>
      </c>
      <c r="F13" t="inlineStr">
        <is>
          <t>10 models</t>
        </is>
      </c>
      <c r="G13" t="inlineStr">
        <is>
          <t>Infantry</t>
        </is>
      </c>
      <c r="L13" s="60" t="n">
        <v>80</v>
      </c>
      <c r="M13" s="54" t="inlineStr">
        <is>
          <t>Points options: 10 models = 80 pts; 20 models = 160 pts</t>
        </is>
      </c>
      <c r="N13" s="54" t="inlineStr">
        <is>
          <t>Matched to Munitorum Field Manual v2.3</t>
        </is>
      </c>
      <c r="O13" s="54" t="inlineStr">
        <is>
          <t>Uploaded PDF: Munitorum Field Manual v2.3 / March 2025, p.29</t>
        </is>
      </c>
    </row>
    <row r="14">
      <c r="A14" t="inlineStr">
        <is>
          <t>Orks</t>
        </is>
      </c>
      <c r="C14" t="inlineStr">
        <is>
          <t>Battleline / Core</t>
        </is>
      </c>
      <c r="D14" t="inlineStr">
        <is>
          <t>Infantry</t>
        </is>
      </c>
      <c r="E14" t="inlineStr">
        <is>
          <t>Burna Boyz</t>
        </is>
      </c>
      <c r="F14" t="inlineStr">
        <is>
          <t>1 Spanner and 4 Burna Boyz</t>
        </is>
      </c>
      <c r="G14" t="inlineStr">
        <is>
          <t>Infantry</t>
        </is>
      </c>
      <c r="L14" s="60" t="n">
        <v>60</v>
      </c>
      <c r="M14" s="54" t="inlineStr">
        <is>
          <t>Points options: 1 Spanner and 4 Burna Boyz = 60 pts; 2 Spanners and 8 Burna Boyz = 120 pts</t>
        </is>
      </c>
      <c r="N14" s="54" t="inlineStr">
        <is>
          <t>Matched to Munitorum Field Manual v2.3</t>
        </is>
      </c>
      <c r="O14" s="54" t="inlineStr">
        <is>
          <t>Uploaded PDF: Munitorum Field Manual v2.3 / March 2025, p.29</t>
        </is>
      </c>
    </row>
    <row r="15">
      <c r="A15" t="inlineStr">
        <is>
          <t>Orks</t>
        </is>
      </c>
      <c r="C15" t="inlineStr">
        <is>
          <t>Vehicle / Support</t>
        </is>
      </c>
      <c r="D15" t="inlineStr">
        <is>
          <t>Vehicle</t>
        </is>
      </c>
      <c r="E15" t="inlineStr">
        <is>
          <t>Burna-bommer</t>
        </is>
      </c>
      <c r="F15" t="inlineStr">
        <is>
          <t>1 model</t>
        </is>
      </c>
      <c r="G15" t="inlineStr">
        <is>
          <t>Vehicle</t>
        </is>
      </c>
      <c r="L15" s="60" t="n">
        <v>125</v>
      </c>
      <c r="M15" s="54" t="str"/>
      <c r="N15" s="54" t="inlineStr">
        <is>
          <t>Matched to Munitorum Field Manual v2.3</t>
        </is>
      </c>
      <c r="O15" s="54" t="inlineStr">
        <is>
          <t>Uploaded PDF: Munitorum Field Manual v2.3 / March 2025, p.29</t>
        </is>
      </c>
    </row>
    <row r="16">
      <c r="A16" t="inlineStr">
        <is>
          <t>Orks</t>
        </is>
      </c>
      <c r="C16" t="inlineStr">
        <is>
          <t>Vehicle / Support</t>
        </is>
      </c>
      <c r="D16" t="inlineStr">
        <is>
          <t>Vehicle</t>
        </is>
      </c>
      <c r="E16" t="inlineStr">
        <is>
          <t>Dakkajet</t>
        </is>
      </c>
      <c r="F16" t="inlineStr">
        <is>
          <t>1 model</t>
        </is>
      </c>
      <c r="G16" t="inlineStr">
        <is>
          <t>Vehicle</t>
        </is>
      </c>
      <c r="L16" s="60" t="n">
        <v>135</v>
      </c>
      <c r="M16" s="54" t="str"/>
      <c r="N16" s="54" t="inlineStr">
        <is>
          <t>Matched to Munitorum Field Manual v2.3</t>
        </is>
      </c>
      <c r="O16" s="54" t="inlineStr">
        <is>
          <t>Uploaded PDF: Munitorum Field Manual v2.3 / March 2025, p.29</t>
        </is>
      </c>
    </row>
    <row r="17">
      <c r="A17" t="inlineStr">
        <is>
          <t>Orks</t>
        </is>
      </c>
      <c r="C17" t="inlineStr">
        <is>
          <t>Vehicle / Support</t>
        </is>
      </c>
      <c r="D17" t="inlineStr">
        <is>
          <t>Walker / Battlesuit</t>
        </is>
      </c>
      <c r="E17" t="inlineStr">
        <is>
          <t>Deff Dread</t>
        </is>
      </c>
      <c r="F17" t="inlineStr">
        <is>
          <t>1 model</t>
        </is>
      </c>
      <c r="G17" t="inlineStr">
        <is>
          <t>Walker / Battlesuit</t>
        </is>
      </c>
      <c r="L17" s="60" t="n">
        <v>120</v>
      </c>
      <c r="M17" s="54" t="str"/>
      <c r="N17" s="54" t="inlineStr">
        <is>
          <t>Matched to Munitorum Field Manual v2.3</t>
        </is>
      </c>
      <c r="O17" s="54" t="inlineStr">
        <is>
          <t>Uploaded PDF: Munitorum Field Manual v2.3 / March 2025, p.29</t>
        </is>
      </c>
    </row>
    <row r="18">
      <c r="A18" t="inlineStr">
        <is>
          <t>Orks</t>
        </is>
      </c>
      <c r="C18" t="inlineStr">
        <is>
          <t>Infantry / Other</t>
        </is>
      </c>
      <c r="D18" t="inlineStr">
        <is>
          <t>Infantry</t>
        </is>
      </c>
      <c r="E18" t="inlineStr">
        <is>
          <t>Deffkilla Wartrike</t>
        </is>
      </c>
      <c r="F18" t="inlineStr">
        <is>
          <t>1 model</t>
        </is>
      </c>
      <c r="G18" t="inlineStr">
        <is>
          <t>Infantry</t>
        </is>
      </c>
      <c r="L18" s="60" t="n">
        <v>80</v>
      </c>
      <c r="M18" s="54" t="str"/>
      <c r="N18" s="54" t="inlineStr">
        <is>
          <t>Matched to Munitorum Field Manual v2.3</t>
        </is>
      </c>
      <c r="O18" s="54" t="inlineStr">
        <is>
          <t>Uploaded PDF: Munitorum Field Manual v2.3 / March 2025, p.29</t>
        </is>
      </c>
    </row>
    <row r="19">
      <c r="A19" t="inlineStr">
        <is>
          <t>Orks</t>
        </is>
      </c>
      <c r="C19" t="inlineStr">
        <is>
          <t>Infantry / Other</t>
        </is>
      </c>
      <c r="D19" t="inlineStr">
        <is>
          <t>Infantry</t>
        </is>
      </c>
      <c r="E19" t="inlineStr">
        <is>
          <t>Deffkoptas</t>
        </is>
      </c>
      <c r="F19" t="inlineStr">
        <is>
          <t>3 models</t>
        </is>
      </c>
      <c r="G19" t="inlineStr">
        <is>
          <t>Infantry</t>
        </is>
      </c>
      <c r="L19" s="60" t="n">
        <v>90</v>
      </c>
      <c r="M19" s="54" t="inlineStr">
        <is>
          <t>Points options: 3 models = 90 pts; 6 models = 180 pts</t>
        </is>
      </c>
      <c r="N19" s="54" t="inlineStr">
        <is>
          <t>Matched to Munitorum Field Manual v2.3</t>
        </is>
      </c>
      <c r="O19" s="54" t="inlineStr">
        <is>
          <t>Uploaded PDF: Munitorum Field Manual v2.3 / March 2025, p.29</t>
        </is>
      </c>
    </row>
    <row r="20">
      <c r="A20" t="inlineStr">
        <is>
          <t>Orks</t>
        </is>
      </c>
      <c r="C20" t="inlineStr">
        <is>
          <t>Infantry / Other</t>
        </is>
      </c>
      <c r="D20" t="inlineStr">
        <is>
          <t>Infantry</t>
        </is>
      </c>
      <c r="E20" t="inlineStr">
        <is>
          <t>Flash Gitz</t>
        </is>
      </c>
      <c r="F20" t="inlineStr">
        <is>
          <t>5 models</t>
        </is>
      </c>
      <c r="G20" t="inlineStr">
        <is>
          <t>Infantry</t>
        </is>
      </c>
      <c r="L20" s="60" t="n">
        <v>80</v>
      </c>
      <c r="M20" s="54" t="inlineStr">
        <is>
          <t>Points options: 5 models = 80 pts; 10 models = 160 pts</t>
        </is>
      </c>
      <c r="N20" s="54" t="inlineStr">
        <is>
          <t>Matched to Munitorum Field Manual v2.3</t>
        </is>
      </c>
      <c r="O20" s="54" t="inlineStr">
        <is>
          <t>Uploaded PDF: Munitorum Field Manual v2.3 / March 2025, p.29</t>
        </is>
      </c>
    </row>
    <row r="21">
      <c r="A21" t="inlineStr">
        <is>
          <t>Orks</t>
        </is>
      </c>
      <c r="C21" t="inlineStr">
        <is>
          <t>Character</t>
        </is>
      </c>
      <c r="D21" t="inlineStr">
        <is>
          <t>Character</t>
        </is>
      </c>
      <c r="E21" t="inlineStr">
        <is>
          <t>Ghazghkull Thraka</t>
        </is>
      </c>
      <c r="F21" t="inlineStr">
        <is>
          <t>2 models</t>
        </is>
      </c>
      <c r="G21" t="inlineStr">
        <is>
          <t>Character, Epic Hero</t>
        </is>
      </c>
      <c r="L21" s="60" t="n">
        <v>235</v>
      </c>
      <c r="M21" s="54" t="str"/>
      <c r="N21" s="54" t="inlineStr">
        <is>
          <t>Matched to Munitorum Field Manual v2.3</t>
        </is>
      </c>
      <c r="O21" s="54" t="inlineStr">
        <is>
          <t>Uploaded PDF: Munitorum Field Manual v2.3 / March 2025, p.29</t>
        </is>
      </c>
    </row>
    <row r="22">
      <c r="A22" t="inlineStr">
        <is>
          <t>Orks</t>
        </is>
      </c>
      <c r="C22" t="inlineStr">
        <is>
          <t>Vehicle / Support</t>
        </is>
      </c>
      <c r="D22" t="inlineStr">
        <is>
          <t>Walker / Battlesuit</t>
        </is>
      </c>
      <c r="E22" t="inlineStr">
        <is>
          <t>Gorkanaut</t>
        </is>
      </c>
      <c r="F22" t="inlineStr">
        <is>
          <t>1 model</t>
        </is>
      </c>
      <c r="G22" t="inlineStr">
        <is>
          <t>Walker / Battlesuit</t>
        </is>
      </c>
      <c r="L22" s="60" t="n">
        <v>265</v>
      </c>
      <c r="M22" s="54" t="str"/>
      <c r="N22" s="54" t="inlineStr">
        <is>
          <t>Matched to Munitorum Field Manual v2.3</t>
        </is>
      </c>
      <c r="O22" s="54" t="inlineStr">
        <is>
          <t>Uploaded PDF: Munitorum Field Manual v2.3 / March 2025, p.29</t>
        </is>
      </c>
    </row>
    <row r="23">
      <c r="A23" t="inlineStr">
        <is>
          <t>Orks</t>
        </is>
      </c>
      <c r="C23" t="inlineStr">
        <is>
          <t>Infantry / Other</t>
        </is>
      </c>
      <c r="D23" t="inlineStr">
        <is>
          <t>Infantry</t>
        </is>
      </c>
      <c r="E23" t="inlineStr">
        <is>
          <t>Gretchin</t>
        </is>
      </c>
      <c r="F23" t="inlineStr">
        <is>
          <t>11 models</t>
        </is>
      </c>
      <c r="G23" t="inlineStr">
        <is>
          <t>Infantry</t>
        </is>
      </c>
      <c r="L23" s="60" t="n">
        <v>40</v>
      </c>
      <c r="M23" s="54" t="inlineStr">
        <is>
          <t>Points options: 11 models = 40 pts; 22 models = 80 pts</t>
        </is>
      </c>
      <c r="N23" s="54" t="inlineStr">
        <is>
          <t>Matched to Munitorum Field Manual v2.3</t>
        </is>
      </c>
      <c r="O23" s="54" t="inlineStr">
        <is>
          <t>Uploaded PDF: Munitorum Field Manual v2.3 / March 2025, p.29</t>
        </is>
      </c>
    </row>
    <row r="24">
      <c r="A24" t="inlineStr">
        <is>
          <t>Orks</t>
        </is>
      </c>
      <c r="C24" t="inlineStr">
        <is>
          <t>Vehicle / Support</t>
        </is>
      </c>
      <c r="D24" t="inlineStr">
        <is>
          <t>Vehicle</t>
        </is>
      </c>
      <c r="E24" t="inlineStr">
        <is>
          <t>Hunta Rig</t>
        </is>
      </c>
      <c r="F24" t="inlineStr">
        <is>
          <t>1 model</t>
        </is>
      </c>
      <c r="G24" t="inlineStr">
        <is>
          <t>Vehicle</t>
        </is>
      </c>
      <c r="L24" s="60" t="n">
        <v>135</v>
      </c>
      <c r="M24" s="54" t="str"/>
      <c r="N24" s="54" t="inlineStr">
        <is>
          <t>Matched to Munitorum Field Manual v2.3</t>
        </is>
      </c>
      <c r="O24" s="54" t="inlineStr">
        <is>
          <t>Uploaded PDF: Munitorum Field Manual v2.3 / March 2025, p.29</t>
        </is>
      </c>
    </row>
    <row r="25">
      <c r="A25" t="inlineStr">
        <is>
          <t>Orks</t>
        </is>
      </c>
      <c r="C25" t="inlineStr">
        <is>
          <t>Character</t>
        </is>
      </c>
      <c r="D25" t="inlineStr">
        <is>
          <t>Character</t>
        </is>
      </c>
      <c r="E25" t="inlineStr">
        <is>
          <t>Kaptin Badrukk</t>
        </is>
      </c>
      <c r="G25" t="inlineStr">
        <is>
          <t>Character</t>
        </is>
      </c>
      <c r="L25" s="60" t="n"/>
      <c r="M25" s="54" t="inlineStr">
        <is>
          <t>No matching points entry found in uploaded PDF; verify unit name/current support.</t>
        </is>
      </c>
      <c r="N25" s="54" t="inlineStr">
        <is>
          <t>Not found in uploaded PDF</t>
        </is>
      </c>
      <c r="O25" s="54" t="inlineStr">
        <is>
          <t>Uploaded PDF: Munitorum Field Manual v2.3 / March 2025</t>
        </is>
      </c>
    </row>
    <row r="26">
      <c r="A26" t="inlineStr">
        <is>
          <t>Orks</t>
        </is>
      </c>
      <c r="C26" t="inlineStr">
        <is>
          <t>Vehicle / Support</t>
        </is>
      </c>
      <c r="D26" t="inlineStr">
        <is>
          <t>Vehicle</t>
        </is>
      </c>
      <c r="E26" t="inlineStr">
        <is>
          <t>Kill Rig</t>
        </is>
      </c>
      <c r="F26" t="inlineStr">
        <is>
          <t>1 model</t>
        </is>
      </c>
      <c r="G26" t="inlineStr">
        <is>
          <t>Vehicle</t>
        </is>
      </c>
      <c r="L26" s="60" t="n">
        <v>155</v>
      </c>
      <c r="M26" s="54" t="str"/>
      <c r="N26" s="54" t="inlineStr">
        <is>
          <t>Matched to Munitorum Field Manual v2.3</t>
        </is>
      </c>
      <c r="O26" s="54" t="inlineStr">
        <is>
          <t>Uploaded PDF: Munitorum Field Manual v2.3 / March 2025, p.29</t>
        </is>
      </c>
    </row>
    <row r="27">
      <c r="A27" t="inlineStr">
        <is>
          <t>Orks</t>
        </is>
      </c>
      <c r="C27" t="inlineStr">
        <is>
          <t>Vehicle / Support</t>
        </is>
      </c>
      <c r="D27" t="inlineStr">
        <is>
          <t>Walker / Battlesuit</t>
        </is>
      </c>
      <c r="E27" t="inlineStr">
        <is>
          <t>Killa Kans</t>
        </is>
      </c>
      <c r="F27" t="inlineStr">
        <is>
          <t>3 models</t>
        </is>
      </c>
      <c r="G27" t="inlineStr">
        <is>
          <t>Walker / Battlesuit</t>
        </is>
      </c>
      <c r="L27" s="60" t="n">
        <v>125</v>
      </c>
      <c r="M27" s="54" t="inlineStr">
        <is>
          <t>Points options: 3 models = 125 pts; 6 models = 250 pts</t>
        </is>
      </c>
      <c r="N27" s="54" t="inlineStr">
        <is>
          <t>Matched to Munitorum Field Manual v2.3</t>
        </is>
      </c>
      <c r="O27" s="54" t="inlineStr">
        <is>
          <t>Uploaded PDF: Munitorum Field Manual v2.3 / March 2025, p.29</t>
        </is>
      </c>
    </row>
    <row r="28">
      <c r="A28" t="inlineStr">
        <is>
          <t>Orks</t>
        </is>
      </c>
      <c r="C28" t="inlineStr">
        <is>
          <t>Infantry / Other</t>
        </is>
      </c>
      <c r="D28" t="inlineStr">
        <is>
          <t>Infantry</t>
        </is>
      </c>
      <c r="E28" t="inlineStr">
        <is>
          <t>Kommandos</t>
        </is>
      </c>
      <c r="F28" t="inlineStr">
        <is>
          <t>10 models</t>
        </is>
      </c>
      <c r="G28" t="inlineStr">
        <is>
          <t>Infantry</t>
        </is>
      </c>
      <c r="L28" s="60" t="n">
        <v>120</v>
      </c>
      <c r="M28" s="54" t="str"/>
      <c r="N28" s="54" t="inlineStr">
        <is>
          <t>Matched to Munitorum Field Manual v2.3</t>
        </is>
      </c>
      <c r="O28" s="54" t="inlineStr">
        <is>
          <t>Uploaded PDF: Munitorum Field Manual v2.3 / March 2025, p.29</t>
        </is>
      </c>
    </row>
    <row r="29">
      <c r="A29" t="inlineStr">
        <is>
          <t>Orks</t>
        </is>
      </c>
      <c r="C29" t="inlineStr">
        <is>
          <t>Infantry / Other</t>
        </is>
      </c>
      <c r="D29" t="inlineStr">
        <is>
          <t>Infantry</t>
        </is>
      </c>
      <c r="E29" t="inlineStr">
        <is>
          <t>Lootas</t>
        </is>
      </c>
      <c r="F29" t="inlineStr">
        <is>
          <t>1 Spanner and 4 Lootas</t>
        </is>
      </c>
      <c r="G29" t="inlineStr">
        <is>
          <t>Infantry</t>
        </is>
      </c>
      <c r="L29" s="60" t="n">
        <v>50</v>
      </c>
      <c r="M29" s="54" t="inlineStr">
        <is>
          <t>Points options: 1 Spanner and 4 Lootas = 50 pts; 2 Spanners and 8 Lootas = 100 pts</t>
        </is>
      </c>
      <c r="N29" s="54" t="inlineStr">
        <is>
          <t>Matched to Munitorum Field Manual v2.3</t>
        </is>
      </c>
      <c r="O29" s="54" t="inlineStr">
        <is>
          <t>Uploaded PDF: Munitorum Field Manual v2.3 / March 2025, p.29</t>
        </is>
      </c>
    </row>
    <row r="30">
      <c r="A30" t="inlineStr">
        <is>
          <t>Orks</t>
        </is>
      </c>
      <c r="C30" t="inlineStr">
        <is>
          <t>Infantry / Other</t>
        </is>
      </c>
      <c r="D30" t="inlineStr">
        <is>
          <t>Infantry</t>
        </is>
      </c>
      <c r="E30" t="inlineStr">
        <is>
          <t>Meganobz</t>
        </is>
      </c>
      <c r="F30" t="inlineStr">
        <is>
          <t>2 models</t>
        </is>
      </c>
      <c r="G30" t="inlineStr">
        <is>
          <t>Infantry</t>
        </is>
      </c>
      <c r="L30" s="60" t="n">
        <v>70</v>
      </c>
      <c r="M30" s="54" t="inlineStr">
        <is>
          <t>Points options: 2 models = 70 pts; 3 models = 105 pts; 5 models = 175 pts; 6 models = 210 pts</t>
        </is>
      </c>
      <c r="N30" s="54" t="inlineStr">
        <is>
          <t>Matched to Munitorum Field Manual v2.3</t>
        </is>
      </c>
      <c r="O30" s="54" t="inlineStr">
        <is>
          <t>Uploaded PDF: Munitorum Field Manual v2.3 / March 2025, p.29</t>
        </is>
      </c>
    </row>
    <row r="31">
      <c r="A31" t="inlineStr">
        <is>
          <t>Orks</t>
        </is>
      </c>
      <c r="C31" t="inlineStr">
        <is>
          <t>Vehicle / Support</t>
        </is>
      </c>
      <c r="D31" t="inlineStr">
        <is>
          <t>Vehicle</t>
        </is>
      </c>
      <c r="E31" t="inlineStr">
        <is>
          <t>Megatrakk Scrapjet</t>
        </is>
      </c>
      <c r="F31" t="inlineStr">
        <is>
          <t>1 model</t>
        </is>
      </c>
      <c r="G31" t="inlineStr">
        <is>
          <t>Vehicle</t>
        </is>
      </c>
      <c r="L31" s="60" t="n">
        <v>80</v>
      </c>
      <c r="M31" s="54" t="str"/>
      <c r="N31" s="54" t="inlineStr">
        <is>
          <t>Matched to Munitorum Field Manual v2.3</t>
        </is>
      </c>
      <c r="O31" s="54" t="inlineStr">
        <is>
          <t>Uploaded PDF: Munitorum Field Manual v2.3 / March 2025, p.29</t>
        </is>
      </c>
    </row>
    <row r="32">
      <c r="A32" t="inlineStr">
        <is>
          <t>Orks</t>
        </is>
      </c>
      <c r="C32" t="inlineStr">
        <is>
          <t>Character</t>
        </is>
      </c>
      <c r="D32" t="inlineStr">
        <is>
          <t>Character</t>
        </is>
      </c>
      <c r="E32" t="inlineStr">
        <is>
          <t>Mek</t>
        </is>
      </c>
      <c r="F32" t="inlineStr">
        <is>
          <t>1 model</t>
        </is>
      </c>
      <c r="G32" t="inlineStr">
        <is>
          <t>Character</t>
        </is>
      </c>
      <c r="L32" s="60" t="n">
        <v>45</v>
      </c>
      <c r="M32" s="54" t="str"/>
      <c r="N32" s="54" t="inlineStr">
        <is>
          <t>Matched to Munitorum Field Manual v2.3</t>
        </is>
      </c>
      <c r="O32" s="54" t="inlineStr">
        <is>
          <t>Uploaded PDF: Munitorum Field Manual v2.3 / March 2025, p.29</t>
        </is>
      </c>
    </row>
    <row r="33">
      <c r="A33" t="inlineStr">
        <is>
          <t>Orks</t>
        </is>
      </c>
      <c r="C33" t="inlineStr">
        <is>
          <t>Character</t>
        </is>
      </c>
      <c r="D33" t="inlineStr">
        <is>
          <t>Character</t>
        </is>
      </c>
      <c r="E33" t="inlineStr">
        <is>
          <t>Mek Gunz</t>
        </is>
      </c>
      <c r="F33" t="inlineStr">
        <is>
          <t>1 model</t>
        </is>
      </c>
      <c r="G33" t="inlineStr">
        <is>
          <t>Character</t>
        </is>
      </c>
      <c r="L33" s="60" t="n">
        <v>50</v>
      </c>
      <c r="M33" s="54" t="inlineStr">
        <is>
          <t>Points options: 1 model = 50 pts; 2 models = 100 pts; 3 models = 150 pts</t>
        </is>
      </c>
      <c r="N33" s="54" t="inlineStr">
        <is>
          <t>Matched to Munitorum Field Manual v2.3</t>
        </is>
      </c>
      <c r="O33" s="54" t="inlineStr">
        <is>
          <t>Uploaded PDF: Munitorum Field Manual v2.3 / March 2025, p.29</t>
        </is>
      </c>
    </row>
    <row r="34">
      <c r="A34" t="inlineStr">
        <is>
          <t>Orks</t>
        </is>
      </c>
      <c r="C34" t="inlineStr">
        <is>
          <t>Vehicle / Support</t>
        </is>
      </c>
      <c r="D34" t="inlineStr">
        <is>
          <t>Walker / Battlesuit</t>
        </is>
      </c>
      <c r="E34" t="inlineStr">
        <is>
          <t>Morkanaut</t>
        </is>
      </c>
      <c r="F34" t="inlineStr">
        <is>
          <t>1 model</t>
        </is>
      </c>
      <c r="G34" t="inlineStr">
        <is>
          <t>Walker / Battlesuit</t>
        </is>
      </c>
      <c r="L34" s="60" t="n">
        <v>280</v>
      </c>
      <c r="M34" s="54" t="str"/>
      <c r="N34" s="54" t="inlineStr">
        <is>
          <t>Matched to Munitorum Field Manual v2.3</t>
        </is>
      </c>
      <c r="O34" s="54" t="inlineStr">
        <is>
          <t>Uploaded PDF: Munitorum Field Manual v2.3 / March 2025, p.29</t>
        </is>
      </c>
    </row>
    <row r="35">
      <c r="A35" t="inlineStr">
        <is>
          <t>Orks</t>
        </is>
      </c>
      <c r="C35" t="inlineStr">
        <is>
          <t>Character</t>
        </is>
      </c>
      <c r="D35" t="inlineStr">
        <is>
          <t>Character</t>
        </is>
      </c>
      <c r="E35" t="inlineStr">
        <is>
          <t>Mozrog Skragbad</t>
        </is>
      </c>
      <c r="F35" t="inlineStr">
        <is>
          <t>1 model</t>
        </is>
      </c>
      <c r="G35" t="inlineStr">
        <is>
          <t>Character</t>
        </is>
      </c>
      <c r="L35" s="60" t="n">
        <v>165</v>
      </c>
      <c r="M35" s="54" t="str"/>
      <c r="N35" s="54" t="inlineStr">
        <is>
          <t>Matched to Munitorum Field Manual v2.3</t>
        </is>
      </c>
      <c r="O35" s="54" t="inlineStr">
        <is>
          <t>Uploaded PDF: Munitorum Field Manual v2.3 / March 2025, p.29</t>
        </is>
      </c>
    </row>
    <row r="36">
      <c r="A36" t="inlineStr">
        <is>
          <t>Orks</t>
        </is>
      </c>
      <c r="C36" t="inlineStr">
        <is>
          <t>Infantry / Other</t>
        </is>
      </c>
      <c r="D36" t="inlineStr">
        <is>
          <t>Infantry</t>
        </is>
      </c>
      <c r="E36" t="inlineStr">
        <is>
          <t>Nob on Smasha Squig</t>
        </is>
      </c>
      <c r="G36" t="inlineStr">
        <is>
          <t>Infantry</t>
        </is>
      </c>
      <c r="L36" s="60" t="n"/>
      <c r="M36" s="54" t="inlineStr">
        <is>
          <t>No matching points entry found in uploaded PDF; verify unit name/current support.</t>
        </is>
      </c>
      <c r="N36" s="54" t="inlineStr">
        <is>
          <t>Not found in uploaded PDF</t>
        </is>
      </c>
      <c r="O36" s="54" t="inlineStr">
        <is>
          <t>Uploaded PDF: Munitorum Field Manual v2.3 / March 2025</t>
        </is>
      </c>
    </row>
    <row r="37">
      <c r="A37" t="inlineStr">
        <is>
          <t>Orks</t>
        </is>
      </c>
      <c r="C37" t="inlineStr">
        <is>
          <t>Infantry / Other</t>
        </is>
      </c>
      <c r="D37" t="inlineStr">
        <is>
          <t>Infantry</t>
        </is>
      </c>
      <c r="E37" t="inlineStr">
        <is>
          <t>Nob with Waaagh! Banner</t>
        </is>
      </c>
      <c r="G37" t="inlineStr">
        <is>
          <t>Infantry</t>
        </is>
      </c>
      <c r="L37" s="60" t="n"/>
      <c r="M37" s="54" t="inlineStr">
        <is>
          <t>No matching points entry found in uploaded PDF; verify unit name/current support.</t>
        </is>
      </c>
      <c r="N37" s="54" t="inlineStr">
        <is>
          <t>Not found in uploaded PDF</t>
        </is>
      </c>
      <c r="O37" s="54" t="inlineStr">
        <is>
          <t>Uploaded PDF: Munitorum Field Manual v2.3 / March 2025</t>
        </is>
      </c>
    </row>
    <row r="38">
      <c r="A38" t="inlineStr">
        <is>
          <t>Orks</t>
        </is>
      </c>
      <c r="C38" t="inlineStr">
        <is>
          <t>Infantry / Other</t>
        </is>
      </c>
      <c r="D38" t="inlineStr">
        <is>
          <t>Infantry</t>
        </is>
      </c>
      <c r="E38" t="inlineStr">
        <is>
          <t>Nobz</t>
        </is>
      </c>
      <c r="F38" t="inlineStr">
        <is>
          <t>5 models</t>
        </is>
      </c>
      <c r="G38" t="inlineStr">
        <is>
          <t>Infantry</t>
        </is>
      </c>
      <c r="L38" s="60" t="n">
        <v>105</v>
      </c>
      <c r="M38" s="54" t="inlineStr">
        <is>
          <t>Points options: 5 models = 105 pts; 10 models = 210 pts</t>
        </is>
      </c>
      <c r="N38" s="54" t="inlineStr">
        <is>
          <t>Matched to Munitorum Field Manual v2.3</t>
        </is>
      </c>
      <c r="O38" s="54" t="inlineStr">
        <is>
          <t>Uploaded PDF: Munitorum Field Manual v2.3 / March 2025, p.29</t>
        </is>
      </c>
    </row>
    <row r="39">
      <c r="A39" t="inlineStr">
        <is>
          <t>Orks</t>
        </is>
      </c>
      <c r="C39" t="inlineStr">
        <is>
          <t>Character</t>
        </is>
      </c>
      <c r="D39" t="inlineStr">
        <is>
          <t>Character</t>
        </is>
      </c>
      <c r="E39" t="inlineStr">
        <is>
          <t>Painboy</t>
        </is>
      </c>
      <c r="F39" t="inlineStr">
        <is>
          <t>1 model</t>
        </is>
      </c>
      <c r="G39" t="inlineStr">
        <is>
          <t>Character</t>
        </is>
      </c>
      <c r="L39" s="60" t="n">
        <v>80</v>
      </c>
      <c r="M39" s="54" t="str"/>
      <c r="N39" s="54" t="inlineStr">
        <is>
          <t>Matched to Munitorum Field Manual v2.3</t>
        </is>
      </c>
      <c r="O39" s="54" t="inlineStr">
        <is>
          <t>Uploaded PDF: Munitorum Field Manual v2.3 / March 2025, p.29</t>
        </is>
      </c>
    </row>
    <row r="40">
      <c r="A40" t="inlineStr">
        <is>
          <t>Orks</t>
        </is>
      </c>
      <c r="C40" t="inlineStr">
        <is>
          <t>Character</t>
        </is>
      </c>
      <c r="D40" t="inlineStr">
        <is>
          <t>Character</t>
        </is>
      </c>
      <c r="E40" t="inlineStr">
        <is>
          <t>Painboss</t>
        </is>
      </c>
      <c r="F40" t="inlineStr">
        <is>
          <t>1 model</t>
        </is>
      </c>
      <c r="G40" t="inlineStr">
        <is>
          <t>Character</t>
        </is>
      </c>
      <c r="L40" s="60" t="n">
        <v>70</v>
      </c>
      <c r="M40" s="54" t="str"/>
      <c r="N40" s="54" t="inlineStr">
        <is>
          <t>Matched to Munitorum Field Manual v2.3</t>
        </is>
      </c>
      <c r="O40" s="54" t="inlineStr">
        <is>
          <t>Uploaded PDF: Munitorum Field Manual v2.3 / March 2025, p.29</t>
        </is>
      </c>
    </row>
    <row r="41">
      <c r="A41" t="inlineStr">
        <is>
          <t>Orks</t>
        </is>
      </c>
      <c r="C41" t="inlineStr">
        <is>
          <t>Vehicle / Support</t>
        </is>
      </c>
      <c r="D41" t="inlineStr">
        <is>
          <t>Vehicle</t>
        </is>
      </c>
      <c r="E41" t="inlineStr">
        <is>
          <t>Rukkatrukk Squigbuggy</t>
        </is>
      </c>
      <c r="F41" t="inlineStr">
        <is>
          <t>1 model</t>
        </is>
      </c>
      <c r="G41" t="inlineStr">
        <is>
          <t>Vehicle</t>
        </is>
      </c>
      <c r="L41" s="60" t="n">
        <v>100</v>
      </c>
      <c r="M41" s="54" t="str"/>
      <c r="N41" s="54" t="inlineStr">
        <is>
          <t>Matched to Munitorum Field Manual v2.3</t>
        </is>
      </c>
      <c r="O41" s="54" t="inlineStr">
        <is>
          <t>Uploaded PDF: Munitorum Field Manual v2.3 / March 2025, p.29</t>
        </is>
      </c>
    </row>
    <row r="42">
      <c r="A42" t="inlineStr">
        <is>
          <t>Orks</t>
        </is>
      </c>
      <c r="C42" t="inlineStr">
        <is>
          <t>Vehicle / Support</t>
        </is>
      </c>
      <c r="D42" t="inlineStr">
        <is>
          <t>Vehicle</t>
        </is>
      </c>
      <c r="E42" t="inlineStr">
        <is>
          <t>Shokkjump Dragsta</t>
        </is>
      </c>
      <c r="F42" t="inlineStr">
        <is>
          <t>1 model</t>
        </is>
      </c>
      <c r="G42" t="inlineStr">
        <is>
          <t>Vehicle</t>
        </is>
      </c>
      <c r="L42" s="60" t="n">
        <v>75</v>
      </c>
      <c r="M42" s="54" t="str"/>
      <c r="N42" s="54" t="inlineStr">
        <is>
          <t>Matched to Munitorum Field Manual v2.3</t>
        </is>
      </c>
      <c r="O42" s="54" t="inlineStr">
        <is>
          <t>Uploaded PDF: Munitorum Field Manual v2.3 / March 2025, p.29</t>
        </is>
      </c>
    </row>
    <row r="43">
      <c r="A43" t="inlineStr">
        <is>
          <t>Orks</t>
        </is>
      </c>
      <c r="C43" t="inlineStr">
        <is>
          <t>Battleline / Core</t>
        </is>
      </c>
      <c r="D43" t="inlineStr">
        <is>
          <t>Mounted / Bike</t>
        </is>
      </c>
      <c r="E43" t="inlineStr">
        <is>
          <t>Squighog Boyz</t>
        </is>
      </c>
      <c r="F43" t="inlineStr">
        <is>
          <t>4 models</t>
        </is>
      </c>
      <c r="G43" t="inlineStr">
        <is>
          <t>Mounted / Bike</t>
        </is>
      </c>
      <c r="L43" s="60" t="n">
        <v>160</v>
      </c>
      <c r="M43" s="54" t="inlineStr">
        <is>
          <t>Points options: 4 models = 160 pts; 8 models = 320 pts</t>
        </is>
      </c>
      <c r="N43" s="54" t="inlineStr">
        <is>
          <t>Matched to Munitorum Field Manual v2.3</t>
        </is>
      </c>
      <c r="O43" s="54" t="inlineStr">
        <is>
          <t>Uploaded PDF: Munitorum Field Manual v2.3 / March 2025, p.29</t>
        </is>
      </c>
    </row>
    <row r="44">
      <c r="A44" t="inlineStr">
        <is>
          <t>Orks</t>
        </is>
      </c>
      <c r="C44" t="inlineStr">
        <is>
          <t>Vehicle / Support</t>
        </is>
      </c>
      <c r="D44" t="inlineStr">
        <is>
          <t>Super-heavy Vehicle/Monster</t>
        </is>
      </c>
      <c r="E44" t="inlineStr">
        <is>
          <t>Stompa</t>
        </is>
      </c>
      <c r="F44" t="inlineStr">
        <is>
          <t>1 model</t>
        </is>
      </c>
      <c r="G44" t="inlineStr">
        <is>
          <t>Super-heavy Vehicle/Monster</t>
        </is>
      </c>
      <c r="L44" s="60" t="n">
        <v>800</v>
      </c>
      <c r="M44" s="54" t="str"/>
      <c r="N44" s="54" t="inlineStr">
        <is>
          <t>Matched to Munitorum Field Manual v2.3</t>
        </is>
      </c>
      <c r="O44" s="54" t="inlineStr">
        <is>
          <t>Uploaded PDF: Munitorum Field Manual v2.3 / March 2025, p.29</t>
        </is>
      </c>
    </row>
    <row r="45">
      <c r="A45" t="inlineStr">
        <is>
          <t>Orks</t>
        </is>
      </c>
      <c r="C45" t="inlineStr">
        <is>
          <t>Battleline / Core</t>
        </is>
      </c>
      <c r="D45" t="inlineStr">
        <is>
          <t>Infantry</t>
        </is>
      </c>
      <c r="E45" t="inlineStr">
        <is>
          <t>Stormboyz</t>
        </is>
      </c>
      <c r="F45" t="inlineStr">
        <is>
          <t>5 models</t>
        </is>
      </c>
      <c r="G45" t="inlineStr">
        <is>
          <t>Infantry</t>
        </is>
      </c>
      <c r="L45" s="60" t="n">
        <v>65</v>
      </c>
      <c r="M45" s="54" t="inlineStr">
        <is>
          <t>Points options: 5 models = 65 pts; 10 models = 130 pts</t>
        </is>
      </c>
      <c r="N45" s="54" t="inlineStr">
        <is>
          <t>Matched to Munitorum Field Manual v2.3</t>
        </is>
      </c>
      <c r="O45" s="54" t="inlineStr">
        <is>
          <t>Uploaded PDF: Munitorum Field Manual v2.3 / March 2025, p.29</t>
        </is>
      </c>
    </row>
    <row r="46">
      <c r="A46" t="inlineStr">
        <is>
          <t>Orks</t>
        </is>
      </c>
      <c r="C46" t="inlineStr">
        <is>
          <t>Infantry / Other</t>
        </is>
      </c>
      <c r="D46" t="inlineStr">
        <is>
          <t>Infantry</t>
        </is>
      </c>
      <c r="E46" t="inlineStr">
        <is>
          <t>Tankbustas</t>
        </is>
      </c>
      <c r="F46" t="inlineStr">
        <is>
          <t>6 models</t>
        </is>
      </c>
      <c r="G46" t="inlineStr">
        <is>
          <t>Infantry</t>
        </is>
      </c>
      <c r="L46" s="60" t="n">
        <v>135</v>
      </c>
      <c r="M46" s="54" t="str"/>
      <c r="N46" s="54" t="inlineStr">
        <is>
          <t>Matched to Munitorum Field Manual v2.3</t>
        </is>
      </c>
      <c r="O46" s="54" t="inlineStr">
        <is>
          <t>Uploaded PDF: Munitorum Field Manual v2.3 / March 2025, p.29</t>
        </is>
      </c>
    </row>
    <row r="47">
      <c r="A47" t="inlineStr">
        <is>
          <t>Orks</t>
        </is>
      </c>
      <c r="C47" t="inlineStr">
        <is>
          <t>Vehicle / Support</t>
        </is>
      </c>
      <c r="D47" t="inlineStr">
        <is>
          <t>Vehicle</t>
        </is>
      </c>
      <c r="E47" t="inlineStr">
        <is>
          <t>Trukk</t>
        </is>
      </c>
      <c r="F47" t="inlineStr">
        <is>
          <t>1 model</t>
        </is>
      </c>
      <c r="G47" t="inlineStr">
        <is>
          <t>Vehicle</t>
        </is>
      </c>
      <c r="L47" s="60" t="n">
        <v>65</v>
      </c>
      <c r="M47" s="54" t="str"/>
      <c r="N47" s="54" t="inlineStr">
        <is>
          <t>Matched to Munitorum Field Manual v2.3</t>
        </is>
      </c>
      <c r="O47" s="54" t="inlineStr">
        <is>
          <t>Uploaded PDF: Munitorum Field Manual v2.3 / March 2025, p.29</t>
        </is>
      </c>
    </row>
    <row r="48">
      <c r="A48" t="inlineStr">
        <is>
          <t>Orks</t>
        </is>
      </c>
      <c r="C48" t="inlineStr">
        <is>
          <t>Infantry / Other</t>
        </is>
      </c>
      <c r="D48" t="inlineStr">
        <is>
          <t>Mounted / Bike</t>
        </is>
      </c>
      <c r="E48" t="inlineStr">
        <is>
          <t>Warbikers</t>
        </is>
      </c>
      <c r="F48" t="inlineStr">
        <is>
          <t>3 models</t>
        </is>
      </c>
      <c r="G48" t="inlineStr">
        <is>
          <t>Mounted / Bike</t>
        </is>
      </c>
      <c r="L48" s="60" t="n">
        <v>70</v>
      </c>
      <c r="M48" s="54" t="inlineStr">
        <is>
          <t>Points options: 3 models = 70 pts; 6 models = 140 pts</t>
        </is>
      </c>
      <c r="N48" s="54" t="inlineStr">
        <is>
          <t>Matched to Munitorum Field Manual v2.3</t>
        </is>
      </c>
      <c r="O48" s="54" t="inlineStr">
        <is>
          <t>Uploaded PDF: Munitorum Field Manual v2.3 / March 2025, p.29</t>
        </is>
      </c>
    </row>
    <row r="49">
      <c r="A49" t="inlineStr">
        <is>
          <t>Orks</t>
        </is>
      </c>
      <c r="C49" t="inlineStr">
        <is>
          <t>Character</t>
        </is>
      </c>
      <c r="D49" t="inlineStr">
        <is>
          <t>Character</t>
        </is>
      </c>
      <c r="E49" t="inlineStr">
        <is>
          <t>Warboss</t>
        </is>
      </c>
      <c r="F49" t="inlineStr">
        <is>
          <t>1 model</t>
        </is>
      </c>
      <c r="G49" t="inlineStr">
        <is>
          <t>Character</t>
        </is>
      </c>
      <c r="L49" s="60" t="n">
        <v>75</v>
      </c>
      <c r="M49" s="54" t="str"/>
      <c r="N49" s="54" t="inlineStr">
        <is>
          <t>Matched to Munitorum Field Manual v2.3</t>
        </is>
      </c>
      <c r="O49" s="54" t="inlineStr">
        <is>
          <t>Uploaded PDF: Munitorum Field Manual v2.3 / March 2025, p.29</t>
        </is>
      </c>
    </row>
    <row r="50">
      <c r="A50" t="inlineStr">
        <is>
          <t>Orks</t>
        </is>
      </c>
      <c r="C50" t="inlineStr">
        <is>
          <t>Character</t>
        </is>
      </c>
      <c r="D50" t="inlineStr">
        <is>
          <t>Character</t>
        </is>
      </c>
      <c r="E50" t="inlineStr">
        <is>
          <t>Warboss in Mega Armour</t>
        </is>
      </c>
      <c r="F50" t="inlineStr">
        <is>
          <t>1 model</t>
        </is>
      </c>
      <c r="G50" t="inlineStr">
        <is>
          <t>Character</t>
        </is>
      </c>
      <c r="L50" s="60" t="n">
        <v>90</v>
      </c>
      <c r="M50" s="54" t="str"/>
      <c r="N50" s="54" t="inlineStr">
        <is>
          <t>Matched to Munitorum Field Manual v2.3</t>
        </is>
      </c>
      <c r="O50" s="54" t="inlineStr">
        <is>
          <t>Uploaded PDF: Munitorum Field Manual v2.3 / March 2025, p.29</t>
        </is>
      </c>
    </row>
    <row r="51">
      <c r="A51" t="inlineStr">
        <is>
          <t>Orks</t>
        </is>
      </c>
      <c r="C51" t="inlineStr">
        <is>
          <t>Character</t>
        </is>
      </c>
      <c r="D51" t="inlineStr">
        <is>
          <t>Character</t>
        </is>
      </c>
      <c r="E51" t="inlineStr">
        <is>
          <t>Weirdboy</t>
        </is>
      </c>
      <c r="F51" t="inlineStr">
        <is>
          <t>1 model</t>
        </is>
      </c>
      <c r="G51" t="inlineStr">
        <is>
          <t>Character, Psyker</t>
        </is>
      </c>
      <c r="L51" s="60" t="n">
        <v>65</v>
      </c>
      <c r="M51" s="54" t="str"/>
      <c r="N51" s="54" t="inlineStr">
        <is>
          <t>Matched to Munitorum Field Manual v2.3</t>
        </is>
      </c>
      <c r="O51" s="54" t="inlineStr">
        <is>
          <t>Uploaded PDF: Munitorum Field Manual v2.3 / March 2025, p.29</t>
        </is>
      </c>
    </row>
    <row r="52">
      <c r="A52" t="inlineStr">
        <is>
          <t>Orks</t>
        </is>
      </c>
      <c r="C52" t="inlineStr">
        <is>
          <t>Infantry / Other</t>
        </is>
      </c>
      <c r="D52" t="inlineStr">
        <is>
          <t>Infantry</t>
        </is>
      </c>
      <c r="E52" t="inlineStr">
        <is>
          <t>Wazbom Blastajet</t>
        </is>
      </c>
      <c r="F52" t="inlineStr">
        <is>
          <t>1 model</t>
        </is>
      </c>
      <c r="G52" t="inlineStr">
        <is>
          <t>Infantry</t>
        </is>
      </c>
      <c r="L52" s="60" t="n">
        <v>175</v>
      </c>
      <c r="M52" s="54" t="str"/>
      <c r="N52" s="54" t="inlineStr">
        <is>
          <t>Matched to Munitorum Field Manual v2.3</t>
        </is>
      </c>
      <c r="O52" s="54" t="inlineStr">
        <is>
          <t>Uploaded PDF: Munitorum Field Manual v2.3 / March 2025, p.29</t>
        </is>
      </c>
    </row>
    <row r="53">
      <c r="A53" t="inlineStr">
        <is>
          <t>Orks</t>
        </is>
      </c>
      <c r="C53" t="inlineStr">
        <is>
          <t>Character</t>
        </is>
      </c>
      <c r="D53" t="inlineStr">
        <is>
          <t>Character</t>
        </is>
      </c>
      <c r="E53" t="inlineStr">
        <is>
          <t>Zodgrod Wortsnagga</t>
        </is>
      </c>
      <c r="F53" t="inlineStr">
        <is>
          <t>1 model</t>
        </is>
      </c>
      <c r="G53" t="inlineStr">
        <is>
          <t>Character</t>
        </is>
      </c>
      <c r="L53" s="60" t="n">
        <v>80</v>
      </c>
      <c r="M53" s="54" t="str"/>
      <c r="N53" s="54" t="inlineStr">
        <is>
          <t>Matched to Munitorum Field Manual v2.3</t>
        </is>
      </c>
      <c r="O53" s="54" t="inlineStr">
        <is>
          <t>Uploaded PDF: Munitorum Field Manual v2.3 / March 2025, p.29</t>
        </is>
      </c>
    </row>
    <row r="54">
      <c r="A54" t="inlineStr">
        <is>
          <t>Orks</t>
        </is>
      </c>
      <c r="C54" t="inlineStr">
        <is>
          <t>Character</t>
        </is>
      </c>
      <c r="D54" t="inlineStr">
        <is>
          <t>Character</t>
        </is>
      </c>
      <c r="E54" t="inlineStr">
        <is>
          <t>Bannernob</t>
        </is>
      </c>
      <c r="F54" t="inlineStr">
        <is>
          <t>1 model</t>
        </is>
      </c>
      <c r="G54" t="inlineStr">
        <is>
          <t>Character</t>
        </is>
      </c>
      <c r="L54" t="n">
        <v>50</v>
      </c>
      <c r="N54" t="inlineStr">
        <is>
          <t>Added from current Munitorum Field Manual v4.1 (non-Legends)</t>
        </is>
      </c>
      <c r="O54" t="inlineStr">
        <is>
          <t>https://www.warhammer-community.com/en-gb/downloads/warhammer-40000/</t>
        </is>
      </c>
    </row>
    <row r="55">
      <c r="A55" t="inlineStr">
        <is>
          <t>Orks</t>
        </is>
      </c>
      <c r="C55" t="inlineStr">
        <is>
          <t>Infantry / Other</t>
        </is>
      </c>
      <c r="D55" t="inlineStr">
        <is>
          <t>Infantry</t>
        </is>
      </c>
      <c r="E55" t="inlineStr">
        <is>
          <t>Big Mek Dakkarig</t>
        </is>
      </c>
      <c r="F55" t="inlineStr">
        <is>
          <t>1 model</t>
        </is>
      </c>
      <c r="G55" t="inlineStr">
        <is>
          <t>Infantry</t>
        </is>
      </c>
      <c r="L55" t="n">
        <v>100</v>
      </c>
      <c r="M55" t="inlineStr">
        <is>
          <t>Your 1st To 2nd Units Cost: 1 models = 100 pts | Your 3rd + Unit Costs: 1 models = 110 pts</t>
        </is>
      </c>
      <c r="N55" t="inlineStr">
        <is>
          <t>Added from current Munitorum Field Manual v4.1 (non-Legends)</t>
        </is>
      </c>
      <c r="O55" t="inlineStr">
        <is>
          <t>https://www.warhammer-community.com/en-gb/downloads/warhammer-40000/</t>
        </is>
      </c>
    </row>
    <row r="56">
      <c r="A56" t="inlineStr">
        <is>
          <t>Orks</t>
        </is>
      </c>
      <c r="C56" t="inlineStr">
        <is>
          <t>Character</t>
        </is>
      </c>
      <c r="D56" t="inlineStr">
        <is>
          <t>Character</t>
        </is>
      </c>
      <c r="E56" t="inlineStr">
        <is>
          <t>Bigboss</t>
        </is>
      </c>
      <c r="F56" t="inlineStr">
        <is>
          <t>1 model</t>
        </is>
      </c>
      <c r="G56" t="inlineStr">
        <is>
          <t>Character</t>
        </is>
      </c>
      <c r="L56" t="n">
        <v>55</v>
      </c>
      <c r="N56" t="inlineStr">
        <is>
          <t>Added from current Munitorum Field Manual v4.1 (non-Legends)</t>
        </is>
      </c>
      <c r="O56" t="inlineStr">
        <is>
          <t>https://www.warhammer-community.com/en-gb/downloads/warhammer-40000/</t>
        </is>
      </c>
    </row>
    <row r="57">
      <c r="A57" t="inlineStr">
        <is>
          <t>Orks</t>
        </is>
      </c>
      <c r="C57" t="inlineStr">
        <is>
          <t>Character</t>
        </is>
      </c>
      <c r="D57" t="inlineStr">
        <is>
          <t>Character</t>
        </is>
      </c>
      <c r="E57" t="inlineStr">
        <is>
          <t>Big’Ed Bossbunka</t>
        </is>
      </c>
      <c r="F57" t="inlineStr">
        <is>
          <t>1 model</t>
        </is>
      </c>
      <c r="G57" t="inlineStr">
        <is>
          <t>Character</t>
        </is>
      </c>
      <c r="L57" t="n">
        <v>135</v>
      </c>
      <c r="N57" t="inlineStr">
        <is>
          <t>Added from current Munitorum Field Manual v4.1 (non-Legends)</t>
        </is>
      </c>
      <c r="O57" t="inlineStr">
        <is>
          <t>https://www.warhammer-community.com/en-gb/downloads/warhammer-40000/</t>
        </is>
      </c>
    </row>
    <row r="58">
      <c r="A58" t="inlineStr">
        <is>
          <t>Orks</t>
        </is>
      </c>
      <c r="C58" t="inlineStr">
        <is>
          <t>Infantry / Other</t>
        </is>
      </c>
      <c r="D58" t="inlineStr">
        <is>
          <t>Infantry</t>
        </is>
      </c>
      <c r="E58" t="inlineStr">
        <is>
          <t>Breaka Boyz</t>
        </is>
      </c>
      <c r="F58" t="inlineStr">
        <is>
          <t>6 models</t>
        </is>
      </c>
      <c r="G58" t="inlineStr">
        <is>
          <t>Infantry</t>
        </is>
      </c>
      <c r="L58" t="n">
        <v>125</v>
      </c>
      <c r="M58" t="inlineStr">
        <is>
          <t>Your 1st To 2nd Units Cost: 6 models = 125 pts | Your 3rd + Unit Costs: 6 models = 135 pts</t>
        </is>
      </c>
      <c r="N58" t="inlineStr">
        <is>
          <t>Added from current Munitorum Field Manual v4.1 (non-Legends)</t>
        </is>
      </c>
      <c r="O58" t="inlineStr">
        <is>
          <t>https://www.warhammer-community.com/en-gb/downloads/warhammer-40000/</t>
        </is>
      </c>
    </row>
    <row r="59">
      <c r="A59" t="inlineStr">
        <is>
          <t>Orks</t>
        </is>
      </c>
      <c r="C59" t="inlineStr">
        <is>
          <t>Infantry / Other</t>
        </is>
      </c>
      <c r="D59" t="inlineStr">
        <is>
          <t>Beast / Swarm</t>
        </is>
      </c>
      <c r="E59" t="inlineStr">
        <is>
          <t>Gargantuan Squiggoth</t>
        </is>
      </c>
      <c r="F59" t="inlineStr">
        <is>
          <t>1 model</t>
        </is>
      </c>
      <c r="G59" t="inlineStr">
        <is>
          <t>Beast / Swarm</t>
        </is>
      </c>
      <c r="L59" t="n">
        <v>440</v>
      </c>
      <c r="M59" t="inlineStr">
        <is>
          <t>Your 1st Unit Costs: 1 models = 440 pts | Your 2nd + Unit Costs: 1 models = 490 pts</t>
        </is>
      </c>
      <c r="N59" t="inlineStr">
        <is>
          <t>Added from current Munitorum Field Manual v4.1 (non-Legends)</t>
        </is>
      </c>
      <c r="O59" t="inlineStr">
        <is>
          <t>https://www.warhammer-community.com/en-gb/downloads/warhammer-40000/</t>
        </is>
      </c>
    </row>
    <row r="60">
      <c r="A60" t="inlineStr">
        <is>
          <t>Orks</t>
        </is>
      </c>
      <c r="C60" t="inlineStr">
        <is>
          <t>Infantry / Other</t>
        </is>
      </c>
      <c r="D60" t="inlineStr">
        <is>
          <t>Infantry</t>
        </is>
      </c>
      <c r="E60" t="inlineStr">
        <is>
          <t>Kustom Boosta-Blasta</t>
        </is>
      </c>
      <c r="F60" t="inlineStr">
        <is>
          <t>1 model</t>
        </is>
      </c>
      <c r="G60" t="inlineStr">
        <is>
          <t>Infantry</t>
        </is>
      </c>
      <c r="L60" t="n">
        <v>70</v>
      </c>
      <c r="N60" t="inlineStr">
        <is>
          <t>Added from current Munitorum Field Manual v4.1 (non-Legends)</t>
        </is>
      </c>
      <c r="O60" t="inlineStr">
        <is>
          <t>https://www.warhammer-community.com/en-gb/downloads/warhammer-40000/</t>
        </is>
      </c>
    </row>
    <row r="61">
      <c r="A61" t="inlineStr">
        <is>
          <t>Orks</t>
        </is>
      </c>
      <c r="C61" t="inlineStr">
        <is>
          <t>Infantry / Other</t>
        </is>
      </c>
      <c r="D61" t="inlineStr">
        <is>
          <t>Mounted / Bike</t>
        </is>
      </c>
      <c r="E61" t="inlineStr">
        <is>
          <t>Wartrakk</t>
        </is>
      </c>
      <c r="F61" t="inlineStr">
        <is>
          <t>1 model</t>
        </is>
      </c>
      <c r="G61" t="inlineStr">
        <is>
          <t>Mounted / Bike</t>
        </is>
      </c>
      <c r="L61" t="n">
        <v>60</v>
      </c>
      <c r="N61" t="inlineStr">
        <is>
          <t>Added from current Munitorum Field Manual v4.1 (non-Legends)</t>
        </is>
      </c>
      <c r="O61" t="inlineStr">
        <is>
          <t>https://www.warhammer-community.com/en-gb/downloads/warhammer-40000/</t>
        </is>
      </c>
    </row>
    <row r="62">
      <c r="A62" t="inlineStr">
        <is>
          <t>Orks</t>
        </is>
      </c>
      <c r="C62" t="inlineStr">
        <is>
          <t>Infantry / Other</t>
        </is>
      </c>
      <c r="D62" t="inlineStr">
        <is>
          <t>Infantry</t>
        </is>
      </c>
      <c r="E62" t="inlineStr">
        <is>
          <t>Wazdakka Gutsmek</t>
        </is>
      </c>
      <c r="F62" t="inlineStr">
        <is>
          <t>1 model</t>
        </is>
      </c>
      <c r="G62" t="inlineStr">
        <is>
          <t>Infantry</t>
        </is>
      </c>
      <c r="L62" t="n">
        <v>175</v>
      </c>
      <c r="N62" t="inlineStr">
        <is>
          <t>Added from current Munitorum Field Manual v4.1 (non-Legends)</t>
        </is>
      </c>
      <c r="O62" t="inlineStr">
        <is>
          <t>https://www.warhammer-community.com/en-gb/downloads/warhammer-40000/</t>
        </is>
      </c>
    </row>
    <row r="63">
      <c r="A63" t="inlineStr">
        <is>
          <t>Orks</t>
        </is>
      </c>
      <c r="C63" t="inlineStr">
        <is>
          <t>Character</t>
        </is>
      </c>
      <c r="D63" t="inlineStr">
        <is>
          <t>Character</t>
        </is>
      </c>
      <c r="E63" t="inlineStr">
        <is>
          <t>Wurrboy</t>
        </is>
      </c>
      <c r="F63" t="inlineStr">
        <is>
          <t>1 model</t>
        </is>
      </c>
      <c r="G63" t="inlineStr">
        <is>
          <t>Character</t>
        </is>
      </c>
      <c r="L63" t="n">
        <v>60</v>
      </c>
      <c r="N63" t="inlineStr">
        <is>
          <t>Added from current Munitorum Field Manual v4.1 (non-Legends)</t>
        </is>
      </c>
      <c r="O6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Space Marines</t>
        </is>
      </c>
      <c r="C2" t="inlineStr">
        <is>
          <t>Infantry / Other</t>
        </is>
      </c>
      <c r="D2" t="inlineStr">
        <is>
          <t>Infantry</t>
        </is>
      </c>
      <c r="E2" t="inlineStr">
        <is>
          <t>Adrax Agatone</t>
        </is>
      </c>
      <c r="F2" t="inlineStr">
        <is>
          <t>1 model</t>
        </is>
      </c>
      <c r="G2" t="inlineStr">
        <is>
          <t>Infantry</t>
        </is>
      </c>
      <c r="L2" s="60" t="n">
        <v>85</v>
      </c>
      <c r="M2" s="54" t="str"/>
      <c r="N2" s="54" t="inlineStr">
        <is>
          <t>Matched to Munitorum Field Manual v2.3</t>
        </is>
      </c>
      <c r="O2" s="54" t="inlineStr">
        <is>
          <t>Uploaded PDF: Munitorum Field Manual v2.3 / March 2025, p.31</t>
        </is>
      </c>
    </row>
    <row r="3">
      <c r="A3" t="inlineStr">
        <is>
          <t>Space Marines</t>
        </is>
      </c>
      <c r="C3" t="inlineStr">
        <is>
          <t>Infantry / Other</t>
        </is>
      </c>
      <c r="D3" t="inlineStr">
        <is>
          <t>Infantry</t>
        </is>
      </c>
      <c r="E3" t="inlineStr">
        <is>
          <t>Aggressor Squad</t>
        </is>
      </c>
      <c r="F3" t="inlineStr">
        <is>
          <t>3 models</t>
        </is>
      </c>
      <c r="G3" t="inlineStr">
        <is>
          <t>Infantry</t>
        </is>
      </c>
      <c r="L3" s="60" t="n">
        <v>120</v>
      </c>
      <c r="M3" s="54" t="inlineStr">
        <is>
          <t>Points options: 3 models = 120 pts; 6 models = 240 pts</t>
        </is>
      </c>
      <c r="N3" s="54" t="inlineStr">
        <is>
          <t>Matched to Munitorum Field Manual v2.3</t>
        </is>
      </c>
      <c r="O3" s="54" t="inlineStr">
        <is>
          <t>Uploaded PDF: Munitorum Field Manual v2.3 / March 2025, p.31</t>
        </is>
      </c>
    </row>
    <row r="4">
      <c r="A4" t="inlineStr">
        <is>
          <t>Space Marines</t>
        </is>
      </c>
      <c r="C4" t="inlineStr">
        <is>
          <t>Character</t>
        </is>
      </c>
      <c r="D4" t="inlineStr">
        <is>
          <t>Character</t>
        </is>
      </c>
      <c r="E4" t="inlineStr">
        <is>
          <t>Ancient</t>
        </is>
      </c>
      <c r="F4" t="inlineStr">
        <is>
          <t>1 model</t>
        </is>
      </c>
      <c r="G4" t="inlineStr">
        <is>
          <t>Character</t>
        </is>
      </c>
      <c r="L4" s="60" t="n">
        <v>50</v>
      </c>
      <c r="M4" s="54" t="str"/>
      <c r="N4" s="54" t="inlineStr">
        <is>
          <t>Matched to Munitorum Field Manual v2.3</t>
        </is>
      </c>
      <c r="O4" s="54" t="inlineStr">
        <is>
          <t>Uploaded PDF: Munitorum Field Manual v2.3 / March 2025, p.31</t>
        </is>
      </c>
    </row>
    <row r="5">
      <c r="A5" t="inlineStr">
        <is>
          <t>Space Marines</t>
        </is>
      </c>
      <c r="C5" t="inlineStr">
        <is>
          <t>Character</t>
        </is>
      </c>
      <c r="D5" t="inlineStr">
        <is>
          <t>Character</t>
        </is>
      </c>
      <c r="E5" t="inlineStr">
        <is>
          <t>Apothecary</t>
        </is>
      </c>
      <c r="F5" t="inlineStr">
        <is>
          <t>1 model</t>
        </is>
      </c>
      <c r="G5" t="inlineStr">
        <is>
          <t>Character</t>
        </is>
      </c>
      <c r="L5" s="60" t="n">
        <v>50</v>
      </c>
      <c r="M5" s="54" t="str"/>
      <c r="N5" s="54" t="inlineStr">
        <is>
          <t>Matched to Munitorum Field Manual v2.3</t>
        </is>
      </c>
      <c r="O5" s="54" t="inlineStr">
        <is>
          <t>Uploaded PDF: Munitorum Field Manual v2.3 / March 2025, p.31</t>
        </is>
      </c>
    </row>
    <row r="6">
      <c r="A6" t="inlineStr">
        <is>
          <t>Space Marines</t>
        </is>
      </c>
      <c r="C6" t="inlineStr">
        <is>
          <t>Character</t>
        </is>
      </c>
      <c r="D6" t="inlineStr">
        <is>
          <t>Character</t>
        </is>
      </c>
      <c r="E6" t="inlineStr">
        <is>
          <t>Apothecary Biologis</t>
        </is>
      </c>
      <c r="F6" t="inlineStr">
        <is>
          <t>1 model</t>
        </is>
      </c>
      <c r="G6" t="inlineStr">
        <is>
          <t>Character</t>
        </is>
      </c>
      <c r="L6" s="60" t="n">
        <v>70</v>
      </c>
      <c r="M6" s="54" t="str"/>
      <c r="N6" s="54" t="inlineStr">
        <is>
          <t>Matched to Munitorum Field Manual v2.3</t>
        </is>
      </c>
      <c r="O6" s="54" t="inlineStr">
        <is>
          <t>Uploaded PDF: Munitorum Field Manual v2.3 / March 2025, p.31</t>
        </is>
      </c>
    </row>
    <row r="7">
      <c r="A7" t="inlineStr">
        <is>
          <t>Space Marines</t>
        </is>
      </c>
      <c r="C7" t="inlineStr">
        <is>
          <t>Battleline / Core</t>
        </is>
      </c>
      <c r="D7" t="inlineStr">
        <is>
          <t>Infantry</t>
        </is>
      </c>
      <c r="E7" t="inlineStr">
        <is>
          <t>Assault Intercessor Squad</t>
        </is>
      </c>
      <c r="F7" t="inlineStr">
        <is>
          <t>5 models</t>
        </is>
      </c>
      <c r="G7" t="inlineStr">
        <is>
          <t>Infantry</t>
        </is>
      </c>
      <c r="L7" s="60" t="n">
        <v>75</v>
      </c>
      <c r="M7" s="54" t="inlineStr">
        <is>
          <t>Points options: 5 models = 75 pts; 10 models = 150 pts</t>
        </is>
      </c>
      <c r="N7" s="54" t="inlineStr">
        <is>
          <t>Matched to Munitorum Field Manual v2.3</t>
        </is>
      </c>
      <c r="O7" s="54" t="inlineStr">
        <is>
          <t>Uploaded PDF: Munitorum Field Manual v2.3 / March 2025, p.31</t>
        </is>
      </c>
    </row>
    <row r="8">
      <c r="A8" t="inlineStr">
        <is>
          <t>Space Marines</t>
        </is>
      </c>
      <c r="C8" t="inlineStr">
        <is>
          <t>Infantry / Other</t>
        </is>
      </c>
      <c r="D8" t="inlineStr">
        <is>
          <t>Infantry</t>
        </is>
      </c>
      <c r="E8" t="inlineStr">
        <is>
          <t>Assault Intercessors with Jump Packs</t>
        </is>
      </c>
      <c r="F8" t="inlineStr">
        <is>
          <t>5 models</t>
        </is>
      </c>
      <c r="G8" t="inlineStr">
        <is>
          <t>Infantry</t>
        </is>
      </c>
      <c r="L8" s="60" t="n">
        <v>90</v>
      </c>
      <c r="M8" s="54" t="inlineStr">
        <is>
          <t>Points options: 5 models = 90 pts; 10 models = 160 pts</t>
        </is>
      </c>
      <c r="N8" s="54" t="inlineStr">
        <is>
          <t>Matched to Munitorum Field Manual v2.3</t>
        </is>
      </c>
      <c r="O8" s="54" t="inlineStr">
        <is>
          <t>Uploaded PDF: Munitorum Field Manual v2.3 / March 2025, p.31</t>
        </is>
      </c>
    </row>
    <row r="9">
      <c r="A9" t="inlineStr">
        <is>
          <t>Space Marines</t>
        </is>
      </c>
      <c r="C9" t="inlineStr">
        <is>
          <t>Vehicle / Support</t>
        </is>
      </c>
      <c r="D9" t="inlineStr">
        <is>
          <t>Walker / Battlesuit</t>
        </is>
      </c>
      <c r="E9" t="inlineStr">
        <is>
          <t>Ballistus Dreadnought</t>
        </is>
      </c>
      <c r="F9" t="inlineStr">
        <is>
          <t>1 model</t>
        </is>
      </c>
      <c r="G9" t="inlineStr">
        <is>
          <t>Walker / Battlesuit</t>
        </is>
      </c>
      <c r="L9" s="60" t="n">
        <v>140</v>
      </c>
      <c r="M9" s="54" t="str"/>
      <c r="N9" s="54" t="inlineStr">
        <is>
          <t>Matched to Munitorum Field Manual v2.3</t>
        </is>
      </c>
      <c r="O9" s="54" t="inlineStr">
        <is>
          <t>Uploaded PDF: Munitorum Field Manual v2.3 / March 2025, p.31</t>
        </is>
      </c>
    </row>
    <row r="10">
      <c r="A10" t="inlineStr">
        <is>
          <t>Space Marines</t>
        </is>
      </c>
      <c r="C10" t="inlineStr">
        <is>
          <t>Character</t>
        </is>
      </c>
      <c r="D10" t="inlineStr">
        <is>
          <t>Character</t>
        </is>
      </c>
      <c r="E10" t="inlineStr">
        <is>
          <t>Bladeguard Ancient</t>
        </is>
      </c>
      <c r="F10" t="inlineStr">
        <is>
          <t>1 model</t>
        </is>
      </c>
      <c r="G10" t="inlineStr">
        <is>
          <t>Character</t>
        </is>
      </c>
      <c r="L10" s="60" t="n">
        <v>45</v>
      </c>
      <c r="M10" s="54" t="str"/>
      <c r="N10" s="54" t="inlineStr">
        <is>
          <t>Matched to Munitorum Field Manual v2.3</t>
        </is>
      </c>
      <c r="O10" s="54" t="inlineStr">
        <is>
          <t>Uploaded PDF: Munitorum Field Manual v2.3 / March 2025, p.31</t>
        </is>
      </c>
    </row>
    <row r="11">
      <c r="A11" t="inlineStr">
        <is>
          <t>Space Marines</t>
        </is>
      </c>
      <c r="C11" t="inlineStr">
        <is>
          <t>Infantry / Other</t>
        </is>
      </c>
      <c r="D11" t="inlineStr">
        <is>
          <t>Infantry</t>
        </is>
      </c>
      <c r="E11" t="inlineStr">
        <is>
          <t>Bladeguard Veteran Squad</t>
        </is>
      </c>
      <c r="F11" t="inlineStr">
        <is>
          <t>3 models</t>
        </is>
      </c>
      <c r="G11" t="inlineStr">
        <is>
          <t>Infantry</t>
        </is>
      </c>
      <c r="L11" s="60" t="n">
        <v>80</v>
      </c>
      <c r="M11" s="54" t="inlineStr">
        <is>
          <t>Points options: 3 models = 80 pts; 6 models = 160 pts</t>
        </is>
      </c>
      <c r="N11" s="54" t="inlineStr">
        <is>
          <t>Matched to Munitorum Field Manual v2.3</t>
        </is>
      </c>
      <c r="O11" s="54" t="inlineStr">
        <is>
          <t>Uploaded PDF: Munitorum Field Manual v2.3 / March 2025, p.31</t>
        </is>
      </c>
    </row>
    <row r="12">
      <c r="A12" t="inlineStr">
        <is>
          <t>Space Marines</t>
        </is>
      </c>
      <c r="C12" t="inlineStr">
        <is>
          <t>Vehicle / Support</t>
        </is>
      </c>
      <c r="D12" t="inlineStr">
        <is>
          <t>Walker / Battlesuit</t>
        </is>
      </c>
      <c r="E12" t="inlineStr">
        <is>
          <t>Brutalis Dreadnought</t>
        </is>
      </c>
      <c r="F12" t="inlineStr">
        <is>
          <t>1 model</t>
        </is>
      </c>
      <c r="G12" t="inlineStr">
        <is>
          <t>Walker / Battlesuit</t>
        </is>
      </c>
      <c r="L12" s="60" t="n">
        <v>160</v>
      </c>
      <c r="M12" s="54" t="str"/>
      <c r="N12" s="54" t="inlineStr">
        <is>
          <t>Matched to Munitorum Field Manual v2.3</t>
        </is>
      </c>
      <c r="O12" s="54" t="inlineStr">
        <is>
          <t>Uploaded PDF: Munitorum Field Manual v2.3 / March 2025, p.31</t>
        </is>
      </c>
    </row>
    <row r="13">
      <c r="A13" t="inlineStr">
        <is>
          <t>Space Marines</t>
        </is>
      </c>
      <c r="C13" t="inlineStr">
        <is>
          <t>Character</t>
        </is>
      </c>
      <c r="D13" t="inlineStr">
        <is>
          <t>Character</t>
        </is>
      </c>
      <c r="E13" t="inlineStr">
        <is>
          <t>Captain</t>
        </is>
      </c>
      <c r="F13" t="inlineStr">
        <is>
          <t>1 model</t>
        </is>
      </c>
      <c r="G13" t="inlineStr">
        <is>
          <t>Character</t>
        </is>
      </c>
      <c r="L13" s="60" t="n">
        <v>80</v>
      </c>
      <c r="M13" s="54" t="str"/>
      <c r="N13" s="54" t="inlineStr">
        <is>
          <t>Matched to Munitorum Field Manual v2.3</t>
        </is>
      </c>
      <c r="O13" s="54" t="inlineStr">
        <is>
          <t>Uploaded PDF: Munitorum Field Manual v2.3 / March 2025, p.31</t>
        </is>
      </c>
    </row>
    <row r="14">
      <c r="A14" t="inlineStr">
        <is>
          <t>Space Marines</t>
        </is>
      </c>
      <c r="C14" t="inlineStr">
        <is>
          <t>Character</t>
        </is>
      </c>
      <c r="D14" t="inlineStr">
        <is>
          <t>Character</t>
        </is>
      </c>
      <c r="E14" t="inlineStr">
        <is>
          <t>Captain in Gravis Armour</t>
        </is>
      </c>
      <c r="F14" t="inlineStr">
        <is>
          <t>1 model</t>
        </is>
      </c>
      <c r="G14" t="inlineStr">
        <is>
          <t>Character</t>
        </is>
      </c>
      <c r="L14" s="60" t="n">
        <v>80</v>
      </c>
      <c r="M14" s="54" t="str"/>
      <c r="N14" s="54" t="inlineStr">
        <is>
          <t>Matched to Munitorum Field Manual v2.3</t>
        </is>
      </c>
      <c r="O14" s="54" t="inlineStr">
        <is>
          <t>Uploaded PDF: Munitorum Field Manual v2.3 / March 2025, p.31</t>
        </is>
      </c>
    </row>
    <row r="15">
      <c r="A15" t="inlineStr">
        <is>
          <t>Space Marines</t>
        </is>
      </c>
      <c r="C15" t="inlineStr">
        <is>
          <t>Character</t>
        </is>
      </c>
      <c r="D15" t="inlineStr">
        <is>
          <t>Character</t>
        </is>
      </c>
      <c r="E15" t="inlineStr">
        <is>
          <t>Captain in Phobos Armour</t>
        </is>
      </c>
      <c r="F15" t="inlineStr">
        <is>
          <t>1 model</t>
        </is>
      </c>
      <c r="G15" t="inlineStr">
        <is>
          <t>Character</t>
        </is>
      </c>
      <c r="L15" s="60" t="n">
        <v>70</v>
      </c>
      <c r="M15" s="54" t="str"/>
      <c r="N15" s="54" t="inlineStr">
        <is>
          <t>Matched to Munitorum Field Manual v2.3</t>
        </is>
      </c>
      <c r="O15" s="54" t="inlineStr">
        <is>
          <t>Uploaded PDF: Munitorum Field Manual v2.3 / March 2025, p.31</t>
        </is>
      </c>
    </row>
    <row r="16">
      <c r="A16" t="inlineStr">
        <is>
          <t>Space Marines</t>
        </is>
      </c>
      <c r="C16" t="inlineStr">
        <is>
          <t>Character</t>
        </is>
      </c>
      <c r="D16" t="inlineStr">
        <is>
          <t>Character</t>
        </is>
      </c>
      <c r="E16" t="inlineStr">
        <is>
          <t>Captain in Terminator Armour</t>
        </is>
      </c>
      <c r="F16" t="inlineStr">
        <is>
          <t>1 model</t>
        </is>
      </c>
      <c r="G16" t="inlineStr">
        <is>
          <t>Character</t>
        </is>
      </c>
      <c r="L16" s="60" t="n">
        <v>95</v>
      </c>
      <c r="M16" s="54" t="str"/>
      <c r="N16" s="54" t="inlineStr">
        <is>
          <t>Matched to Munitorum Field Manual v2.3</t>
        </is>
      </c>
      <c r="O16" s="54" t="inlineStr">
        <is>
          <t>Uploaded PDF: Munitorum Field Manual v2.3 / March 2025, p.31</t>
        </is>
      </c>
    </row>
    <row r="17">
      <c r="A17" t="inlineStr">
        <is>
          <t>Space Marines</t>
        </is>
      </c>
      <c r="C17" t="inlineStr">
        <is>
          <t>Character</t>
        </is>
      </c>
      <c r="D17" t="inlineStr">
        <is>
          <t>Character</t>
        </is>
      </c>
      <c r="E17" t="inlineStr">
        <is>
          <t>Captain Sicarius</t>
        </is>
      </c>
      <c r="F17" t="inlineStr">
        <is>
          <t>1 model</t>
        </is>
      </c>
      <c r="G17" t="inlineStr">
        <is>
          <t>Character</t>
        </is>
      </c>
      <c r="L17" s="60" t="n">
        <v>85</v>
      </c>
      <c r="M17" s="54" t="str"/>
      <c r="N17" s="54" t="inlineStr">
        <is>
          <t>Matched to Munitorum Field Manual v2.3</t>
        </is>
      </c>
      <c r="O17" s="54" t="inlineStr">
        <is>
          <t>Uploaded PDF: Munitorum Field Manual v2.3 / March 2025, p.31</t>
        </is>
      </c>
    </row>
    <row r="18">
      <c r="A18" t="inlineStr">
        <is>
          <t>Space Marines</t>
        </is>
      </c>
      <c r="C18" t="inlineStr">
        <is>
          <t>Character</t>
        </is>
      </c>
      <c r="D18" t="inlineStr">
        <is>
          <t>Character</t>
        </is>
      </c>
      <c r="E18" t="inlineStr">
        <is>
          <t>Chaplain</t>
        </is>
      </c>
      <c r="F18" t="inlineStr">
        <is>
          <t>1 model</t>
        </is>
      </c>
      <c r="G18" t="inlineStr">
        <is>
          <t>Character</t>
        </is>
      </c>
      <c r="L18" s="60" t="n">
        <v>60</v>
      </c>
      <c r="M18" s="54" t="str"/>
      <c r="N18" s="54" t="inlineStr">
        <is>
          <t>Matched to Munitorum Field Manual v2.3</t>
        </is>
      </c>
      <c r="O18" s="54" t="inlineStr">
        <is>
          <t>Uploaded PDF: Munitorum Field Manual v2.3 / March 2025, p.31</t>
        </is>
      </c>
    </row>
    <row r="19">
      <c r="A19" t="inlineStr">
        <is>
          <t>Space Marines</t>
        </is>
      </c>
      <c r="C19" t="inlineStr">
        <is>
          <t>Character</t>
        </is>
      </c>
      <c r="D19" t="inlineStr">
        <is>
          <t>Character</t>
        </is>
      </c>
      <c r="E19" t="inlineStr">
        <is>
          <t>Chaplain in Terminator Armour</t>
        </is>
      </c>
      <c r="F19" t="inlineStr">
        <is>
          <t>1 model</t>
        </is>
      </c>
      <c r="G19" t="inlineStr">
        <is>
          <t>Character</t>
        </is>
      </c>
      <c r="L19" s="60" t="n">
        <v>75</v>
      </c>
      <c r="M19" s="54" t="str"/>
      <c r="N19" s="54" t="inlineStr">
        <is>
          <t>Matched to Munitorum Field Manual v2.3</t>
        </is>
      </c>
      <c r="O19" s="54" t="inlineStr">
        <is>
          <t>Uploaded PDF: Munitorum Field Manual v2.3 / March 2025, p.31</t>
        </is>
      </c>
    </row>
    <row r="20">
      <c r="A20" t="inlineStr">
        <is>
          <t>Space Marines</t>
        </is>
      </c>
      <c r="C20" t="inlineStr">
        <is>
          <t>Character</t>
        </is>
      </c>
      <c r="D20" t="inlineStr">
        <is>
          <t>Character</t>
        </is>
      </c>
      <c r="E20" t="inlineStr">
        <is>
          <t>Chaplain on Bike</t>
        </is>
      </c>
      <c r="F20" t="inlineStr">
        <is>
          <t>1 model</t>
        </is>
      </c>
      <c r="G20" t="inlineStr">
        <is>
          <t>Character</t>
        </is>
      </c>
      <c r="L20" s="60" t="n">
        <v>75</v>
      </c>
      <c r="M20" s="54" t="str"/>
      <c r="N20" s="54" t="inlineStr">
        <is>
          <t>Matched to Munitorum Field Manual v2.3</t>
        </is>
      </c>
      <c r="O20" s="54" t="inlineStr">
        <is>
          <t>Uploaded PDF: Munitorum Field Manual v2.3 / March 2025, p.31</t>
        </is>
      </c>
    </row>
    <row r="21">
      <c r="A21" t="inlineStr">
        <is>
          <t>Space Marines</t>
        </is>
      </c>
      <c r="C21" t="inlineStr">
        <is>
          <t>Infantry / Other</t>
        </is>
      </c>
      <c r="D21" t="inlineStr">
        <is>
          <t>Infantry</t>
        </is>
      </c>
      <c r="E21" t="inlineStr">
        <is>
          <t>Company Heroes</t>
        </is>
      </c>
      <c r="F21" t="inlineStr">
        <is>
          <t>4 models</t>
        </is>
      </c>
      <c r="G21" t="inlineStr">
        <is>
          <t>Infantry</t>
        </is>
      </c>
      <c r="L21" s="60" t="n">
        <v>105</v>
      </c>
      <c r="M21" s="54" t="str"/>
      <c r="N21" s="54" t="inlineStr">
        <is>
          <t>Matched to Munitorum Field Manual v2.3</t>
        </is>
      </c>
      <c r="O21" s="54" t="inlineStr">
        <is>
          <t>Uploaded PDF: Munitorum Field Manual v2.3 / March 2025, p.31</t>
        </is>
      </c>
    </row>
    <row r="22">
      <c r="A22" t="inlineStr">
        <is>
          <t>Space Marines</t>
        </is>
      </c>
      <c r="C22" t="inlineStr">
        <is>
          <t>Infantry / Other</t>
        </is>
      </c>
      <c r="D22" t="inlineStr">
        <is>
          <t>Infantry</t>
        </is>
      </c>
      <c r="E22" t="inlineStr">
        <is>
          <t>Darnath Lysander</t>
        </is>
      </c>
      <c r="F22" t="inlineStr">
        <is>
          <t>1 model</t>
        </is>
      </c>
      <c r="G22" t="inlineStr">
        <is>
          <t>Infantry</t>
        </is>
      </c>
      <c r="L22" s="60" t="n">
        <v>100</v>
      </c>
      <c r="M22" s="54" t="str"/>
      <c r="N22" s="54" t="inlineStr">
        <is>
          <t>Matched to Munitorum Field Manual v2.3</t>
        </is>
      </c>
      <c r="O22" s="54" t="inlineStr">
        <is>
          <t>Uploaded PDF: Munitorum Field Manual v2.3 / March 2025, p.31</t>
        </is>
      </c>
    </row>
    <row r="23">
      <c r="A23" t="inlineStr">
        <is>
          <t>Space Marines</t>
        </is>
      </c>
      <c r="C23" t="inlineStr">
        <is>
          <t>Infantry / Other</t>
        </is>
      </c>
      <c r="D23" t="inlineStr">
        <is>
          <t>Infantry</t>
        </is>
      </c>
      <c r="E23" t="inlineStr">
        <is>
          <t>Desolation Squad</t>
        </is>
      </c>
      <c r="F23" t="inlineStr">
        <is>
          <t>5 models</t>
        </is>
      </c>
      <c r="G23" t="inlineStr">
        <is>
          <t>Infantry</t>
        </is>
      </c>
      <c r="L23" s="60" t="n">
        <v>200</v>
      </c>
      <c r="M23" s="54" t="str"/>
      <c r="N23" s="54" t="inlineStr">
        <is>
          <t>Matched to Munitorum Field Manual v2.3</t>
        </is>
      </c>
      <c r="O23" s="54" t="inlineStr">
        <is>
          <t>Uploaded PDF: Munitorum Field Manual v2.3 / March 2025, p.31</t>
        </is>
      </c>
    </row>
    <row r="24">
      <c r="A24" t="inlineStr">
        <is>
          <t>Space Marines</t>
        </is>
      </c>
      <c r="C24" t="inlineStr">
        <is>
          <t>Infantry / Other</t>
        </is>
      </c>
      <c r="D24" t="inlineStr">
        <is>
          <t>Infantry</t>
        </is>
      </c>
      <c r="E24" t="inlineStr">
        <is>
          <t>Devastator Squad</t>
        </is>
      </c>
      <c r="F24" t="inlineStr">
        <is>
          <t>5 models</t>
        </is>
      </c>
      <c r="G24" t="inlineStr">
        <is>
          <t>Infantry</t>
        </is>
      </c>
      <c r="L24" s="60" t="n">
        <v>120</v>
      </c>
      <c r="M24" s="54" t="inlineStr">
        <is>
          <t>Points options: 5 models = 120 pts; 10 models = 200 pts</t>
        </is>
      </c>
      <c r="N24" s="54" t="inlineStr">
        <is>
          <t>Matched to Munitorum Field Manual v2.3</t>
        </is>
      </c>
      <c r="O24" s="54" t="inlineStr">
        <is>
          <t>Uploaded PDF: Munitorum Field Manual v2.3 / March 2025, p.31</t>
        </is>
      </c>
    </row>
    <row r="25">
      <c r="A25" t="inlineStr">
        <is>
          <t>Space Marines</t>
        </is>
      </c>
      <c r="C25" t="inlineStr">
        <is>
          <t>Infantry / Other</t>
        </is>
      </c>
      <c r="D25" t="inlineStr">
        <is>
          <t>Infantry</t>
        </is>
      </c>
      <c r="E25" t="inlineStr">
        <is>
          <t>Eliminator Squad</t>
        </is>
      </c>
      <c r="F25" t="inlineStr">
        <is>
          <t>3 models</t>
        </is>
      </c>
      <c r="G25" t="inlineStr">
        <is>
          <t>Infantry</t>
        </is>
      </c>
      <c r="L25" s="60" t="n">
        <v>85</v>
      </c>
      <c r="M25" s="54" t="str"/>
      <c r="N25" s="54" t="inlineStr">
        <is>
          <t>Matched to Munitorum Field Manual v2.3</t>
        </is>
      </c>
      <c r="O25" s="54" t="inlineStr">
        <is>
          <t>Uploaded PDF: Munitorum Field Manual v2.3 / March 2025, p.31</t>
        </is>
      </c>
    </row>
    <row r="26">
      <c r="A26" t="inlineStr">
        <is>
          <t>Space Marines</t>
        </is>
      </c>
      <c r="C26" t="inlineStr">
        <is>
          <t>Infantry / Other</t>
        </is>
      </c>
      <c r="D26" t="inlineStr">
        <is>
          <t>Infantry</t>
        </is>
      </c>
      <c r="E26" t="inlineStr">
        <is>
          <t>Eradicator Squad</t>
        </is>
      </c>
      <c r="F26" t="inlineStr">
        <is>
          <t>3 models</t>
        </is>
      </c>
      <c r="G26" t="inlineStr">
        <is>
          <t>Infantry</t>
        </is>
      </c>
      <c r="L26" s="60" t="n">
        <v>100</v>
      </c>
      <c r="M26" s="54" t="inlineStr">
        <is>
          <t>Points options: 3 models = 100 pts; 6 models = 200 pts</t>
        </is>
      </c>
      <c r="N26" s="54" t="inlineStr">
        <is>
          <t>Matched to Munitorum Field Manual v2.3</t>
        </is>
      </c>
      <c r="O26" s="54" t="inlineStr">
        <is>
          <t>Uploaded PDF: Munitorum Field Manual v2.3 / March 2025, p.31</t>
        </is>
      </c>
    </row>
    <row r="27">
      <c r="A27" t="inlineStr">
        <is>
          <t>Space Marines</t>
        </is>
      </c>
      <c r="C27" t="inlineStr">
        <is>
          <t>Vehicle / Support</t>
        </is>
      </c>
      <c r="D27" t="inlineStr">
        <is>
          <t>Vehicle</t>
        </is>
      </c>
      <c r="E27" t="inlineStr">
        <is>
          <t>Gladiator Lancer</t>
        </is>
      </c>
      <c r="F27" t="inlineStr">
        <is>
          <t>1 model</t>
        </is>
      </c>
      <c r="G27" t="inlineStr">
        <is>
          <t>Vehicle</t>
        </is>
      </c>
      <c r="L27" s="60" t="n">
        <v>160</v>
      </c>
      <c r="M27" s="54" t="str"/>
      <c r="N27" s="54" t="inlineStr">
        <is>
          <t>Matched to Munitorum Field Manual v2.3</t>
        </is>
      </c>
      <c r="O27" s="54" t="inlineStr">
        <is>
          <t>Uploaded PDF: Munitorum Field Manual v2.3 / March 2025, p.31</t>
        </is>
      </c>
    </row>
    <row r="28">
      <c r="A28" t="inlineStr">
        <is>
          <t>Space Marines</t>
        </is>
      </c>
      <c r="C28" t="inlineStr">
        <is>
          <t>Vehicle / Support</t>
        </is>
      </c>
      <c r="D28" t="inlineStr">
        <is>
          <t>Vehicle</t>
        </is>
      </c>
      <c r="E28" t="inlineStr">
        <is>
          <t>Gladiator Reaper</t>
        </is>
      </c>
      <c r="F28" t="inlineStr">
        <is>
          <t>1 model</t>
        </is>
      </c>
      <c r="G28" t="inlineStr">
        <is>
          <t>Vehicle</t>
        </is>
      </c>
      <c r="L28" s="60" t="n">
        <v>160</v>
      </c>
      <c r="M28" s="54" t="str"/>
      <c r="N28" s="54" t="inlineStr">
        <is>
          <t>Matched to Munitorum Field Manual v2.3</t>
        </is>
      </c>
      <c r="O28" s="54" t="inlineStr">
        <is>
          <t>Uploaded PDF: Munitorum Field Manual v2.3 / March 2025, p.31</t>
        </is>
      </c>
    </row>
    <row r="29">
      <c r="A29" t="inlineStr">
        <is>
          <t>Space Marines</t>
        </is>
      </c>
      <c r="C29" t="inlineStr">
        <is>
          <t>Vehicle / Support</t>
        </is>
      </c>
      <c r="D29" t="inlineStr">
        <is>
          <t>Vehicle</t>
        </is>
      </c>
      <c r="E29" t="inlineStr">
        <is>
          <t>Gladiator Valiant</t>
        </is>
      </c>
      <c r="F29" t="inlineStr">
        <is>
          <t>1 model</t>
        </is>
      </c>
      <c r="G29" t="inlineStr">
        <is>
          <t>Vehicle</t>
        </is>
      </c>
      <c r="L29" s="60" t="n">
        <v>160</v>
      </c>
      <c r="M29" s="54" t="str"/>
      <c r="N29" s="54" t="inlineStr">
        <is>
          <t>Matched to Munitorum Field Manual v2.3</t>
        </is>
      </c>
      <c r="O29" s="54" t="inlineStr">
        <is>
          <t>Uploaded PDF: Munitorum Field Manual v2.3 / March 2025, p.31</t>
        </is>
      </c>
    </row>
    <row r="30">
      <c r="A30" t="inlineStr">
        <is>
          <t>Space Marines</t>
        </is>
      </c>
      <c r="C30" t="inlineStr">
        <is>
          <t>Vehicle / Support</t>
        </is>
      </c>
      <c r="D30" t="inlineStr">
        <is>
          <t>Vehicle</t>
        </is>
      </c>
      <c r="E30" t="inlineStr">
        <is>
          <t>Hammerfall Bunker</t>
        </is>
      </c>
      <c r="F30" t="inlineStr">
        <is>
          <t>1 model</t>
        </is>
      </c>
      <c r="G30" t="inlineStr">
        <is>
          <t>Vehicle</t>
        </is>
      </c>
      <c r="L30" s="60" t="n">
        <v>175</v>
      </c>
      <c r="M30" s="54" t="str"/>
      <c r="N30" s="54" t="inlineStr">
        <is>
          <t>Matched to Munitorum Field Manual v2.3</t>
        </is>
      </c>
      <c r="O30" s="54" t="inlineStr">
        <is>
          <t>Uploaded PDF: Munitorum Field Manual v2.3 / March 2025, p.31</t>
        </is>
      </c>
    </row>
    <row r="31">
      <c r="A31" t="inlineStr">
        <is>
          <t>Space Marines</t>
        </is>
      </c>
      <c r="C31" t="inlineStr">
        <is>
          <t>Battleline / Core</t>
        </is>
      </c>
      <c r="D31" t="inlineStr">
        <is>
          <t>Infantry</t>
        </is>
      </c>
      <c r="E31" t="inlineStr">
        <is>
          <t>Heavy Intercessor Squad</t>
        </is>
      </c>
      <c r="F31" t="inlineStr">
        <is>
          <t>5 models</t>
        </is>
      </c>
      <c r="G31" t="inlineStr">
        <is>
          <t>Infantry</t>
        </is>
      </c>
      <c r="L31" s="60" t="n">
        <v>110</v>
      </c>
      <c r="M31" s="54" t="inlineStr">
        <is>
          <t>Points options: 5 models = 110 pts; 10 models = 220 pts</t>
        </is>
      </c>
      <c r="N31" s="54" t="inlineStr">
        <is>
          <t>Matched to Munitorum Field Manual v2.3</t>
        </is>
      </c>
      <c r="O31" s="54" t="inlineStr">
        <is>
          <t>Uploaded PDF: Munitorum Field Manual v2.3 / March 2025, p.31</t>
        </is>
      </c>
    </row>
    <row r="32">
      <c r="A32" t="inlineStr">
        <is>
          <t>Space Marines</t>
        </is>
      </c>
      <c r="C32" t="inlineStr">
        <is>
          <t>Infantry / Other</t>
        </is>
      </c>
      <c r="D32" t="inlineStr">
        <is>
          <t>Infantry</t>
        </is>
      </c>
      <c r="E32" t="inlineStr">
        <is>
          <t>Hellblaster Squad</t>
        </is>
      </c>
      <c r="F32" t="inlineStr">
        <is>
          <t>5 models</t>
        </is>
      </c>
      <c r="G32" t="inlineStr">
        <is>
          <t>Infantry</t>
        </is>
      </c>
      <c r="L32" s="60" t="n">
        <v>115</v>
      </c>
      <c r="M32" s="54" t="inlineStr">
        <is>
          <t>Points options: 5 models = 115 pts; 10 models = 230 pts</t>
        </is>
      </c>
      <c r="N32" s="54" t="inlineStr">
        <is>
          <t>Matched to Munitorum Field Manual v2.3</t>
        </is>
      </c>
      <c r="O32" s="54" t="inlineStr">
        <is>
          <t>Uploaded PDF: Munitorum Field Manual v2.3 / March 2025, p.31</t>
        </is>
      </c>
    </row>
    <row r="33">
      <c r="A33" t="inlineStr">
        <is>
          <t>Space Marines</t>
        </is>
      </c>
      <c r="C33" t="inlineStr">
        <is>
          <t>Vehicle / Support</t>
        </is>
      </c>
      <c r="D33" t="inlineStr">
        <is>
          <t>Vehicle</t>
        </is>
      </c>
      <c r="E33" t="inlineStr">
        <is>
          <t>Impulsor</t>
        </is>
      </c>
      <c r="F33" t="inlineStr">
        <is>
          <t>1 model</t>
        </is>
      </c>
      <c r="G33" t="inlineStr">
        <is>
          <t>Vehicle</t>
        </is>
      </c>
      <c r="L33" s="60" t="n">
        <v>80</v>
      </c>
      <c r="M33" s="54" t="str"/>
      <c r="N33" s="54" t="inlineStr">
        <is>
          <t>Matched to Munitorum Field Manual v2.3</t>
        </is>
      </c>
      <c r="O33" s="54" t="inlineStr">
        <is>
          <t>Uploaded PDF: Munitorum Field Manual v2.3 / March 2025, p.31</t>
        </is>
      </c>
    </row>
    <row r="34">
      <c r="A34" t="inlineStr">
        <is>
          <t>Space Marines</t>
        </is>
      </c>
      <c r="C34" t="inlineStr">
        <is>
          <t>Infantry / Other</t>
        </is>
      </c>
      <c r="D34" t="inlineStr">
        <is>
          <t>Infantry</t>
        </is>
      </c>
      <c r="E34" t="inlineStr">
        <is>
          <t>Inceptor Squad</t>
        </is>
      </c>
      <c r="F34" t="inlineStr">
        <is>
          <t>3 models</t>
        </is>
      </c>
      <c r="G34" t="inlineStr">
        <is>
          <t>Infantry</t>
        </is>
      </c>
      <c r="L34" s="60" t="n">
        <v>120</v>
      </c>
      <c r="M34" s="54" t="inlineStr">
        <is>
          <t>Points options: 3 models = 120 pts; 6 models = 240 pts</t>
        </is>
      </c>
      <c r="N34" s="54" t="inlineStr">
        <is>
          <t>Matched to Munitorum Field Manual v2.3</t>
        </is>
      </c>
      <c r="O34" s="54" t="inlineStr">
        <is>
          <t>Uploaded PDF: Munitorum Field Manual v2.3 / March 2025, p.31</t>
        </is>
      </c>
    </row>
    <row r="35">
      <c r="A35" t="inlineStr">
        <is>
          <t>Space Marines</t>
        </is>
      </c>
      <c r="C35" t="inlineStr">
        <is>
          <t>Infantry / Other</t>
        </is>
      </c>
      <c r="D35" t="inlineStr">
        <is>
          <t>Infantry</t>
        </is>
      </c>
      <c r="E35" t="inlineStr">
        <is>
          <t>Incursor Squad</t>
        </is>
      </c>
      <c r="F35" t="inlineStr">
        <is>
          <t>5 models</t>
        </is>
      </c>
      <c r="G35" t="inlineStr">
        <is>
          <t>Infantry</t>
        </is>
      </c>
      <c r="L35" s="60" t="n">
        <v>80</v>
      </c>
      <c r="M35" s="54" t="inlineStr">
        <is>
          <t>Points options: 5 models = 80 pts; 10 models = 160 pts</t>
        </is>
      </c>
      <c r="N35" s="54" t="inlineStr">
        <is>
          <t>Matched to Munitorum Field Manual v2.3</t>
        </is>
      </c>
      <c r="O35" s="54" t="inlineStr">
        <is>
          <t>Uploaded PDF: Munitorum Field Manual v2.3 / March 2025, p.31</t>
        </is>
      </c>
    </row>
    <row r="36">
      <c r="A36" t="inlineStr">
        <is>
          <t>Space Marines</t>
        </is>
      </c>
      <c r="C36" t="inlineStr">
        <is>
          <t>Infantry / Other</t>
        </is>
      </c>
      <c r="D36" t="inlineStr">
        <is>
          <t>Infantry</t>
        </is>
      </c>
      <c r="E36" t="inlineStr">
        <is>
          <t>Infernus Squad</t>
        </is>
      </c>
      <c r="F36" t="inlineStr">
        <is>
          <t>5 models</t>
        </is>
      </c>
      <c r="G36" t="inlineStr">
        <is>
          <t>Infantry</t>
        </is>
      </c>
      <c r="L36" s="60" t="n">
        <v>90</v>
      </c>
      <c r="M36" s="54" t="inlineStr">
        <is>
          <t>Points options: 5 models = 90 pts; 10 models = 180 pts</t>
        </is>
      </c>
      <c r="N36" s="54" t="inlineStr">
        <is>
          <t>Matched to Munitorum Field Manual v2.3</t>
        </is>
      </c>
      <c r="O36" s="54" t="inlineStr">
        <is>
          <t>Uploaded PDF: Munitorum Field Manual v2.3 / March 2025, p.31</t>
        </is>
      </c>
    </row>
    <row r="37">
      <c r="A37" t="inlineStr">
        <is>
          <t>Space Marines</t>
        </is>
      </c>
      <c r="C37" t="inlineStr">
        <is>
          <t>Infantry / Other</t>
        </is>
      </c>
      <c r="D37" t="inlineStr">
        <is>
          <t>Infantry</t>
        </is>
      </c>
      <c r="E37" t="inlineStr">
        <is>
          <t>Infiltrator Squad</t>
        </is>
      </c>
      <c r="F37" t="inlineStr">
        <is>
          <t>5 models</t>
        </is>
      </c>
      <c r="G37" t="inlineStr">
        <is>
          <t>Infantry</t>
        </is>
      </c>
      <c r="L37" s="60" t="n">
        <v>100</v>
      </c>
      <c r="M37" s="54" t="inlineStr">
        <is>
          <t>Points options: 5 models = 100 pts; 10 models = 200 pts</t>
        </is>
      </c>
      <c r="N37" s="54" t="inlineStr">
        <is>
          <t>Matched to Munitorum Field Manual v2.3</t>
        </is>
      </c>
      <c r="O37" s="54" t="inlineStr">
        <is>
          <t>Uploaded PDF: Munitorum Field Manual v2.3 / March 2025, p.31</t>
        </is>
      </c>
    </row>
    <row r="38">
      <c r="A38" t="inlineStr">
        <is>
          <t>Space Marines</t>
        </is>
      </c>
      <c r="C38" t="inlineStr">
        <is>
          <t>Infantry / Other</t>
        </is>
      </c>
      <c r="D38" t="inlineStr">
        <is>
          <t>Mounted / Bike</t>
        </is>
      </c>
      <c r="E38" t="inlineStr">
        <is>
          <t>Invader ATV</t>
        </is>
      </c>
      <c r="F38" t="inlineStr">
        <is>
          <t>1 model</t>
        </is>
      </c>
      <c r="G38" t="inlineStr">
        <is>
          <t>Mounted / Bike</t>
        </is>
      </c>
      <c r="L38" s="60" t="n">
        <v>60</v>
      </c>
      <c r="M38" s="54" t="str"/>
      <c r="N38" s="54" t="inlineStr">
        <is>
          <t>Matched to Munitorum Field Manual v2.3</t>
        </is>
      </c>
      <c r="O38" s="54" t="inlineStr">
        <is>
          <t>Uploaded PDF: Munitorum Field Manual v2.3 / March 2025, p.31</t>
        </is>
      </c>
    </row>
    <row r="39">
      <c r="A39" t="inlineStr">
        <is>
          <t>Space Marines</t>
        </is>
      </c>
      <c r="C39" t="inlineStr">
        <is>
          <t>Vehicle / Support</t>
        </is>
      </c>
      <c r="D39" t="inlineStr">
        <is>
          <t>Walker / Battlesuit</t>
        </is>
      </c>
      <c r="E39" t="inlineStr">
        <is>
          <t>Invictor Tactical Warsuit</t>
        </is>
      </c>
      <c r="F39" t="inlineStr">
        <is>
          <t>1 model</t>
        </is>
      </c>
      <c r="G39" t="inlineStr">
        <is>
          <t>Walker / Battlesuit</t>
        </is>
      </c>
      <c r="L39" s="60" t="n">
        <v>125</v>
      </c>
      <c r="M39" s="54" t="str"/>
      <c r="N39" s="54" t="inlineStr">
        <is>
          <t>Matched to Munitorum Field Manual v2.3</t>
        </is>
      </c>
      <c r="O39" s="54" t="inlineStr">
        <is>
          <t>Uploaded PDF: Munitorum Field Manual v2.3 / March 2025, p.31</t>
        </is>
      </c>
    </row>
    <row r="40">
      <c r="A40" t="inlineStr">
        <is>
          <t>Space Marines</t>
        </is>
      </c>
      <c r="C40" t="inlineStr">
        <is>
          <t>Infantry / Other</t>
        </is>
      </c>
      <c r="D40" t="inlineStr">
        <is>
          <t>Infantry</t>
        </is>
      </c>
      <c r="E40" t="inlineStr">
        <is>
          <t>Judiciar</t>
        </is>
      </c>
      <c r="F40" t="inlineStr">
        <is>
          <t>1 model</t>
        </is>
      </c>
      <c r="G40" t="inlineStr">
        <is>
          <t>Infantry</t>
        </is>
      </c>
      <c r="L40" s="60" t="n">
        <v>70</v>
      </c>
      <c r="M40" s="54" t="str"/>
      <c r="N40" s="54" t="inlineStr">
        <is>
          <t>Matched to Munitorum Field Manual v2.3</t>
        </is>
      </c>
      <c r="O40" s="54" t="inlineStr">
        <is>
          <t>Uploaded PDF: Munitorum Field Manual v2.3 / March 2025, p.31</t>
        </is>
      </c>
    </row>
    <row r="41">
      <c r="A41" t="inlineStr">
        <is>
          <t>Space Marines</t>
        </is>
      </c>
      <c r="C41" t="inlineStr">
        <is>
          <t>Infantry / Other</t>
        </is>
      </c>
      <c r="D41" t="inlineStr">
        <is>
          <t>Infantry</t>
        </is>
      </c>
      <c r="E41" t="inlineStr">
        <is>
          <t>Kayvaan Shrike</t>
        </is>
      </c>
      <c r="F41" t="inlineStr">
        <is>
          <t>1 model</t>
        </is>
      </c>
      <c r="G41" t="inlineStr">
        <is>
          <t>Infantry</t>
        </is>
      </c>
      <c r="L41" s="60" t="n">
        <v>100</v>
      </c>
      <c r="M41" s="54" t="str"/>
      <c r="N41" s="54" t="inlineStr">
        <is>
          <t>Matched to Munitorum Field Manual v2.3</t>
        </is>
      </c>
      <c r="O41" s="54" t="inlineStr">
        <is>
          <t>Uploaded PDF: Munitorum Field Manual v2.3 / March 2025, p.31</t>
        </is>
      </c>
    </row>
    <row r="42">
      <c r="A42" t="inlineStr">
        <is>
          <t>Space Marines</t>
        </is>
      </c>
      <c r="C42" t="inlineStr">
        <is>
          <t>Infantry / Other</t>
        </is>
      </c>
      <c r="D42" t="inlineStr">
        <is>
          <t>Infantry</t>
        </is>
      </c>
      <c r="E42" t="inlineStr">
        <is>
          <t>Kor'sarro Khan</t>
        </is>
      </c>
      <c r="F42" t="inlineStr">
        <is>
          <t>1 model</t>
        </is>
      </c>
      <c r="G42" t="inlineStr">
        <is>
          <t>Infantry</t>
        </is>
      </c>
      <c r="L42" s="60" t="n">
        <v>70</v>
      </c>
      <c r="M42" s="54" t="str"/>
      <c r="N42" s="54" t="inlineStr">
        <is>
          <t>Matched to Munitorum Field Manual v2.3</t>
        </is>
      </c>
      <c r="O42" s="54" t="inlineStr">
        <is>
          <t>Uploaded PDF: Munitorum Field Manual v2.3 / March 2025, p.31</t>
        </is>
      </c>
    </row>
    <row r="43">
      <c r="A43" t="inlineStr">
        <is>
          <t>Space Marines</t>
        </is>
      </c>
      <c r="C43" t="inlineStr">
        <is>
          <t>Vehicle / Support</t>
        </is>
      </c>
      <c r="D43" t="inlineStr">
        <is>
          <t>Vehicle</t>
        </is>
      </c>
      <c r="E43" t="inlineStr">
        <is>
          <t>Land Raider</t>
        </is>
      </c>
      <c r="F43" t="inlineStr">
        <is>
          <t>1 model</t>
        </is>
      </c>
      <c r="G43" t="inlineStr">
        <is>
          <t>Vehicle</t>
        </is>
      </c>
      <c r="L43" s="60" t="n">
        <v>240</v>
      </c>
      <c r="M43" s="54" t="str"/>
      <c r="N43" s="54" t="inlineStr">
        <is>
          <t>Matched to Munitorum Field Manual v2.3</t>
        </is>
      </c>
      <c r="O43" s="54" t="inlineStr">
        <is>
          <t>Uploaded PDF: Munitorum Field Manual v2.3 / March 2025, p.31</t>
        </is>
      </c>
    </row>
    <row r="44">
      <c r="A44" t="inlineStr">
        <is>
          <t>Space Marines</t>
        </is>
      </c>
      <c r="C44" t="inlineStr">
        <is>
          <t>Vehicle / Support</t>
        </is>
      </c>
      <c r="D44" t="inlineStr">
        <is>
          <t>Vehicle</t>
        </is>
      </c>
      <c r="E44" t="inlineStr">
        <is>
          <t>Land Raider Crusader</t>
        </is>
      </c>
      <c r="F44" t="inlineStr">
        <is>
          <t>1 model</t>
        </is>
      </c>
      <c r="G44" t="inlineStr">
        <is>
          <t>Vehicle</t>
        </is>
      </c>
      <c r="L44" s="60" t="n">
        <v>220</v>
      </c>
      <c r="M44" s="54" t="str"/>
      <c r="N44" s="54" t="inlineStr">
        <is>
          <t>Matched to Munitorum Field Manual v2.3</t>
        </is>
      </c>
      <c r="O44" s="54" t="inlineStr">
        <is>
          <t>Uploaded PDF: Munitorum Field Manual v2.3 / March 2025, p.31</t>
        </is>
      </c>
    </row>
    <row r="45">
      <c r="A45" t="inlineStr">
        <is>
          <t>Space Marines</t>
        </is>
      </c>
      <c r="C45" t="inlineStr">
        <is>
          <t>Vehicle / Support</t>
        </is>
      </c>
      <c r="D45" t="inlineStr">
        <is>
          <t>Vehicle</t>
        </is>
      </c>
      <c r="E45" t="inlineStr">
        <is>
          <t>Land Raider Redeemer</t>
        </is>
      </c>
      <c r="F45" t="inlineStr">
        <is>
          <t>1 model</t>
        </is>
      </c>
      <c r="G45" t="inlineStr">
        <is>
          <t>Vehicle</t>
        </is>
      </c>
      <c r="L45" s="60" t="n">
        <v>285</v>
      </c>
      <c r="M45" s="54" t="str"/>
      <c r="N45" s="54" t="inlineStr">
        <is>
          <t>Matched to Munitorum Field Manual v2.3</t>
        </is>
      </c>
      <c r="O45" s="54" t="inlineStr">
        <is>
          <t>Uploaded PDF: Munitorum Field Manual v2.3 / March 2025, p.31</t>
        </is>
      </c>
    </row>
    <row r="46">
      <c r="A46" t="inlineStr">
        <is>
          <t>Space Marines</t>
        </is>
      </c>
      <c r="C46" t="inlineStr">
        <is>
          <t>Character</t>
        </is>
      </c>
      <c r="D46" t="inlineStr">
        <is>
          <t>Character</t>
        </is>
      </c>
      <c r="E46" t="inlineStr">
        <is>
          <t>Librarian</t>
        </is>
      </c>
      <c r="F46" t="inlineStr">
        <is>
          <t>1 model</t>
        </is>
      </c>
      <c r="G46" t="inlineStr">
        <is>
          <t>Character, Psyker</t>
        </is>
      </c>
      <c r="L46" s="60" t="n">
        <v>65</v>
      </c>
      <c r="M46" s="54" t="str"/>
      <c r="N46" s="54" t="inlineStr">
        <is>
          <t>Matched to Munitorum Field Manual v2.3</t>
        </is>
      </c>
      <c r="O46" s="54" t="inlineStr">
        <is>
          <t>Uploaded PDF: Munitorum Field Manual v2.3 / March 2025, p.31</t>
        </is>
      </c>
    </row>
    <row r="47">
      <c r="A47" t="inlineStr">
        <is>
          <t>Space Marines</t>
        </is>
      </c>
      <c r="C47" t="inlineStr">
        <is>
          <t>Character</t>
        </is>
      </c>
      <c r="D47" t="inlineStr">
        <is>
          <t>Character</t>
        </is>
      </c>
      <c r="E47" t="inlineStr">
        <is>
          <t>Librarian in Phobos Armour</t>
        </is>
      </c>
      <c r="F47" t="inlineStr">
        <is>
          <t>1 model</t>
        </is>
      </c>
      <c r="G47" t="inlineStr">
        <is>
          <t>Character, Psyker</t>
        </is>
      </c>
      <c r="L47" s="60" t="n">
        <v>70</v>
      </c>
      <c r="M47" s="54" t="str"/>
      <c r="N47" s="54" t="inlineStr">
        <is>
          <t>Matched to Munitorum Field Manual v2.3</t>
        </is>
      </c>
      <c r="O47" s="54" t="inlineStr">
        <is>
          <t>Uploaded PDF: Munitorum Field Manual v2.3 / March 2025, p.31</t>
        </is>
      </c>
    </row>
    <row r="48">
      <c r="A48" t="inlineStr">
        <is>
          <t>Space Marines</t>
        </is>
      </c>
      <c r="C48" t="inlineStr">
        <is>
          <t>Character</t>
        </is>
      </c>
      <c r="D48" t="inlineStr">
        <is>
          <t>Character</t>
        </is>
      </c>
      <c r="E48" t="inlineStr">
        <is>
          <t>Librarian in Terminator Armour</t>
        </is>
      </c>
      <c r="F48" t="inlineStr">
        <is>
          <t>1 model</t>
        </is>
      </c>
      <c r="G48" t="inlineStr">
        <is>
          <t>Character, Psyker</t>
        </is>
      </c>
      <c r="L48" s="60" t="n">
        <v>75</v>
      </c>
      <c r="M48" s="54" t="str"/>
      <c r="N48" s="54" t="inlineStr">
        <is>
          <t>Matched to Munitorum Field Manual v2.3</t>
        </is>
      </c>
      <c r="O48" s="54" t="inlineStr">
        <is>
          <t>Uploaded PDF: Munitorum Field Manual v2.3 / March 2025, p.31</t>
        </is>
      </c>
    </row>
    <row r="49">
      <c r="A49" t="inlineStr">
        <is>
          <t>Space Marines</t>
        </is>
      </c>
      <c r="C49" t="inlineStr">
        <is>
          <t>Infantry / Other</t>
        </is>
      </c>
      <c r="D49" t="inlineStr">
        <is>
          <t>Infantry</t>
        </is>
      </c>
      <c r="E49" t="inlineStr">
        <is>
          <t>Lieutenant</t>
        </is>
      </c>
      <c r="F49" t="inlineStr">
        <is>
          <t>1 model</t>
        </is>
      </c>
      <c r="G49" t="inlineStr">
        <is>
          <t>Infantry</t>
        </is>
      </c>
      <c r="L49" s="60" t="n">
        <v>65</v>
      </c>
      <c r="M49" s="54" t="str"/>
      <c r="N49" s="54" t="inlineStr">
        <is>
          <t>Matched to Munitorum Field Manual v2.3</t>
        </is>
      </c>
      <c r="O49" s="54" t="inlineStr">
        <is>
          <t>Uploaded PDF: Munitorum Field Manual v2.3 / March 2025, p.31</t>
        </is>
      </c>
    </row>
    <row r="50">
      <c r="A50" t="inlineStr">
        <is>
          <t>Space Marines</t>
        </is>
      </c>
      <c r="C50" t="inlineStr">
        <is>
          <t>Infantry / Other</t>
        </is>
      </c>
      <c r="D50" t="inlineStr">
        <is>
          <t>Infantry</t>
        </is>
      </c>
      <c r="E50" t="inlineStr">
        <is>
          <t>Lieutenant in Phobos Armour</t>
        </is>
      </c>
      <c r="F50" t="inlineStr">
        <is>
          <t>1 model</t>
        </is>
      </c>
      <c r="G50" t="inlineStr">
        <is>
          <t>Infantry</t>
        </is>
      </c>
      <c r="L50" s="60" t="n">
        <v>55</v>
      </c>
      <c r="M50" s="54" t="str"/>
      <c r="N50" s="54" t="inlineStr">
        <is>
          <t>Matched to Munitorum Field Manual v2.3</t>
        </is>
      </c>
      <c r="O50" s="54" t="inlineStr">
        <is>
          <t>Uploaded PDF: Munitorum Field Manual v2.3 / March 2025, p.31</t>
        </is>
      </c>
    </row>
    <row r="51">
      <c r="A51" t="inlineStr">
        <is>
          <t>Space Marines</t>
        </is>
      </c>
      <c r="C51" t="inlineStr">
        <is>
          <t>Infantry / Other</t>
        </is>
      </c>
      <c r="D51" t="inlineStr">
        <is>
          <t>Infantry</t>
        </is>
      </c>
      <c r="E51" t="inlineStr">
        <is>
          <t>Lieutenant with Combi-weapon</t>
        </is>
      </c>
      <c r="F51" t="inlineStr">
        <is>
          <t>1 model</t>
        </is>
      </c>
      <c r="G51" t="inlineStr">
        <is>
          <t>Infantry</t>
        </is>
      </c>
      <c r="L51" s="60" t="n">
        <v>70</v>
      </c>
      <c r="M51" s="54" t="str"/>
      <c r="N51" s="54" t="inlineStr">
        <is>
          <t>Matched to Munitorum Field Manual v2.3</t>
        </is>
      </c>
      <c r="O51" s="54" t="inlineStr">
        <is>
          <t>Uploaded PDF: Munitorum Field Manual v2.3 / March 2025, p.31</t>
        </is>
      </c>
    </row>
    <row r="52">
      <c r="A52" t="inlineStr">
        <is>
          <t>Space Marines</t>
        </is>
      </c>
      <c r="C52" t="inlineStr">
        <is>
          <t>Infantry / Other</t>
        </is>
      </c>
      <c r="D52" t="inlineStr">
        <is>
          <t>Infantry</t>
        </is>
      </c>
      <c r="E52" t="inlineStr">
        <is>
          <t>Marneus Calgar</t>
        </is>
      </c>
      <c r="F52" t="inlineStr">
        <is>
          <t>3 models</t>
        </is>
      </c>
      <c r="G52" t="inlineStr">
        <is>
          <t>Infantry</t>
        </is>
      </c>
      <c r="L52" s="60" t="n">
        <v>210</v>
      </c>
      <c r="M52" s="54" t="str"/>
      <c r="N52" s="54" t="inlineStr">
        <is>
          <t>Matched to Munitorum Field Manual v2.3</t>
        </is>
      </c>
      <c r="O52" s="54" t="inlineStr">
        <is>
          <t>Uploaded PDF: Munitorum Field Manual v2.3 / March 2025, p.31</t>
        </is>
      </c>
    </row>
    <row r="53">
      <c r="A53" t="inlineStr">
        <is>
          <t>Space Marines</t>
        </is>
      </c>
      <c r="C53" t="inlineStr">
        <is>
          <t>Infantry / Other</t>
        </is>
      </c>
      <c r="D53" t="inlineStr">
        <is>
          <t>Mounted / Bike</t>
        </is>
      </c>
      <c r="E53" t="inlineStr">
        <is>
          <t>Outrider Squad</t>
        </is>
      </c>
      <c r="F53" t="inlineStr">
        <is>
          <t>3 models</t>
        </is>
      </c>
      <c r="G53" t="inlineStr">
        <is>
          <t>Mounted / Bike</t>
        </is>
      </c>
      <c r="L53" s="60" t="n">
        <v>80</v>
      </c>
      <c r="M53" s="54" t="inlineStr">
        <is>
          <t>Points options: 3 models = 80 pts; 6 models = 160 pts; Invader ATV + = 60 pts</t>
        </is>
      </c>
      <c r="N53" s="54" t="inlineStr">
        <is>
          <t>Matched to Munitorum Field Manual v2.3</t>
        </is>
      </c>
      <c r="O53" s="54" t="inlineStr">
        <is>
          <t>Uploaded PDF: Munitorum Field Manual v2.3 / March 2025, p.31</t>
        </is>
      </c>
    </row>
    <row r="54">
      <c r="A54" t="inlineStr">
        <is>
          <t>Space Marines</t>
        </is>
      </c>
      <c r="C54" t="inlineStr">
        <is>
          <t>Infantry / Other</t>
        </is>
      </c>
      <c r="D54" t="inlineStr">
        <is>
          <t>Infantry</t>
        </is>
      </c>
      <c r="E54" t="inlineStr">
        <is>
          <t>Pedro Kantor</t>
        </is>
      </c>
      <c r="F54" t="inlineStr">
        <is>
          <t>1 model</t>
        </is>
      </c>
      <c r="G54" t="inlineStr">
        <is>
          <t>Infantry</t>
        </is>
      </c>
      <c r="L54" s="60" t="n">
        <v>90</v>
      </c>
      <c r="M54" s="54" t="str"/>
      <c r="N54" s="54" t="inlineStr">
        <is>
          <t>Matched to Munitorum Field Manual v2.3</t>
        </is>
      </c>
      <c r="O54" s="54" t="inlineStr">
        <is>
          <t>Uploaded PDF: Munitorum Field Manual v2.3 / March 2025, p.32</t>
        </is>
      </c>
    </row>
    <row r="55">
      <c r="A55" t="inlineStr">
        <is>
          <t>Space Marines</t>
        </is>
      </c>
      <c r="C55" t="inlineStr">
        <is>
          <t>Vehicle / Support</t>
        </is>
      </c>
      <c r="D55" t="inlineStr">
        <is>
          <t>Vehicle</t>
        </is>
      </c>
      <c r="E55" t="inlineStr">
        <is>
          <t>Predator Annihilator</t>
        </is>
      </c>
      <c r="F55" t="inlineStr">
        <is>
          <t>1 model</t>
        </is>
      </c>
      <c r="G55" t="inlineStr">
        <is>
          <t>Vehicle</t>
        </is>
      </c>
      <c r="L55" s="60" t="n">
        <v>135</v>
      </c>
      <c r="M55" s="54" t="str"/>
      <c r="N55" s="54" t="inlineStr">
        <is>
          <t>Matched to Munitorum Field Manual v2.3</t>
        </is>
      </c>
      <c r="O55" s="54" t="inlineStr">
        <is>
          <t>Uploaded PDF: Munitorum Field Manual v2.3 / March 2025, p.32</t>
        </is>
      </c>
    </row>
    <row r="56">
      <c r="A56" t="inlineStr">
        <is>
          <t>Space Marines</t>
        </is>
      </c>
      <c r="C56" t="inlineStr">
        <is>
          <t>Vehicle / Support</t>
        </is>
      </c>
      <c r="D56" t="inlineStr">
        <is>
          <t>Vehicle</t>
        </is>
      </c>
      <c r="E56" t="inlineStr">
        <is>
          <t>Predator Destructor</t>
        </is>
      </c>
      <c r="F56" t="inlineStr">
        <is>
          <t>1 model</t>
        </is>
      </c>
      <c r="G56" t="inlineStr">
        <is>
          <t>Vehicle</t>
        </is>
      </c>
      <c r="L56" s="60" t="n">
        <v>140</v>
      </c>
      <c r="M56" s="54" t="str"/>
      <c r="N56" s="54" t="inlineStr">
        <is>
          <t>Matched to Munitorum Field Manual v2.3</t>
        </is>
      </c>
      <c r="O56" s="54" t="inlineStr">
        <is>
          <t>Uploaded PDF: Munitorum Field Manual v2.3 / March 2025, p.32</t>
        </is>
      </c>
    </row>
    <row r="57">
      <c r="A57" t="inlineStr">
        <is>
          <t>Space Marines</t>
        </is>
      </c>
      <c r="C57" t="inlineStr">
        <is>
          <t>Vehicle / Support</t>
        </is>
      </c>
      <c r="D57" t="inlineStr">
        <is>
          <t>Vehicle</t>
        </is>
      </c>
      <c r="E57" t="inlineStr">
        <is>
          <t>Razorback</t>
        </is>
      </c>
      <c r="F57" t="inlineStr">
        <is>
          <t>1 model</t>
        </is>
      </c>
      <c r="G57" t="inlineStr">
        <is>
          <t>Vehicle</t>
        </is>
      </c>
      <c r="L57" s="60" t="n">
        <v>95</v>
      </c>
      <c r="M57" s="54" t="str"/>
      <c r="N57" s="54" t="inlineStr">
        <is>
          <t>Matched to Munitorum Field Manual v2.3</t>
        </is>
      </c>
      <c r="O57" s="54" t="inlineStr">
        <is>
          <t>Uploaded PDF: Munitorum Field Manual v2.3 / March 2025, p.32</t>
        </is>
      </c>
    </row>
    <row r="58">
      <c r="A58" t="inlineStr">
        <is>
          <t>Space Marines</t>
        </is>
      </c>
      <c r="C58" t="inlineStr">
        <is>
          <t>Vehicle / Support</t>
        </is>
      </c>
      <c r="D58" t="inlineStr">
        <is>
          <t>Walker / Battlesuit</t>
        </is>
      </c>
      <c r="E58" t="inlineStr">
        <is>
          <t>Redemptor Dreadnought</t>
        </is>
      </c>
      <c r="F58" t="inlineStr">
        <is>
          <t>1 model</t>
        </is>
      </c>
      <c r="G58" t="inlineStr">
        <is>
          <t>Walker / Battlesuit</t>
        </is>
      </c>
      <c r="L58" s="60" t="n">
        <v>210</v>
      </c>
      <c r="M58" s="54" t="str"/>
      <c r="N58" s="54" t="inlineStr">
        <is>
          <t>Matched to Munitorum Field Manual v2.3</t>
        </is>
      </c>
      <c r="O58" s="54" t="inlineStr">
        <is>
          <t>Uploaded PDF: Munitorum Field Manual v2.3 / March 2025, p.32</t>
        </is>
      </c>
    </row>
    <row r="59">
      <c r="A59" t="inlineStr">
        <is>
          <t>Space Marines</t>
        </is>
      </c>
      <c r="C59" t="inlineStr">
        <is>
          <t>Infantry / Other</t>
        </is>
      </c>
      <c r="D59" t="inlineStr">
        <is>
          <t>Infantry</t>
        </is>
      </c>
      <c r="E59" t="inlineStr">
        <is>
          <t>Reiver Squad</t>
        </is>
      </c>
      <c r="F59" t="inlineStr">
        <is>
          <t>5 models</t>
        </is>
      </c>
      <c r="G59" t="inlineStr">
        <is>
          <t>Infantry</t>
        </is>
      </c>
      <c r="L59" s="60" t="n">
        <v>80</v>
      </c>
      <c r="M59" s="54" t="inlineStr">
        <is>
          <t>Points options: 5 models = 80 pts; 10 models = 160 pts</t>
        </is>
      </c>
      <c r="N59" s="54" t="inlineStr">
        <is>
          <t>Matched to Munitorum Field Manual v2.3</t>
        </is>
      </c>
      <c r="O59" s="54" t="inlineStr">
        <is>
          <t>Uploaded PDF: Munitorum Field Manual v2.3 / March 2025, p.32</t>
        </is>
      </c>
    </row>
    <row r="60">
      <c r="A60" t="inlineStr">
        <is>
          <t>Space Marines</t>
        </is>
      </c>
      <c r="C60" t="inlineStr">
        <is>
          <t>Vehicle / Support</t>
        </is>
      </c>
      <c r="D60" t="inlineStr">
        <is>
          <t>Vehicle</t>
        </is>
      </c>
      <c r="E60" t="inlineStr">
        <is>
          <t>Repulsor</t>
        </is>
      </c>
      <c r="F60" t="inlineStr">
        <is>
          <t>1 model</t>
        </is>
      </c>
      <c r="G60" t="inlineStr">
        <is>
          <t>Vehicle</t>
        </is>
      </c>
      <c r="L60" s="60" t="n">
        <v>180</v>
      </c>
      <c r="M60" s="54" t="str"/>
      <c r="N60" s="54" t="inlineStr">
        <is>
          <t>Matched to Munitorum Field Manual v2.3</t>
        </is>
      </c>
      <c r="O60" s="54" t="inlineStr">
        <is>
          <t>Uploaded PDF: Munitorum Field Manual v2.3 / March 2025, p.32</t>
        </is>
      </c>
    </row>
    <row r="61">
      <c r="A61" t="inlineStr">
        <is>
          <t>Space Marines</t>
        </is>
      </c>
      <c r="C61" t="inlineStr">
        <is>
          <t>Vehicle / Support</t>
        </is>
      </c>
      <c r="D61" t="inlineStr">
        <is>
          <t>Vehicle</t>
        </is>
      </c>
      <c r="E61" t="inlineStr">
        <is>
          <t>Repulsor Executioner</t>
        </is>
      </c>
      <c r="F61" t="inlineStr">
        <is>
          <t>1 model</t>
        </is>
      </c>
      <c r="G61" t="inlineStr">
        <is>
          <t>Vehicle</t>
        </is>
      </c>
      <c r="L61" s="60" t="n">
        <v>220</v>
      </c>
      <c r="M61" s="54" t="str"/>
      <c r="N61" s="54" t="inlineStr">
        <is>
          <t>Matched to Munitorum Field Manual v2.3</t>
        </is>
      </c>
      <c r="O61" s="54" t="inlineStr">
        <is>
          <t>Uploaded PDF: Munitorum Field Manual v2.3 / March 2025, p.32</t>
        </is>
      </c>
    </row>
    <row r="62">
      <c r="A62" t="inlineStr">
        <is>
          <t>Space Marines</t>
        </is>
      </c>
      <c r="C62" t="inlineStr">
        <is>
          <t>Vehicle / Support</t>
        </is>
      </c>
      <c r="D62" t="inlineStr">
        <is>
          <t>Vehicle</t>
        </is>
      </c>
      <c r="E62" t="inlineStr">
        <is>
          <t>Rhino</t>
        </is>
      </c>
      <c r="F62" t="inlineStr">
        <is>
          <t>1 model</t>
        </is>
      </c>
      <c r="G62" t="inlineStr">
        <is>
          <t>Vehicle</t>
        </is>
      </c>
      <c r="L62" s="60" t="n">
        <v>75</v>
      </c>
      <c r="M62" s="54" t="str"/>
      <c r="N62" s="54" t="inlineStr">
        <is>
          <t>Matched to Munitorum Field Manual v2.3</t>
        </is>
      </c>
      <c r="O62" s="54" t="inlineStr">
        <is>
          <t>Uploaded PDF: Munitorum Field Manual v2.3 / March 2025, p.32</t>
        </is>
      </c>
    </row>
    <row r="63">
      <c r="A63" t="inlineStr">
        <is>
          <t>Space Marines</t>
        </is>
      </c>
      <c r="C63" t="inlineStr">
        <is>
          <t>Infantry / Other</t>
        </is>
      </c>
      <c r="D63" t="inlineStr">
        <is>
          <t>Infantry</t>
        </is>
      </c>
      <c r="E63" t="inlineStr">
        <is>
          <t>Roboute Guilliman</t>
        </is>
      </c>
      <c r="F63" t="inlineStr">
        <is>
          <t>1 model</t>
        </is>
      </c>
      <c r="G63" t="inlineStr">
        <is>
          <t>Infantry, Epic Hero</t>
        </is>
      </c>
      <c r="L63" s="60" t="n">
        <v>345</v>
      </c>
      <c r="M63" s="54" t="str"/>
      <c r="N63" s="54" t="inlineStr">
        <is>
          <t>Matched to Munitorum Field Manual v2.3</t>
        </is>
      </c>
      <c r="O63" s="54" t="inlineStr">
        <is>
          <t>Uploaded PDF: Munitorum Field Manual v2.3 / March 2025, p.32</t>
        </is>
      </c>
    </row>
    <row r="64">
      <c r="A64" t="inlineStr">
        <is>
          <t>Space Marines</t>
        </is>
      </c>
      <c r="C64" t="inlineStr">
        <is>
          <t>Infantry / Other</t>
        </is>
      </c>
      <c r="D64" t="inlineStr">
        <is>
          <t>Infantry</t>
        </is>
      </c>
      <c r="E64" t="inlineStr">
        <is>
          <t>Scout Squad</t>
        </is>
      </c>
      <c r="F64" t="inlineStr">
        <is>
          <t>5 models</t>
        </is>
      </c>
      <c r="G64" t="inlineStr">
        <is>
          <t>Infantry</t>
        </is>
      </c>
      <c r="L64" s="60" t="n">
        <v>70</v>
      </c>
      <c r="M64" s="54" t="inlineStr">
        <is>
          <t>Points options: 5 models = 70 pts; 10 models = 140 pts</t>
        </is>
      </c>
      <c r="N64" s="54" t="inlineStr">
        <is>
          <t>Matched to Munitorum Field Manual v2.3</t>
        </is>
      </c>
      <c r="O64" s="54" t="inlineStr">
        <is>
          <t>Uploaded PDF: Munitorum Field Manual v2.3 / March 2025, p.32</t>
        </is>
      </c>
    </row>
    <row r="65">
      <c r="A65" t="inlineStr">
        <is>
          <t>Space Marines</t>
        </is>
      </c>
      <c r="C65" t="inlineStr">
        <is>
          <t>Infantry / Other</t>
        </is>
      </c>
      <c r="D65" t="inlineStr">
        <is>
          <t>Infantry</t>
        </is>
      </c>
      <c r="E65" t="inlineStr">
        <is>
          <t>Sternguard Veteran Squad</t>
        </is>
      </c>
      <c r="F65" t="inlineStr">
        <is>
          <t>5 models</t>
        </is>
      </c>
      <c r="G65" t="inlineStr">
        <is>
          <t>Infantry</t>
        </is>
      </c>
      <c r="L65" s="60" t="n">
        <v>100</v>
      </c>
      <c r="M65" s="54" t="inlineStr">
        <is>
          <t>Points options: 5 models = 100 pts; 10 models = 200 pts</t>
        </is>
      </c>
      <c r="N65" s="54" t="inlineStr">
        <is>
          <t>Matched to Munitorum Field Manual v2.3</t>
        </is>
      </c>
      <c r="O65" s="54" t="inlineStr">
        <is>
          <t>Uploaded PDF: Munitorum Field Manual v2.3 / March 2025, p.32</t>
        </is>
      </c>
    </row>
    <row r="66">
      <c r="A66" t="inlineStr">
        <is>
          <t>Space Marines</t>
        </is>
      </c>
      <c r="C66" t="inlineStr">
        <is>
          <t>Vehicle / Support</t>
        </is>
      </c>
      <c r="D66" t="inlineStr">
        <is>
          <t>Vehicle</t>
        </is>
      </c>
      <c r="E66" t="inlineStr">
        <is>
          <t>Storm Speeder Hailstrike</t>
        </is>
      </c>
      <c r="F66" t="inlineStr">
        <is>
          <t>1 model</t>
        </is>
      </c>
      <c r="G66" t="inlineStr">
        <is>
          <t>Vehicle</t>
        </is>
      </c>
      <c r="L66" s="60" t="n">
        <v>115</v>
      </c>
      <c r="M66" s="54" t="str"/>
      <c r="N66" s="54" t="inlineStr">
        <is>
          <t>Matched to Munitorum Field Manual v2.3</t>
        </is>
      </c>
      <c r="O66" s="54" t="inlineStr">
        <is>
          <t>Uploaded PDF: Munitorum Field Manual v2.3 / March 2025, p.32</t>
        </is>
      </c>
    </row>
    <row r="67">
      <c r="A67" t="inlineStr">
        <is>
          <t>Space Marines</t>
        </is>
      </c>
      <c r="C67" t="inlineStr">
        <is>
          <t>Vehicle / Support</t>
        </is>
      </c>
      <c r="D67" t="inlineStr">
        <is>
          <t>Vehicle</t>
        </is>
      </c>
      <c r="E67" t="inlineStr">
        <is>
          <t>Storm Speeder Hammerstrike</t>
        </is>
      </c>
      <c r="F67" t="inlineStr">
        <is>
          <t>1 model</t>
        </is>
      </c>
      <c r="G67" t="inlineStr">
        <is>
          <t>Vehicle</t>
        </is>
      </c>
      <c r="L67" s="60" t="n">
        <v>125</v>
      </c>
      <c r="M67" s="54" t="str"/>
      <c r="N67" s="54" t="inlineStr">
        <is>
          <t>Matched to Munitorum Field Manual v2.3</t>
        </is>
      </c>
      <c r="O67" s="54" t="inlineStr">
        <is>
          <t>Uploaded PDF: Munitorum Field Manual v2.3 / March 2025, p.32</t>
        </is>
      </c>
    </row>
    <row r="68">
      <c r="A68" t="inlineStr">
        <is>
          <t>Space Marines</t>
        </is>
      </c>
      <c r="C68" t="inlineStr">
        <is>
          <t>Vehicle / Support</t>
        </is>
      </c>
      <c r="D68" t="inlineStr">
        <is>
          <t>Vehicle</t>
        </is>
      </c>
      <c r="E68" t="inlineStr">
        <is>
          <t>Storm Speeder Thunderstrike</t>
        </is>
      </c>
      <c r="F68" t="inlineStr">
        <is>
          <t>1 model</t>
        </is>
      </c>
      <c r="G68" t="inlineStr">
        <is>
          <t>Vehicle</t>
        </is>
      </c>
      <c r="L68" s="60" t="n">
        <v>150</v>
      </c>
      <c r="M68" s="54" t="str"/>
      <c r="N68" s="54" t="inlineStr">
        <is>
          <t>Matched to Munitorum Field Manual v2.3</t>
        </is>
      </c>
      <c r="O68" s="54" t="inlineStr">
        <is>
          <t>Uploaded PDF: Munitorum Field Manual v2.3 / March 2025, p.32</t>
        </is>
      </c>
    </row>
    <row r="69">
      <c r="A69" t="inlineStr">
        <is>
          <t>Space Marines</t>
        </is>
      </c>
      <c r="C69" t="inlineStr">
        <is>
          <t>Vehicle / Support</t>
        </is>
      </c>
      <c r="D69" t="inlineStr">
        <is>
          <t>Aircraft</t>
        </is>
      </c>
      <c r="E69" t="inlineStr">
        <is>
          <t>Stormhawk Interceptor</t>
        </is>
      </c>
      <c r="F69" t="inlineStr">
        <is>
          <t>1 model</t>
        </is>
      </c>
      <c r="G69" t="inlineStr">
        <is>
          <t>Aircraft</t>
        </is>
      </c>
      <c r="L69" s="60" t="n">
        <v>155</v>
      </c>
      <c r="M69" s="54" t="str"/>
      <c r="N69" s="54" t="inlineStr">
        <is>
          <t>Matched to Munitorum Field Manual v2.3</t>
        </is>
      </c>
      <c r="O69" s="54" t="inlineStr">
        <is>
          <t>Uploaded PDF: Munitorum Field Manual v2.3 / March 2025, p.32</t>
        </is>
      </c>
    </row>
    <row r="70">
      <c r="A70" t="inlineStr">
        <is>
          <t>Space Marines</t>
        </is>
      </c>
      <c r="C70" t="inlineStr">
        <is>
          <t>Vehicle / Support</t>
        </is>
      </c>
      <c r="D70" t="inlineStr">
        <is>
          <t>Vehicle</t>
        </is>
      </c>
      <c r="E70" t="inlineStr">
        <is>
          <t>Stormraven Gunship</t>
        </is>
      </c>
      <c r="F70" t="inlineStr">
        <is>
          <t>1 model</t>
        </is>
      </c>
      <c r="G70" t="inlineStr">
        <is>
          <t>Vehicle</t>
        </is>
      </c>
      <c r="L70" s="60" t="n">
        <v>280</v>
      </c>
      <c r="M70" s="54" t="str"/>
      <c r="N70" s="54" t="inlineStr">
        <is>
          <t>Matched to Munitorum Field Manual v2.3</t>
        </is>
      </c>
      <c r="O70" s="54" t="inlineStr">
        <is>
          <t>Uploaded PDF: Munitorum Field Manual v2.3 / March 2025, p.32</t>
        </is>
      </c>
    </row>
    <row r="71">
      <c r="A71" t="inlineStr">
        <is>
          <t>Space Marines</t>
        </is>
      </c>
      <c r="C71" t="inlineStr">
        <is>
          <t>Vehicle / Support</t>
        </is>
      </c>
      <c r="D71" t="inlineStr">
        <is>
          <t>Vehicle</t>
        </is>
      </c>
      <c r="E71" t="inlineStr">
        <is>
          <t>Stormtalon Gunship</t>
        </is>
      </c>
      <c r="F71" t="inlineStr">
        <is>
          <t>1 model</t>
        </is>
      </c>
      <c r="G71" t="inlineStr">
        <is>
          <t>Vehicle</t>
        </is>
      </c>
      <c r="L71" s="60" t="n">
        <v>165</v>
      </c>
      <c r="M71" s="54" t="str"/>
      <c r="N71" s="54" t="inlineStr">
        <is>
          <t>Matched to Munitorum Field Manual v2.3</t>
        </is>
      </c>
      <c r="O71" s="54" t="inlineStr">
        <is>
          <t>Uploaded PDF: Munitorum Field Manual v2.3 / March 2025, p.32</t>
        </is>
      </c>
    </row>
    <row r="72">
      <c r="A72" t="inlineStr">
        <is>
          <t>Space Marines</t>
        </is>
      </c>
      <c r="C72" t="inlineStr">
        <is>
          <t>Infantry / Other</t>
        </is>
      </c>
      <c r="D72" t="inlineStr">
        <is>
          <t>Infantry</t>
        </is>
      </c>
      <c r="E72" t="inlineStr">
        <is>
          <t>Suppressor Squad</t>
        </is>
      </c>
      <c r="F72" t="inlineStr">
        <is>
          <t>3 models</t>
        </is>
      </c>
      <c r="G72" t="inlineStr">
        <is>
          <t>Infantry</t>
        </is>
      </c>
      <c r="L72" s="60" t="n">
        <v>75</v>
      </c>
      <c r="M72" s="54" t="str"/>
      <c r="N72" s="54" t="inlineStr">
        <is>
          <t>Matched to Munitorum Field Manual v2.3</t>
        </is>
      </c>
      <c r="O72" s="54" t="inlineStr">
        <is>
          <t>Uploaded PDF: Munitorum Field Manual v2.3 / March 2025, p.32</t>
        </is>
      </c>
    </row>
    <row r="73">
      <c r="A73" t="inlineStr">
        <is>
          <t>Space Marines</t>
        </is>
      </c>
      <c r="C73" t="inlineStr">
        <is>
          <t>Battleline / Core</t>
        </is>
      </c>
      <c r="D73" t="inlineStr">
        <is>
          <t>Infantry</t>
        </is>
      </c>
      <c r="E73" t="inlineStr">
        <is>
          <t>Tactical Squad</t>
        </is>
      </c>
      <c r="F73" t="inlineStr">
        <is>
          <t>10 models</t>
        </is>
      </c>
      <c r="G73" t="inlineStr">
        <is>
          <t>Infantry</t>
        </is>
      </c>
      <c r="L73" s="60" t="n">
        <v>140</v>
      </c>
      <c r="M73" s="54" t="str"/>
      <c r="N73" s="54" t="inlineStr">
        <is>
          <t>Matched to Munitorum Field Manual v2.3</t>
        </is>
      </c>
      <c r="O73" s="54" t="inlineStr">
        <is>
          <t>Uploaded PDF: Munitorum Field Manual v2.3 / March 2025, p.32</t>
        </is>
      </c>
    </row>
    <row r="74">
      <c r="A74" t="inlineStr">
        <is>
          <t>Space Marines</t>
        </is>
      </c>
      <c r="C74" t="inlineStr">
        <is>
          <t>Character</t>
        </is>
      </c>
      <c r="D74" t="inlineStr">
        <is>
          <t>Character</t>
        </is>
      </c>
      <c r="E74" t="inlineStr">
        <is>
          <t>Techmarine</t>
        </is>
      </c>
      <c r="F74" t="inlineStr">
        <is>
          <t>1 model</t>
        </is>
      </c>
      <c r="G74" t="inlineStr">
        <is>
          <t>Character</t>
        </is>
      </c>
      <c r="L74" s="60" t="n">
        <v>55</v>
      </c>
      <c r="M74" s="54" t="str"/>
      <c r="N74" s="54" t="inlineStr">
        <is>
          <t>Matched to Munitorum Field Manual v2.3</t>
        </is>
      </c>
      <c r="O74" s="54" t="inlineStr">
        <is>
          <t>Uploaded PDF: Munitorum Field Manual v2.3 / March 2025, p.32</t>
        </is>
      </c>
    </row>
    <row r="75">
      <c r="A75" t="inlineStr">
        <is>
          <t>Space Marines</t>
        </is>
      </c>
      <c r="C75" t="inlineStr">
        <is>
          <t>Infantry / Other</t>
        </is>
      </c>
      <c r="D75" t="inlineStr">
        <is>
          <t>Infantry</t>
        </is>
      </c>
      <c r="E75" t="inlineStr">
        <is>
          <t>Terminator Assault Squad</t>
        </is>
      </c>
      <c r="F75" t="inlineStr">
        <is>
          <t>5 models</t>
        </is>
      </c>
      <c r="G75" t="inlineStr">
        <is>
          <t>Infantry</t>
        </is>
      </c>
      <c r="L75" s="60" t="n">
        <v>180</v>
      </c>
      <c r="M75" s="54" t="inlineStr">
        <is>
          <t>Points options: 5 models = 180 pts; 10 models = 360 pts</t>
        </is>
      </c>
      <c r="N75" s="54" t="inlineStr">
        <is>
          <t>Matched to Munitorum Field Manual v2.3</t>
        </is>
      </c>
      <c r="O75" s="54" t="inlineStr">
        <is>
          <t>Uploaded PDF: Munitorum Field Manual v2.3 / March 2025, p.32</t>
        </is>
      </c>
    </row>
    <row r="76">
      <c r="A76" t="inlineStr">
        <is>
          <t>Space Marines</t>
        </is>
      </c>
      <c r="C76" t="inlineStr">
        <is>
          <t>Infantry / Other</t>
        </is>
      </c>
      <c r="D76" t="inlineStr">
        <is>
          <t>Infantry</t>
        </is>
      </c>
      <c r="E76" t="inlineStr">
        <is>
          <t>Terminator Squad</t>
        </is>
      </c>
      <c r="F76" t="inlineStr">
        <is>
          <t>5 models</t>
        </is>
      </c>
      <c r="G76" t="inlineStr">
        <is>
          <t>Infantry</t>
        </is>
      </c>
      <c r="L76" s="60" t="n">
        <v>170</v>
      </c>
      <c r="M76" s="54" t="inlineStr">
        <is>
          <t>Points options: 5 models = 170 pts; 10 models = 340 pts</t>
        </is>
      </c>
      <c r="N76" s="54" t="inlineStr">
        <is>
          <t>Matched to Munitorum Field Manual v2.3</t>
        </is>
      </c>
      <c r="O76" s="54" t="inlineStr">
        <is>
          <t>Uploaded PDF: Munitorum Field Manual v2.3 / March 2025, p.32</t>
        </is>
      </c>
    </row>
    <row r="77">
      <c r="A77" t="inlineStr">
        <is>
          <t>Space Marines</t>
        </is>
      </c>
      <c r="C77" t="inlineStr">
        <is>
          <t>Infantry / Other</t>
        </is>
      </c>
      <c r="D77" t="inlineStr">
        <is>
          <t>Infantry</t>
        </is>
      </c>
      <c r="E77" t="inlineStr">
        <is>
          <t>Tor Garadon</t>
        </is>
      </c>
      <c r="F77" t="inlineStr">
        <is>
          <t>1 model</t>
        </is>
      </c>
      <c r="G77" t="inlineStr">
        <is>
          <t>Infantry</t>
        </is>
      </c>
      <c r="L77" s="60" t="n">
        <v>90</v>
      </c>
      <c r="M77" s="54" t="str"/>
      <c r="N77" s="54" t="inlineStr">
        <is>
          <t>Matched to Munitorum Field Manual v2.3</t>
        </is>
      </c>
      <c r="O77" s="54" t="inlineStr">
        <is>
          <t>Uploaded PDF: Munitorum Field Manual v2.3 / March 2025, p.32</t>
        </is>
      </c>
    </row>
    <row r="78">
      <c r="A78" t="inlineStr">
        <is>
          <t>Space Marines</t>
        </is>
      </c>
      <c r="C78" t="inlineStr">
        <is>
          <t>Infantry / Other</t>
        </is>
      </c>
      <c r="D78" t="inlineStr">
        <is>
          <t>Infantry</t>
        </is>
      </c>
      <c r="E78" t="inlineStr">
        <is>
          <t>Uriel Ventris</t>
        </is>
      </c>
      <c r="F78" t="inlineStr">
        <is>
          <t>1 model</t>
        </is>
      </c>
      <c r="G78" t="inlineStr">
        <is>
          <t>Infantry</t>
        </is>
      </c>
      <c r="L78" s="60" t="n">
        <v>95</v>
      </c>
      <c r="M78" s="54" t="str"/>
      <c r="N78" s="54" t="inlineStr">
        <is>
          <t>Matched to Munitorum Field Manual v2.3</t>
        </is>
      </c>
      <c r="O78" s="54" t="inlineStr">
        <is>
          <t>Uploaded PDF: Munitorum Field Manual v2.3 / March 2025, p.32</t>
        </is>
      </c>
    </row>
    <row r="79">
      <c r="A79" t="inlineStr">
        <is>
          <t>Space Marines</t>
        </is>
      </c>
      <c r="C79" t="inlineStr">
        <is>
          <t>Infantry / Other</t>
        </is>
      </c>
      <c r="D79" t="inlineStr">
        <is>
          <t>Infantry</t>
        </is>
      </c>
      <c r="E79" t="inlineStr">
        <is>
          <t>Vanguard Veteran Squad with Jump Packs</t>
        </is>
      </c>
      <c r="F79" t="inlineStr">
        <is>
          <t>5 models</t>
        </is>
      </c>
      <c r="G79" t="inlineStr">
        <is>
          <t>Infantry</t>
        </is>
      </c>
      <c r="L79" s="60" t="n">
        <v>110</v>
      </c>
      <c r="M79" s="54" t="inlineStr">
        <is>
          <t>Points options: 5 models = 110 pts; 10 models = 220 pts</t>
        </is>
      </c>
      <c r="N79" s="54" t="inlineStr">
        <is>
          <t>Matched to Munitorum Field Manual v2.3</t>
        </is>
      </c>
      <c r="O79" s="54" t="inlineStr">
        <is>
          <t>Uploaded PDF: Munitorum Field Manual v2.3 / March 2025, p.32</t>
        </is>
      </c>
    </row>
    <row r="80">
      <c r="A80" t="inlineStr">
        <is>
          <t>Space Marines</t>
        </is>
      </c>
      <c r="C80" t="inlineStr">
        <is>
          <t>Vehicle / Support</t>
        </is>
      </c>
      <c r="D80" t="inlineStr">
        <is>
          <t>Vehicle</t>
        </is>
      </c>
      <c r="E80" t="inlineStr">
        <is>
          <t>Vindicator</t>
        </is>
      </c>
      <c r="F80" t="inlineStr">
        <is>
          <t>1 model</t>
        </is>
      </c>
      <c r="G80" t="inlineStr">
        <is>
          <t>Vehicle</t>
        </is>
      </c>
      <c r="L80" s="60" t="n">
        <v>185</v>
      </c>
      <c r="M80" s="54" t="str"/>
      <c r="N80" s="54" t="inlineStr">
        <is>
          <t>Matched to Munitorum Field Manual v2.3</t>
        </is>
      </c>
      <c r="O80" s="54" t="inlineStr">
        <is>
          <t>Uploaded PDF: Munitorum Field Manual v2.3 / March 2025, p.32</t>
        </is>
      </c>
    </row>
    <row r="81">
      <c r="A81" t="inlineStr">
        <is>
          <t>Space Marines</t>
        </is>
      </c>
      <c r="C81" t="inlineStr">
        <is>
          <t>Vehicle / Support</t>
        </is>
      </c>
      <c r="D81" t="inlineStr">
        <is>
          <t>Vehicle</t>
        </is>
      </c>
      <c r="E81" t="inlineStr">
        <is>
          <t>Whirlwind</t>
        </is>
      </c>
      <c r="F81" t="inlineStr">
        <is>
          <t>1 model</t>
        </is>
      </c>
      <c r="G81" t="inlineStr">
        <is>
          <t>Vehicle</t>
        </is>
      </c>
      <c r="L81" s="60" t="n">
        <v>190</v>
      </c>
      <c r="M81" s="54" t="str"/>
      <c r="N81" s="54" t="inlineStr">
        <is>
          <t>Matched to Munitorum Field Manual v2.3</t>
        </is>
      </c>
      <c r="O81" s="54" t="inlineStr">
        <is>
          <t>Uploaded PDF: Munitorum Field Manual v2.3 / March 2025, p.32</t>
        </is>
      </c>
    </row>
    <row r="82">
      <c r="A82" t="inlineStr">
        <is>
          <t>Raven Guard</t>
        </is>
      </c>
      <c r="B82" t="inlineStr">
        <is>
          <t>Raven Guard</t>
        </is>
      </c>
      <c r="C82" t="inlineStr">
        <is>
          <t>Infantry / Other</t>
        </is>
      </c>
      <c r="D82" t="inlineStr">
        <is>
          <t>Infantry</t>
        </is>
      </c>
      <c r="E82" t="inlineStr">
        <is>
          <t>Aethon Shaan</t>
        </is>
      </c>
      <c r="F82" t="inlineStr">
        <is>
          <t>1 model</t>
        </is>
      </c>
      <c r="G82" t="inlineStr">
        <is>
          <t>Infantry</t>
        </is>
      </c>
      <c r="L82" t="n">
        <v>100</v>
      </c>
      <c r="N82" t="inlineStr">
        <is>
          <t>Added from current Munitorum Field Manual v4.1 (non-Legends)</t>
        </is>
      </c>
      <c r="O82" t="inlineStr">
        <is>
          <t>https://www.warhammer-community.com/en-gb/downloads/warhammer-40000/</t>
        </is>
      </c>
    </row>
    <row r="83">
      <c r="A83" t="inlineStr">
        <is>
          <t>Space Marines</t>
        </is>
      </c>
      <c r="B83" t="inlineStr">
        <is>
          <t>Space Marines</t>
        </is>
      </c>
      <c r="C83" t="inlineStr">
        <is>
          <t>Character</t>
        </is>
      </c>
      <c r="D83" t="inlineStr">
        <is>
          <t>Character</t>
        </is>
      </c>
      <c r="E83" t="inlineStr">
        <is>
          <t>Ancient In Terminator Armour</t>
        </is>
      </c>
      <c r="F83" t="inlineStr">
        <is>
          <t>1 model</t>
        </is>
      </c>
      <c r="G83" t="inlineStr">
        <is>
          <t>Character</t>
        </is>
      </c>
      <c r="L83" t="n">
        <v>65</v>
      </c>
      <c r="N83" t="inlineStr">
        <is>
          <t>Added from current Munitorum Field Manual v4.1 (non-Legends)</t>
        </is>
      </c>
      <c r="O83" t="inlineStr">
        <is>
          <t>https://www.warhammer-community.com/en-gb/downloads/warhammer-40000/</t>
        </is>
      </c>
    </row>
    <row r="84">
      <c r="A84" t="inlineStr">
        <is>
          <t>Space Marines</t>
        </is>
      </c>
      <c r="B84" t="inlineStr">
        <is>
          <t>Space Marines</t>
        </is>
      </c>
      <c r="C84" t="inlineStr">
        <is>
          <t>Infantry / Other</t>
        </is>
      </c>
      <c r="D84" t="inlineStr">
        <is>
          <t>Infantry</t>
        </is>
      </c>
      <c r="E84" t="inlineStr">
        <is>
          <t>Astraeus</t>
        </is>
      </c>
      <c r="F84" t="inlineStr">
        <is>
          <t>1 model</t>
        </is>
      </c>
      <c r="G84" t="inlineStr">
        <is>
          <t>Infantry</t>
        </is>
      </c>
      <c r="L84" t="n">
        <v>525</v>
      </c>
      <c r="M84" t="inlineStr">
        <is>
          <t>Your 1st Unit Costs: 1 models = 525 pts | Your 2nd + Unit Costs: 1 models = 575 pts</t>
        </is>
      </c>
      <c r="N84" t="inlineStr">
        <is>
          <t>Added from current Munitorum Field Manual v4.1 (non-Legends)</t>
        </is>
      </c>
      <c r="O84" t="inlineStr">
        <is>
          <t>https://www.warhammer-community.com/en-gb/downloads/warhammer-40000/</t>
        </is>
      </c>
    </row>
    <row r="85">
      <c r="A85" t="inlineStr">
        <is>
          <t>Iron Hands</t>
        </is>
      </c>
      <c r="B85" t="inlineStr">
        <is>
          <t>Iron Hands</t>
        </is>
      </c>
      <c r="C85" t="inlineStr">
        <is>
          <t>Character</t>
        </is>
      </c>
      <c r="D85" t="inlineStr">
        <is>
          <t>Character</t>
        </is>
      </c>
      <c r="E85" t="inlineStr">
        <is>
          <t>Caanok Var</t>
        </is>
      </c>
      <c r="F85" t="inlineStr">
        <is>
          <t>1 model</t>
        </is>
      </c>
      <c r="G85" t="inlineStr">
        <is>
          <t>Character</t>
        </is>
      </c>
      <c r="L85" t="n">
        <v>90</v>
      </c>
      <c r="N85" t="inlineStr">
        <is>
          <t>Added from current Munitorum Field Manual v4.1 (non-Legends)</t>
        </is>
      </c>
      <c r="O85" t="inlineStr">
        <is>
          <t>https://www.warhammer-community.com/en-gb/downloads/warhammer-40000/</t>
        </is>
      </c>
    </row>
    <row r="86">
      <c r="A86" t="inlineStr">
        <is>
          <t>Ultramarines</t>
        </is>
      </c>
      <c r="B86" t="inlineStr">
        <is>
          <t>Ultramarines</t>
        </is>
      </c>
      <c r="C86" t="inlineStr">
        <is>
          <t>Character</t>
        </is>
      </c>
      <c r="D86" t="inlineStr">
        <is>
          <t>Character</t>
        </is>
      </c>
      <c r="E86" t="inlineStr">
        <is>
          <t>Captain Titus</t>
        </is>
      </c>
      <c r="F86" t="inlineStr">
        <is>
          <t>1 model</t>
        </is>
      </c>
      <c r="G86" t="inlineStr">
        <is>
          <t>Character</t>
        </is>
      </c>
      <c r="L86" t="n">
        <v>90</v>
      </c>
      <c r="N86" t="inlineStr">
        <is>
          <t>Added from current Munitorum Field Manual v4.1 (non-Legends)</t>
        </is>
      </c>
      <c r="O86" t="inlineStr">
        <is>
          <t>https://www.warhammer-community.com/en-gb/downloads/warhammer-40000/</t>
        </is>
      </c>
    </row>
    <row r="87">
      <c r="A87" t="inlineStr">
        <is>
          <t>Space Marines</t>
        </is>
      </c>
      <c r="B87" t="inlineStr">
        <is>
          <t>Space Marines</t>
        </is>
      </c>
      <c r="C87" t="inlineStr">
        <is>
          <t>Character</t>
        </is>
      </c>
      <c r="D87" t="inlineStr">
        <is>
          <t>Character</t>
        </is>
      </c>
      <c r="E87" t="inlineStr">
        <is>
          <t>Captain With Jump Pack</t>
        </is>
      </c>
      <c r="F87" t="inlineStr">
        <is>
          <t>1 model</t>
        </is>
      </c>
      <c r="G87" t="inlineStr">
        <is>
          <t>Character</t>
        </is>
      </c>
      <c r="L87" t="n">
        <v>75</v>
      </c>
      <c r="N87" t="inlineStr">
        <is>
          <t>Added from current Munitorum Field Manual v4.1 (non-Legends)</t>
        </is>
      </c>
      <c r="O87" t="inlineStr">
        <is>
          <t>https://www.warhammer-community.com/en-gb/downloads/warhammer-40000/</t>
        </is>
      </c>
    </row>
    <row r="88">
      <c r="A88" t="inlineStr">
        <is>
          <t>Ultramarines</t>
        </is>
      </c>
      <c r="B88" t="inlineStr">
        <is>
          <t>Ultramarines</t>
        </is>
      </c>
      <c r="C88" t="inlineStr">
        <is>
          <t>Character</t>
        </is>
      </c>
      <c r="D88" t="inlineStr">
        <is>
          <t>Character</t>
        </is>
      </c>
      <c r="E88" t="inlineStr">
        <is>
          <t>Cato Sicarius</t>
        </is>
      </c>
      <c r="F88" t="inlineStr">
        <is>
          <t>1 model</t>
        </is>
      </c>
      <c r="G88" t="inlineStr">
        <is>
          <t>Character</t>
        </is>
      </c>
      <c r="L88" t="n">
        <v>95</v>
      </c>
      <c r="N88" t="inlineStr">
        <is>
          <t>Added from current Munitorum Field Manual v4.1 (non-Legends)</t>
        </is>
      </c>
      <c r="O88" t="inlineStr">
        <is>
          <t>https://www.warhammer-community.com/en-gb/downloads/warhammer-40000/</t>
        </is>
      </c>
    </row>
    <row r="89">
      <c r="A89" t="inlineStr">
        <is>
          <t>Space Marines</t>
        </is>
      </c>
      <c r="B89" t="inlineStr">
        <is>
          <t>Space Marines</t>
        </is>
      </c>
      <c r="C89" t="inlineStr">
        <is>
          <t>Infantry / Other</t>
        </is>
      </c>
      <c r="D89" t="inlineStr">
        <is>
          <t>Infantry</t>
        </is>
      </c>
      <c r="E89" t="inlineStr">
        <is>
          <t>Centurion Assault Squad</t>
        </is>
      </c>
      <c r="F89" t="inlineStr">
        <is>
          <t>3 models</t>
        </is>
      </c>
      <c r="G89" t="inlineStr">
        <is>
          <t>Infantry</t>
        </is>
      </c>
      <c r="L89" t="n">
        <v>150</v>
      </c>
      <c r="N89" t="inlineStr">
        <is>
          <t>Added from current Munitorum Field Manual v4.1 (non-Legends)</t>
        </is>
      </c>
      <c r="O89" t="inlineStr">
        <is>
          <t>https://www.warhammer-community.com/en-gb/downloads/warhammer-40000/</t>
        </is>
      </c>
    </row>
    <row r="90">
      <c r="A90" t="inlineStr">
        <is>
          <t>Space Marines</t>
        </is>
      </c>
      <c r="B90" t="inlineStr">
        <is>
          <t>Space Marines</t>
        </is>
      </c>
      <c r="C90" t="inlineStr">
        <is>
          <t>Infantry / Other</t>
        </is>
      </c>
      <c r="D90" t="inlineStr">
        <is>
          <t>Infantry</t>
        </is>
      </c>
      <c r="E90" t="inlineStr">
        <is>
          <t>Centurion Devastator Squad</t>
        </is>
      </c>
      <c r="F90" t="inlineStr">
        <is>
          <t>3 models</t>
        </is>
      </c>
      <c r="G90" t="inlineStr">
        <is>
          <t>Infantry</t>
        </is>
      </c>
      <c r="L90" t="n">
        <v>175</v>
      </c>
      <c r="N90" t="inlineStr">
        <is>
          <t>Added from current Munitorum Field Manual v4.1 (non-Legends)</t>
        </is>
      </c>
      <c r="O90" t="inlineStr">
        <is>
          <t>https://www.warhammer-community.com/en-gb/downloads/warhammer-40000/</t>
        </is>
      </c>
    </row>
    <row r="91">
      <c r="A91" t="inlineStr">
        <is>
          <t>Space Marines</t>
        </is>
      </c>
      <c r="B91" t="inlineStr">
        <is>
          <t>Space Marines</t>
        </is>
      </c>
      <c r="C91" t="inlineStr">
        <is>
          <t>Character</t>
        </is>
      </c>
      <c r="D91" t="inlineStr">
        <is>
          <t>Character</t>
        </is>
      </c>
      <c r="E91" t="inlineStr">
        <is>
          <t>Chaplain With Jump Pack</t>
        </is>
      </c>
      <c r="F91" t="inlineStr">
        <is>
          <t>1 model</t>
        </is>
      </c>
      <c r="G91" t="inlineStr">
        <is>
          <t>Character</t>
        </is>
      </c>
      <c r="L91" t="n">
        <v>75</v>
      </c>
      <c r="N91" t="inlineStr">
        <is>
          <t>Added from current Munitorum Field Manual v4.1 (non-Legends)</t>
        </is>
      </c>
      <c r="O91" t="inlineStr">
        <is>
          <t>https://www.warhammer-community.com/en-gb/downloads/warhammer-40000/</t>
        </is>
      </c>
    </row>
    <row r="92">
      <c r="A92" t="inlineStr">
        <is>
          <t>Ultramarines</t>
        </is>
      </c>
      <c r="B92" t="inlineStr">
        <is>
          <t>Ultramarines</t>
        </is>
      </c>
      <c r="C92" t="inlineStr">
        <is>
          <t>Character</t>
        </is>
      </c>
      <c r="D92" t="inlineStr">
        <is>
          <t>Character</t>
        </is>
      </c>
      <c r="E92" t="inlineStr">
        <is>
          <t>Chief Librarian Tigurius</t>
        </is>
      </c>
      <c r="F92" t="inlineStr">
        <is>
          <t>1 model</t>
        </is>
      </c>
      <c r="G92" t="inlineStr">
        <is>
          <t>Character</t>
        </is>
      </c>
      <c r="L92" t="n">
        <v>95</v>
      </c>
      <c r="N92" t="inlineStr">
        <is>
          <t>Added from current Munitorum Field Manual v4.1 (non-Legends)</t>
        </is>
      </c>
      <c r="O92" t="inlineStr">
        <is>
          <t>https://www.warhammer-community.com/en-gb/downloads/warhammer-40000/</t>
        </is>
      </c>
    </row>
    <row r="93">
      <c r="A93" t="inlineStr">
        <is>
          <t>Space Marines</t>
        </is>
      </c>
      <c r="B93" t="inlineStr">
        <is>
          <t>Space Marines</t>
        </is>
      </c>
      <c r="C93" t="inlineStr">
        <is>
          <t>Vehicle / Support</t>
        </is>
      </c>
      <c r="D93" t="inlineStr">
        <is>
          <t>Vehicle</t>
        </is>
      </c>
      <c r="E93" t="inlineStr">
        <is>
          <t>Dreadnought</t>
        </is>
      </c>
      <c r="F93" t="inlineStr">
        <is>
          <t>1 model</t>
        </is>
      </c>
      <c r="G93" t="inlineStr">
        <is>
          <t>Vehicle</t>
        </is>
      </c>
      <c r="L93" t="n">
        <v>135</v>
      </c>
      <c r="N93" t="inlineStr">
        <is>
          <t>Added from current Munitorum Field Manual v4.1 (non-Legends)</t>
        </is>
      </c>
      <c r="O93" t="inlineStr">
        <is>
          <t>https://www.warhammer-community.com/en-gb/downloads/warhammer-40000/</t>
        </is>
      </c>
    </row>
    <row r="94">
      <c r="A94" t="inlineStr">
        <is>
          <t>Space Marines</t>
        </is>
      </c>
      <c r="B94" t="inlineStr">
        <is>
          <t>Space Marines</t>
        </is>
      </c>
      <c r="C94" t="inlineStr">
        <is>
          <t>Infantry / Other</t>
        </is>
      </c>
      <c r="D94" t="inlineStr">
        <is>
          <t>Infantry</t>
        </is>
      </c>
      <c r="E94" t="inlineStr">
        <is>
          <t>Drop Pod</t>
        </is>
      </c>
      <c r="F94" t="inlineStr">
        <is>
          <t>1 model</t>
        </is>
      </c>
      <c r="G94" t="inlineStr">
        <is>
          <t>Infantry</t>
        </is>
      </c>
      <c r="L94" t="n">
        <v>70</v>
      </c>
      <c r="N94" t="inlineStr">
        <is>
          <t>Added from current Munitorum Field Manual v4.1 (non-Legends)</t>
        </is>
      </c>
      <c r="O94" t="inlineStr">
        <is>
          <t>https://www.warhammer-community.com/en-gb/downloads/warhammer-40000/</t>
        </is>
      </c>
    </row>
    <row r="95">
      <c r="A95" t="inlineStr">
        <is>
          <t>Space Marines</t>
        </is>
      </c>
      <c r="B95" t="inlineStr">
        <is>
          <t>Space Marines</t>
        </is>
      </c>
      <c r="C95" t="inlineStr">
        <is>
          <t>Infantry / Other</t>
        </is>
      </c>
      <c r="D95" t="inlineStr">
        <is>
          <t>Infantry</t>
        </is>
      </c>
      <c r="E95" t="inlineStr">
        <is>
          <t>Eradicator Squad With Heavy Bolters</t>
        </is>
      </c>
      <c r="F95" t="inlineStr">
        <is>
          <t>3 models</t>
        </is>
      </c>
      <c r="G95" t="inlineStr">
        <is>
          <t>Infantry</t>
        </is>
      </c>
      <c r="L95" t="n">
        <v>70</v>
      </c>
      <c r="M95" t="inlineStr">
        <is>
          <t>Your 1st To 2nd Units Cost: 3 models = 70 pts | Your 3rd + Unit Costs: 3 models = 80 pts</t>
        </is>
      </c>
      <c r="N95" t="inlineStr">
        <is>
          <t>Added from current Munitorum Field Manual v4.1 (non-Legends)</t>
        </is>
      </c>
      <c r="O95" t="inlineStr">
        <is>
          <t>https://www.warhammer-community.com/en-gb/downloads/warhammer-40000/</t>
        </is>
      </c>
    </row>
    <row r="96">
      <c r="A96" t="inlineStr">
        <is>
          <t>Space Marines</t>
        </is>
      </c>
      <c r="B96" t="inlineStr">
        <is>
          <t>Space Marines</t>
        </is>
      </c>
      <c r="C96" t="inlineStr">
        <is>
          <t>Infantry / Other</t>
        </is>
      </c>
      <c r="D96" t="inlineStr">
        <is>
          <t>Infantry</t>
        </is>
      </c>
      <c r="E96" t="inlineStr">
        <is>
          <t>Firestrike Servo-Turrets</t>
        </is>
      </c>
      <c r="F96" t="inlineStr">
        <is>
          <t>1 model</t>
        </is>
      </c>
      <c r="G96" t="inlineStr">
        <is>
          <t>Infantry</t>
        </is>
      </c>
      <c r="L96" t="n">
        <v>75</v>
      </c>
      <c r="N96" t="inlineStr">
        <is>
          <t>Added from current Munitorum Field Manual v4.1 (non-Legends)</t>
        </is>
      </c>
      <c r="O96" t="inlineStr">
        <is>
          <t>https://www.warhammer-community.com/en-gb/downloads/warhammer-40000/</t>
        </is>
      </c>
    </row>
    <row r="97">
      <c r="A97" t="inlineStr">
        <is>
          <t>Space Marines</t>
        </is>
      </c>
      <c r="B97" t="inlineStr">
        <is>
          <t>Space Marines</t>
        </is>
      </c>
      <c r="C97" t="inlineStr">
        <is>
          <t>Infantry / Other</t>
        </is>
      </c>
      <c r="D97" t="inlineStr">
        <is>
          <t>Infantry</t>
        </is>
      </c>
      <c r="E97" t="inlineStr">
        <is>
          <t>Intercessor Squad</t>
        </is>
      </c>
      <c r="F97" t="inlineStr">
        <is>
          <t>5 models</t>
        </is>
      </c>
      <c r="G97" t="inlineStr">
        <is>
          <t>Infantry</t>
        </is>
      </c>
      <c r="L97" t="n">
        <v>80</v>
      </c>
      <c r="N97" t="inlineStr">
        <is>
          <t>Added from current Munitorum Field Manual v4.1 (non-Legends)</t>
        </is>
      </c>
      <c r="O97" t="inlineStr">
        <is>
          <t>https://www.warhammer-community.com/en-gb/downloads/warhammer-40000/</t>
        </is>
      </c>
    </row>
    <row r="98">
      <c r="A98" t="inlineStr">
        <is>
          <t>Iron Hands</t>
        </is>
      </c>
      <c r="B98" t="inlineStr">
        <is>
          <t>Iron Hands</t>
        </is>
      </c>
      <c r="C98" t="inlineStr">
        <is>
          <t>Character</t>
        </is>
      </c>
      <c r="D98" t="inlineStr">
        <is>
          <t>Character</t>
        </is>
      </c>
      <c r="E98" t="inlineStr">
        <is>
          <t>Iron Father Feirros</t>
        </is>
      </c>
      <c r="F98" t="inlineStr">
        <is>
          <t>1 model</t>
        </is>
      </c>
      <c r="G98" t="inlineStr">
        <is>
          <t>Character</t>
        </is>
      </c>
      <c r="L98" t="n">
        <v>85</v>
      </c>
      <c r="N98" t="inlineStr">
        <is>
          <t>Added from current Munitorum Field Manual v4.1 (non-Legends)</t>
        </is>
      </c>
      <c r="O98" t="inlineStr">
        <is>
          <t>https://www.warhammer-community.com/en-gb/downloads/warhammer-40000/</t>
        </is>
      </c>
    </row>
    <row r="99">
      <c r="A99" t="inlineStr">
        <is>
          <t>Space Marines</t>
        </is>
      </c>
      <c r="B99" t="inlineStr">
        <is>
          <t>Space Marines</t>
        </is>
      </c>
      <c r="C99" t="inlineStr">
        <is>
          <t>Infantry / Other</t>
        </is>
      </c>
      <c r="D99" t="inlineStr">
        <is>
          <t>Infantry</t>
        </is>
      </c>
      <c r="E99" t="inlineStr">
        <is>
          <t>Land Speeder</t>
        </is>
      </c>
      <c r="F99" t="inlineStr">
        <is>
          <t>1 model</t>
        </is>
      </c>
      <c r="G99" t="inlineStr">
        <is>
          <t>Infantry</t>
        </is>
      </c>
      <c r="L99" t="n">
        <v>95</v>
      </c>
      <c r="M99" t="inlineStr">
        <is>
          <t>Your 1st To 2nd Units Cost: 1 models = 95 pts | Your 3rd + Unit Costs: 1 models = 105 pts</t>
        </is>
      </c>
      <c r="N99" t="inlineStr">
        <is>
          <t>Added from current Munitorum Field Manual v4.1 (non-Legends)</t>
        </is>
      </c>
      <c r="O99" t="inlineStr">
        <is>
          <t>https://www.warhammer-community.com/en-gb/downloads/warhammer-40000/</t>
        </is>
      </c>
    </row>
    <row r="100">
      <c r="A100" t="inlineStr">
        <is>
          <t>Space Marines</t>
        </is>
      </c>
      <c r="B100" t="inlineStr">
        <is>
          <t>Space Marines</t>
        </is>
      </c>
      <c r="C100" t="inlineStr">
        <is>
          <t>Character</t>
        </is>
      </c>
      <c r="D100" t="inlineStr">
        <is>
          <t>Character</t>
        </is>
      </c>
      <c r="E100" t="inlineStr">
        <is>
          <t>Lieutenant In Reiver Armour</t>
        </is>
      </c>
      <c r="F100" t="inlineStr">
        <is>
          <t>1 model</t>
        </is>
      </c>
      <c r="G100" t="inlineStr">
        <is>
          <t>Character</t>
        </is>
      </c>
      <c r="L100" t="n">
        <v>45</v>
      </c>
      <c r="N100" t="inlineStr">
        <is>
          <t>Added from current Munitorum Field Manual v4.1 (non-Legends)</t>
        </is>
      </c>
      <c r="O100" t="inlineStr">
        <is>
          <t>https://www.warhammer-community.com/en-gb/downloads/warhammer-40000/</t>
        </is>
      </c>
    </row>
    <row r="101">
      <c r="A101" t="inlineStr">
        <is>
          <t>Ultramarines</t>
        </is>
      </c>
      <c r="B101" t="inlineStr">
        <is>
          <t>Ultramarines</t>
        </is>
      </c>
      <c r="C101" t="inlineStr">
        <is>
          <t>Character</t>
        </is>
      </c>
      <c r="D101" t="inlineStr">
        <is>
          <t>Character</t>
        </is>
      </c>
      <c r="E101" t="inlineStr">
        <is>
          <t>Marneus Calgar In Armour Of Antilochus</t>
        </is>
      </c>
      <c r="F101" t="inlineStr">
        <is>
          <t>1 model</t>
        </is>
      </c>
      <c r="G101" t="inlineStr">
        <is>
          <t>Character</t>
        </is>
      </c>
      <c r="L101" t="n">
        <v>140</v>
      </c>
      <c r="N101" t="inlineStr">
        <is>
          <t>Added from current Munitorum Field Manual v4.1 (non-Legends)</t>
        </is>
      </c>
      <c r="O101" t="inlineStr">
        <is>
          <t>https://www.warhammer-community.com/en-gb/downloads/warhammer-40000/</t>
        </is>
      </c>
    </row>
    <row r="102">
      <c r="A102" t="inlineStr">
        <is>
          <t>White Scars</t>
        </is>
      </c>
      <c r="B102" t="inlineStr">
        <is>
          <t>White Scars</t>
        </is>
      </c>
      <c r="C102" t="inlineStr">
        <is>
          <t>Character</t>
        </is>
      </c>
      <c r="D102" t="inlineStr">
        <is>
          <t>Character</t>
        </is>
      </c>
      <c r="E102" t="inlineStr">
        <is>
          <t>Suboden Khan</t>
        </is>
      </c>
      <c r="F102" t="inlineStr">
        <is>
          <t>1 model</t>
        </is>
      </c>
      <c r="G102" t="inlineStr">
        <is>
          <t>Character</t>
        </is>
      </c>
      <c r="L102" t="n">
        <v>100</v>
      </c>
      <c r="N102" t="inlineStr">
        <is>
          <t>Added from current Munitorum Field Manual v4.1 (non-Legends)</t>
        </is>
      </c>
      <c r="O102" t="inlineStr">
        <is>
          <t>https://www.warhammer-community.com/en-gb/downloads/warhammer-40000/</t>
        </is>
      </c>
    </row>
    <row r="103">
      <c r="A103" t="inlineStr">
        <is>
          <t>Space Marines</t>
        </is>
      </c>
      <c r="B103" t="inlineStr">
        <is>
          <t>Space Marines</t>
        </is>
      </c>
      <c r="C103" t="inlineStr">
        <is>
          <t>Vehicle / Support</t>
        </is>
      </c>
      <c r="D103" t="inlineStr">
        <is>
          <t>Vehicle</t>
        </is>
      </c>
      <c r="E103" t="inlineStr">
        <is>
          <t>Thunderhawk Gunship</t>
        </is>
      </c>
      <c r="F103" t="inlineStr">
        <is>
          <t>1 model</t>
        </is>
      </c>
      <c r="G103" t="inlineStr">
        <is>
          <t>Vehicle</t>
        </is>
      </c>
      <c r="L103" t="n">
        <v>840</v>
      </c>
      <c r="N103" t="inlineStr">
        <is>
          <t>Added from current Munitorum Field Manual v4.1 (non-Legends)</t>
        </is>
      </c>
      <c r="O103" t="inlineStr">
        <is>
          <t>https://www.warhammer-community.com/en-gb/downloads/warhammer-40000/</t>
        </is>
      </c>
    </row>
    <row r="104">
      <c r="A104" t="inlineStr">
        <is>
          <t>Ultramarines</t>
        </is>
      </c>
      <c r="B104" t="inlineStr">
        <is>
          <t>Ultramarines</t>
        </is>
      </c>
      <c r="C104" t="inlineStr">
        <is>
          <t>Infantry / Other</t>
        </is>
      </c>
      <c r="D104" t="inlineStr">
        <is>
          <t>Infantry</t>
        </is>
      </c>
      <c r="E104" t="inlineStr">
        <is>
          <t>Victrix Honour Guard</t>
        </is>
      </c>
      <c r="F104" t="inlineStr">
        <is>
          <t>3 models</t>
        </is>
      </c>
      <c r="G104" t="inlineStr">
        <is>
          <t>Infantry</t>
        </is>
      </c>
      <c r="L104" t="n">
        <v>110</v>
      </c>
      <c r="M104" t="inlineStr">
        <is>
          <t>Your 1st Unit Costs: 3 models = 110 pts; 6 models = 220 pts | Your 2nd + Unit Costs: 3 models = 130 pts; 6 models = 240 pts | Wargear: Banner of Macragge +10 pts | Wargear: Blades of honour +10 pts</t>
        </is>
      </c>
      <c r="N104" t="inlineStr">
        <is>
          <t>Added from current Munitorum Field Manual v4.1 (non-Legends)</t>
        </is>
      </c>
      <c r="O104" t="inlineStr">
        <is>
          <t>https://www.warhammer-community.com/en-gb/downloads/warhammer-40000/</t>
        </is>
      </c>
    </row>
    <row r="105">
      <c r="A105" t="inlineStr">
        <is>
          <t>Salamanders</t>
        </is>
      </c>
      <c r="B105" t="inlineStr">
        <is>
          <t>Salamanders</t>
        </is>
      </c>
      <c r="C105" t="inlineStr">
        <is>
          <t>Character</t>
        </is>
      </c>
      <c r="D105" t="inlineStr">
        <is>
          <t>Character</t>
        </is>
      </c>
      <c r="E105" t="inlineStr">
        <is>
          <t>Vulkan He’Stan</t>
        </is>
      </c>
      <c r="F105" t="inlineStr">
        <is>
          <t>1 model</t>
        </is>
      </c>
      <c r="G105" t="inlineStr">
        <is>
          <t>Character</t>
        </is>
      </c>
      <c r="L105" t="n">
        <v>85</v>
      </c>
      <c r="N105" t="inlineStr">
        <is>
          <t>Added from current Munitorum Field Manual v4.1 (non-Legends)</t>
        </is>
      </c>
      <c r="O105" t="inlineStr">
        <is>
          <t>https://www.warhammer-community.com/en-gb/downloads/warhammer-40000/</t>
        </is>
      </c>
    </row>
    <row r="106">
      <c r="A106" t="inlineStr">
        <is>
          <t>Ultramarines</t>
        </is>
      </c>
      <c r="B106" t="inlineStr">
        <is>
          <t>Ultramarines</t>
        </is>
      </c>
      <c r="C106" t="inlineStr">
        <is>
          <t>Character</t>
        </is>
      </c>
      <c r="D106" t="inlineStr">
        <is>
          <t>Character</t>
        </is>
      </c>
      <c r="E106" t="inlineStr">
        <is>
          <t>Wardens Of Ultramar</t>
        </is>
      </c>
      <c r="F106" t="inlineStr">
        <is>
          <t>6 models</t>
        </is>
      </c>
      <c r="G106" t="inlineStr">
        <is>
          <t>Character</t>
        </is>
      </c>
      <c r="L106" t="n">
        <v>110</v>
      </c>
      <c r="N106" t="inlineStr">
        <is>
          <t>Added from current Munitorum Field Manual v4.1 (non-Legends)</t>
        </is>
      </c>
      <c r="O106"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Space Wolves</t>
        </is>
      </c>
      <c r="B2" t="inlineStr">
        <is>
          <t>Space Wolves</t>
        </is>
      </c>
      <c r="C2" t="inlineStr">
        <is>
          <t>Infantry / Other</t>
        </is>
      </c>
      <c r="D2" t="inlineStr">
        <is>
          <t>Infantry</t>
        </is>
      </c>
      <c r="E2" t="inlineStr">
        <is>
          <t>Arjac Rockfist</t>
        </is>
      </c>
      <c r="F2" t="inlineStr">
        <is>
          <t>1 model</t>
        </is>
      </c>
      <c r="G2" t="inlineStr">
        <is>
          <t>Infantry</t>
        </is>
      </c>
      <c r="L2" s="60" t="n">
        <v>95</v>
      </c>
      <c r="M2" s="54" t="str"/>
      <c r="N2" s="54" t="inlineStr">
        <is>
          <t>Matched to Munitorum Field Manual v2.3</t>
        </is>
      </c>
      <c r="O2" s="54" t="inlineStr">
        <is>
          <t>Uploaded PDF: Munitorum Field Manual v2.3 / March 2025, p.33</t>
        </is>
      </c>
    </row>
    <row r="3">
      <c r="A3" t="inlineStr">
        <is>
          <t>Space Wolves</t>
        </is>
      </c>
      <c r="B3" t="inlineStr">
        <is>
          <t>Space Wolves</t>
        </is>
      </c>
      <c r="C3" t="inlineStr">
        <is>
          <t>Infantry / Other</t>
        </is>
      </c>
      <c r="D3" t="inlineStr">
        <is>
          <t>Infantry</t>
        </is>
      </c>
      <c r="E3" t="inlineStr">
        <is>
          <t>Bjorn the Fell-Handed</t>
        </is>
      </c>
      <c r="F3" t="inlineStr">
        <is>
          <t>1 model</t>
        </is>
      </c>
      <c r="G3" t="inlineStr">
        <is>
          <t>Infantry</t>
        </is>
      </c>
      <c r="L3" s="60" t="n">
        <v>190</v>
      </c>
      <c r="M3" s="54" t="str"/>
      <c r="N3" s="54" t="inlineStr">
        <is>
          <t>Matched to Munitorum Field Manual v2.3</t>
        </is>
      </c>
      <c r="O3" s="54" t="inlineStr">
        <is>
          <t>Uploaded PDF: Munitorum Field Manual v2.3 / March 2025, p.33</t>
        </is>
      </c>
    </row>
    <row r="4">
      <c r="A4" t="inlineStr">
        <is>
          <t>Space Wolves</t>
        </is>
      </c>
      <c r="B4" t="inlineStr">
        <is>
          <t>Space Wolves</t>
        </is>
      </c>
      <c r="C4" t="inlineStr">
        <is>
          <t>Infantry / Other</t>
        </is>
      </c>
      <c r="D4" t="inlineStr">
        <is>
          <t>Infantry</t>
        </is>
      </c>
      <c r="E4" t="inlineStr">
        <is>
          <t>Blood Claws</t>
        </is>
      </c>
      <c r="F4" t="inlineStr">
        <is>
          <t>10 models</t>
        </is>
      </c>
      <c r="G4" t="inlineStr">
        <is>
          <t>Infantry</t>
        </is>
      </c>
      <c r="L4" s="60" t="n">
        <v>140</v>
      </c>
      <c r="M4" s="54" t="inlineStr">
        <is>
          <t>Points options: 10 models = 140 pts; 15 models = 210 pts</t>
        </is>
      </c>
      <c r="N4" s="54" t="inlineStr">
        <is>
          <t>Matched to Munitorum Field Manual v2.3</t>
        </is>
      </c>
      <c r="O4" s="54" t="inlineStr">
        <is>
          <t>Uploaded PDF: Munitorum Field Manual v2.3 / March 2025, p.33</t>
        </is>
      </c>
    </row>
    <row r="5">
      <c r="A5" t="inlineStr">
        <is>
          <t>Space Wolves</t>
        </is>
      </c>
      <c r="B5" t="inlineStr">
        <is>
          <t>Space Wolves</t>
        </is>
      </c>
      <c r="C5" t="inlineStr">
        <is>
          <t>Infantry / Other</t>
        </is>
      </c>
      <c r="D5" t="inlineStr">
        <is>
          <t>Infantry</t>
        </is>
      </c>
      <c r="E5" t="inlineStr">
        <is>
          <t>Canis Wolfborn</t>
        </is>
      </c>
      <c r="F5" t="inlineStr">
        <is>
          <t>1 model</t>
        </is>
      </c>
      <c r="G5" t="inlineStr">
        <is>
          <t>Infantry</t>
        </is>
      </c>
      <c r="L5" s="60" t="n">
        <v>75</v>
      </c>
      <c r="M5" s="54" t="str"/>
      <c r="N5" s="54" t="inlineStr">
        <is>
          <t>Matched to Munitorum Field Manual v2.3</t>
        </is>
      </c>
      <c r="O5" s="54" t="inlineStr">
        <is>
          <t>Uploaded PDF: Munitorum Field Manual v2.3 / March 2025, p.33</t>
        </is>
      </c>
    </row>
    <row r="6">
      <c r="A6" t="inlineStr">
        <is>
          <t>Space Wolves</t>
        </is>
      </c>
      <c r="B6" t="inlineStr">
        <is>
          <t>Space Wolves</t>
        </is>
      </c>
      <c r="C6" t="inlineStr">
        <is>
          <t>Infantry / Other</t>
        </is>
      </c>
      <c r="D6" t="inlineStr">
        <is>
          <t>Infantry</t>
        </is>
      </c>
      <c r="E6" t="inlineStr">
        <is>
          <t>Cyberwolf</t>
        </is>
      </c>
      <c r="F6" t="inlineStr">
        <is>
          <t>1 model</t>
        </is>
      </c>
      <c r="G6" t="inlineStr">
        <is>
          <t>Infantry</t>
        </is>
      </c>
      <c r="L6" s="60" t="n">
        <v>20</v>
      </c>
      <c r="M6" s="54" t="str"/>
      <c r="N6" s="54" t="inlineStr">
        <is>
          <t>Matched to Munitorum Field Manual v2.3</t>
        </is>
      </c>
      <c r="O6" s="54" t="inlineStr">
        <is>
          <t>Uploaded PDF: Munitorum Field Manual v2.3 / March 2025, p.33</t>
        </is>
      </c>
    </row>
    <row r="7">
      <c r="A7" t="inlineStr">
        <is>
          <t>Space Wolves</t>
        </is>
      </c>
      <c r="B7" t="inlineStr">
        <is>
          <t>Space Wolves</t>
        </is>
      </c>
      <c r="C7" t="inlineStr">
        <is>
          <t>Infantry / Other</t>
        </is>
      </c>
      <c r="D7" t="inlineStr">
        <is>
          <t>Beast / Swarm</t>
        </is>
      </c>
      <c r="E7" t="inlineStr">
        <is>
          <t>Fenrisian Wolves</t>
        </is>
      </c>
      <c r="F7" t="inlineStr">
        <is>
          <t>5 models</t>
        </is>
      </c>
      <c r="G7" t="inlineStr">
        <is>
          <t>Beast / Swarm</t>
        </is>
      </c>
      <c r="L7" s="60" t="n">
        <v>30</v>
      </c>
      <c r="M7" s="54" t="inlineStr">
        <is>
          <t>Points options: 5 models = 30 pts; 10 models = 60 pts</t>
        </is>
      </c>
      <c r="N7" s="54" t="inlineStr">
        <is>
          <t>Matched to Munitorum Field Manual v2.3</t>
        </is>
      </c>
      <c r="O7" s="54" t="inlineStr">
        <is>
          <t>Uploaded PDF: Munitorum Field Manual v2.3 / March 2025, p.33</t>
        </is>
      </c>
    </row>
    <row r="8">
      <c r="A8" t="inlineStr">
        <is>
          <t>Space Wolves</t>
        </is>
      </c>
      <c r="B8" t="inlineStr">
        <is>
          <t>Space Wolves</t>
        </is>
      </c>
      <c r="C8" t="inlineStr">
        <is>
          <t>Infantry / Other</t>
        </is>
      </c>
      <c r="D8" t="inlineStr">
        <is>
          <t>Infantry</t>
        </is>
      </c>
      <c r="E8" t="inlineStr">
        <is>
          <t>Grey Hunters</t>
        </is>
      </c>
      <c r="F8" t="inlineStr">
        <is>
          <t>5 models</t>
        </is>
      </c>
      <c r="G8" t="inlineStr">
        <is>
          <t>Infantry</t>
        </is>
      </c>
      <c r="L8" s="60" t="n">
        <v>85</v>
      </c>
      <c r="M8" s="54" t="inlineStr">
        <is>
          <t>Points options: 5 models = 85 pts; 10 models = 170 pts</t>
        </is>
      </c>
      <c r="N8" s="54" t="inlineStr">
        <is>
          <t>Matched to Munitorum Field Manual v2.3</t>
        </is>
      </c>
      <c r="O8" s="54" t="inlineStr">
        <is>
          <t>Uploaded PDF: Munitorum Field Manual v2.3 / March 2025, p.33</t>
        </is>
      </c>
    </row>
    <row r="9">
      <c r="A9" t="inlineStr">
        <is>
          <t>Space Wolves</t>
        </is>
      </c>
      <c r="B9" t="inlineStr">
        <is>
          <t>Space Wolves</t>
        </is>
      </c>
      <c r="C9" t="inlineStr">
        <is>
          <t>Infantry / Other</t>
        </is>
      </c>
      <c r="D9" t="inlineStr">
        <is>
          <t>Infantry</t>
        </is>
      </c>
      <c r="E9" t="inlineStr">
        <is>
          <t>Harald Deathwolf</t>
        </is>
      </c>
      <c r="F9" t="inlineStr">
        <is>
          <t>1 model</t>
        </is>
      </c>
      <c r="G9" t="inlineStr">
        <is>
          <t>Infantry</t>
        </is>
      </c>
      <c r="L9" s="60" t="n">
        <v>85</v>
      </c>
      <c r="M9" s="54" t="str"/>
      <c r="N9" s="54" t="inlineStr">
        <is>
          <t>Matched to Munitorum Field Manual v2.3</t>
        </is>
      </c>
      <c r="O9" s="54" t="inlineStr">
        <is>
          <t>Uploaded PDF: Munitorum Field Manual v2.3 / March 2025, p.33</t>
        </is>
      </c>
    </row>
    <row r="10">
      <c r="A10" t="inlineStr">
        <is>
          <t>Space Wolves</t>
        </is>
      </c>
      <c r="B10" t="inlineStr">
        <is>
          <t>Space Wolves</t>
        </is>
      </c>
      <c r="C10" t="inlineStr">
        <is>
          <t>Infantry / Other</t>
        </is>
      </c>
      <c r="D10" t="inlineStr">
        <is>
          <t>Beast / Swarm</t>
        </is>
      </c>
      <c r="E10" t="inlineStr">
        <is>
          <t>Hounds of Morkai</t>
        </is>
      </c>
      <c r="F10" t="inlineStr">
        <is>
          <t>5 models</t>
        </is>
      </c>
      <c r="G10" t="inlineStr">
        <is>
          <t>Beast / Swarm</t>
        </is>
      </c>
      <c r="L10" s="60" t="n">
        <v>80</v>
      </c>
      <c r="M10" s="54" t="inlineStr">
        <is>
          <t>Points options: 5 models = 80 pts; 10 models = 160 pts</t>
        </is>
      </c>
      <c r="N10" s="54" t="inlineStr">
        <is>
          <t>Matched to Munitorum Field Manual v2.3</t>
        </is>
      </c>
      <c r="O10" s="54" t="inlineStr">
        <is>
          <t>Uploaded PDF: Munitorum Field Manual v2.3 / March 2025, p.33</t>
        </is>
      </c>
    </row>
    <row r="11">
      <c r="A11" t="inlineStr">
        <is>
          <t>Space Wolves</t>
        </is>
      </c>
      <c r="B11" t="inlineStr">
        <is>
          <t>Space Wolves</t>
        </is>
      </c>
      <c r="C11" t="inlineStr">
        <is>
          <t>Infantry / Other</t>
        </is>
      </c>
      <c r="D11" t="inlineStr">
        <is>
          <t>Infantry</t>
        </is>
      </c>
      <c r="E11" t="inlineStr">
        <is>
          <t>Krom Dragongaze</t>
        </is>
      </c>
      <c r="F11" t="inlineStr">
        <is>
          <t>1 model</t>
        </is>
      </c>
      <c r="G11" t="inlineStr">
        <is>
          <t>Infantry</t>
        </is>
      </c>
      <c r="L11" s="60" t="n">
        <v>65</v>
      </c>
      <c r="M11" s="54" t="str"/>
      <c r="N11" s="54" t="inlineStr">
        <is>
          <t>Matched to Munitorum Field Manual v2.3</t>
        </is>
      </c>
      <c r="O11" s="54" t="inlineStr">
        <is>
          <t>Uploaded PDF: Munitorum Field Manual v2.3 / March 2025, p.33</t>
        </is>
      </c>
    </row>
    <row r="12">
      <c r="A12" t="inlineStr">
        <is>
          <t>Space Wolves</t>
        </is>
      </c>
      <c r="B12" t="inlineStr">
        <is>
          <t>Space Wolves</t>
        </is>
      </c>
      <c r="C12" t="inlineStr">
        <is>
          <t>Infantry / Other</t>
        </is>
      </c>
      <c r="D12" t="inlineStr">
        <is>
          <t>Infantry</t>
        </is>
      </c>
      <c r="E12" t="inlineStr">
        <is>
          <t>Logan Grimnar</t>
        </is>
      </c>
      <c r="F12" t="inlineStr">
        <is>
          <t>1 model</t>
        </is>
      </c>
      <c r="G12" t="inlineStr">
        <is>
          <t>Infantry</t>
        </is>
      </c>
      <c r="L12" s="60" t="n">
        <v>115</v>
      </c>
      <c r="M12" s="54" t="str"/>
      <c r="N12" s="54" t="inlineStr">
        <is>
          <t>Matched to Munitorum Field Manual v2.3</t>
        </is>
      </c>
      <c r="O12" s="54" t="inlineStr">
        <is>
          <t>Uploaded PDF: Munitorum Field Manual v2.3 / March 2025, p.33</t>
        </is>
      </c>
    </row>
    <row r="13">
      <c r="A13" t="inlineStr">
        <is>
          <t>Space Wolves</t>
        </is>
      </c>
      <c r="B13" t="inlineStr">
        <is>
          <t>Space Wolves</t>
        </is>
      </c>
      <c r="C13" t="inlineStr">
        <is>
          <t>Infantry / Other</t>
        </is>
      </c>
      <c r="D13" t="inlineStr">
        <is>
          <t>Infantry</t>
        </is>
      </c>
      <c r="E13" t="inlineStr">
        <is>
          <t>Logan Grimnar on Stormrider</t>
        </is>
      </c>
      <c r="F13" t="inlineStr">
        <is>
          <t>1 model</t>
        </is>
      </c>
      <c r="G13" t="inlineStr">
        <is>
          <t>Infantry</t>
        </is>
      </c>
      <c r="L13" s="60" t="n">
        <v>180</v>
      </c>
      <c r="M13" s="54" t="str"/>
      <c r="N13" s="54" t="inlineStr">
        <is>
          <t>Matched to Munitorum Field Manual v2.3</t>
        </is>
      </c>
      <c r="O13" s="54" t="inlineStr">
        <is>
          <t>Uploaded PDF: Munitorum Field Manual v2.3 / March 2025, p.33</t>
        </is>
      </c>
    </row>
    <row r="14">
      <c r="A14" t="inlineStr">
        <is>
          <t>Space Wolves</t>
        </is>
      </c>
      <c r="B14" t="inlineStr">
        <is>
          <t>Space Wolves</t>
        </is>
      </c>
      <c r="C14" t="inlineStr">
        <is>
          <t>Infantry / Other</t>
        </is>
      </c>
      <c r="D14" t="inlineStr">
        <is>
          <t>Infantry</t>
        </is>
      </c>
      <c r="E14" t="inlineStr">
        <is>
          <t>Long Fangs</t>
        </is>
      </c>
      <c r="F14" t="inlineStr">
        <is>
          <t>5 models</t>
        </is>
      </c>
      <c r="G14" t="inlineStr">
        <is>
          <t>Infantry</t>
        </is>
      </c>
      <c r="L14" s="60" t="n">
        <v>120</v>
      </c>
      <c r="M14" s="54" t="inlineStr">
        <is>
          <t>Points options: 5 models = 120 pts; 6 models = 145 pts</t>
        </is>
      </c>
      <c r="N14" s="54" t="inlineStr">
        <is>
          <t>Matched to Munitorum Field Manual v2.3</t>
        </is>
      </c>
      <c r="O14" s="54" t="inlineStr">
        <is>
          <t>Uploaded PDF: Munitorum Field Manual v2.3 / March 2025, p.33</t>
        </is>
      </c>
    </row>
    <row r="15">
      <c r="A15" t="inlineStr">
        <is>
          <t>Space Wolves</t>
        </is>
      </c>
      <c r="B15" t="inlineStr">
        <is>
          <t>Space Wolves</t>
        </is>
      </c>
      <c r="C15" t="inlineStr">
        <is>
          <t>Infantry / Other</t>
        </is>
      </c>
      <c r="D15" t="inlineStr">
        <is>
          <t>Infantry</t>
        </is>
      </c>
      <c r="E15" t="inlineStr">
        <is>
          <t>Lukas the Trickster</t>
        </is>
      </c>
      <c r="F15" t="inlineStr">
        <is>
          <t>1 model</t>
        </is>
      </c>
      <c r="G15" t="inlineStr">
        <is>
          <t>Infantry</t>
        </is>
      </c>
      <c r="L15" s="60" t="n">
        <v>50</v>
      </c>
      <c r="M15" s="54" t="str"/>
      <c r="N15" s="54" t="inlineStr">
        <is>
          <t>Matched to Munitorum Field Manual v2.3</t>
        </is>
      </c>
      <c r="O15" s="54" t="inlineStr">
        <is>
          <t>Uploaded PDF: Munitorum Field Manual v2.3 / March 2025, p.33</t>
        </is>
      </c>
    </row>
    <row r="16">
      <c r="A16" t="inlineStr">
        <is>
          <t>Space Wolves</t>
        </is>
      </c>
      <c r="B16" t="inlineStr">
        <is>
          <t>Space Wolves</t>
        </is>
      </c>
      <c r="C16" t="inlineStr">
        <is>
          <t>Infantry / Other</t>
        </is>
      </c>
      <c r="D16" t="inlineStr">
        <is>
          <t>Infantry</t>
        </is>
      </c>
      <c r="E16" t="inlineStr">
        <is>
          <t>Murderfang</t>
        </is>
      </c>
      <c r="F16" t="inlineStr">
        <is>
          <t>1 model</t>
        </is>
      </c>
      <c r="G16" t="inlineStr">
        <is>
          <t>Infantry</t>
        </is>
      </c>
      <c r="L16" s="60" t="n">
        <v>170</v>
      </c>
      <c r="M16" s="54" t="str"/>
      <c r="N16" s="54" t="inlineStr">
        <is>
          <t>Matched to Munitorum Field Manual v2.3</t>
        </is>
      </c>
      <c r="O16" s="54" t="inlineStr">
        <is>
          <t>Uploaded PDF: Munitorum Field Manual v2.3 / March 2025, p.33</t>
        </is>
      </c>
    </row>
    <row r="17">
      <c r="A17" t="inlineStr">
        <is>
          <t>Space Wolves</t>
        </is>
      </c>
      <c r="B17" t="inlineStr">
        <is>
          <t>Space Wolves</t>
        </is>
      </c>
      <c r="C17" t="inlineStr">
        <is>
          <t>Infantry / Other</t>
        </is>
      </c>
      <c r="D17" t="inlineStr">
        <is>
          <t>Infantry</t>
        </is>
      </c>
      <c r="E17" t="inlineStr">
        <is>
          <t>Njal Stormcaller</t>
        </is>
      </c>
      <c r="F17" t="inlineStr">
        <is>
          <t>1 model</t>
        </is>
      </c>
      <c r="G17" t="inlineStr">
        <is>
          <t>Infantry</t>
        </is>
      </c>
      <c r="L17" s="60" t="n">
        <v>85</v>
      </c>
      <c r="M17" s="54" t="str"/>
      <c r="N17" s="54" t="inlineStr">
        <is>
          <t>Matched to Munitorum Field Manual v2.3</t>
        </is>
      </c>
      <c r="O17" s="54" t="inlineStr">
        <is>
          <t>Uploaded PDF: Munitorum Field Manual v2.3 / March 2025, p.33</t>
        </is>
      </c>
    </row>
    <row r="18">
      <c r="A18" t="inlineStr">
        <is>
          <t>Space Wolves</t>
        </is>
      </c>
      <c r="B18" t="inlineStr">
        <is>
          <t>Space Wolves</t>
        </is>
      </c>
      <c r="C18" t="inlineStr">
        <is>
          <t>Infantry / Other</t>
        </is>
      </c>
      <c r="D18" t="inlineStr">
        <is>
          <t>Infantry</t>
        </is>
      </c>
      <c r="E18" t="inlineStr">
        <is>
          <t>Ragnar Blackmane</t>
        </is>
      </c>
      <c r="F18" t="inlineStr">
        <is>
          <t>1 model</t>
        </is>
      </c>
      <c r="G18" t="inlineStr">
        <is>
          <t>Infantry</t>
        </is>
      </c>
      <c r="L18" s="60" t="n">
        <v>90</v>
      </c>
      <c r="M18" s="54" t="str"/>
      <c r="N18" s="54" t="inlineStr">
        <is>
          <t>Matched to Munitorum Field Manual v2.3</t>
        </is>
      </c>
      <c r="O18" s="54" t="inlineStr">
        <is>
          <t>Uploaded PDF: Munitorum Field Manual v2.3 / March 2025, p.33</t>
        </is>
      </c>
    </row>
    <row r="19">
      <c r="A19" t="inlineStr">
        <is>
          <t>Space Wolves</t>
        </is>
      </c>
      <c r="B19" t="inlineStr">
        <is>
          <t>Space Wolves</t>
        </is>
      </c>
      <c r="C19" t="inlineStr">
        <is>
          <t>Infantry / Other</t>
        </is>
      </c>
      <c r="D19" t="inlineStr">
        <is>
          <t>Infantry</t>
        </is>
      </c>
      <c r="E19" t="inlineStr">
        <is>
          <t>Skyclaws</t>
        </is>
      </c>
      <c r="F19" t="inlineStr">
        <is>
          <t>5 models</t>
        </is>
      </c>
      <c r="G19" t="inlineStr">
        <is>
          <t>Infantry</t>
        </is>
      </c>
      <c r="L19" s="60" t="n">
        <v>90</v>
      </c>
      <c r="M19" s="54" t="inlineStr">
        <is>
          <t>Points options: 5 models = 90 pts; 10 models = 165 pts; 15 models = 240 pts</t>
        </is>
      </c>
      <c r="N19" s="54" t="inlineStr">
        <is>
          <t>Matched to Munitorum Field Manual v2.3</t>
        </is>
      </c>
      <c r="O19" s="54" t="inlineStr">
        <is>
          <t>Uploaded PDF: Munitorum Field Manual v2.3 / March 2025, p.33</t>
        </is>
      </c>
    </row>
    <row r="20">
      <c r="A20" t="inlineStr">
        <is>
          <t>Space Wolves</t>
        </is>
      </c>
      <c r="B20" t="inlineStr">
        <is>
          <t>Space Wolves</t>
        </is>
      </c>
      <c r="C20" t="inlineStr">
        <is>
          <t>Vehicle / Support</t>
        </is>
      </c>
      <c r="D20" t="inlineStr">
        <is>
          <t>Walker / Battlesuit</t>
        </is>
      </c>
      <c r="E20" t="inlineStr">
        <is>
          <t>Space Wolves Venerable Dreadnought</t>
        </is>
      </c>
      <c r="F20" t="inlineStr">
        <is>
          <t>1 model</t>
        </is>
      </c>
      <c r="G20" t="inlineStr">
        <is>
          <t>Walker / Battlesuit</t>
        </is>
      </c>
      <c r="L20" s="60" t="n">
        <v>155</v>
      </c>
      <c r="M20" s="54" t="str"/>
      <c r="N20" s="54" t="inlineStr">
        <is>
          <t>Matched to Munitorum Field Manual v2.3</t>
        </is>
      </c>
      <c r="O20" s="54" t="inlineStr">
        <is>
          <t>Uploaded PDF: Munitorum Field Manual v2.3 / March 2025, p.33</t>
        </is>
      </c>
    </row>
    <row r="21">
      <c r="A21" t="inlineStr">
        <is>
          <t>Space Wolves</t>
        </is>
      </c>
      <c r="B21" t="inlineStr">
        <is>
          <t>Space Wolves</t>
        </is>
      </c>
      <c r="C21" t="inlineStr">
        <is>
          <t>Vehicle / Support</t>
        </is>
      </c>
      <c r="D21" t="inlineStr">
        <is>
          <t>Vehicle</t>
        </is>
      </c>
      <c r="E21" t="inlineStr">
        <is>
          <t>Stormfang Gunship</t>
        </is>
      </c>
      <c r="F21" t="inlineStr">
        <is>
          <t>1 model</t>
        </is>
      </c>
      <c r="G21" t="inlineStr">
        <is>
          <t>Vehicle</t>
        </is>
      </c>
      <c r="L21" s="60" t="n">
        <v>300</v>
      </c>
      <c r="M21" s="54" t="str"/>
      <c r="N21" s="54" t="inlineStr">
        <is>
          <t>Matched to Munitorum Field Manual v2.3</t>
        </is>
      </c>
      <c r="O21" s="54" t="inlineStr">
        <is>
          <t>Uploaded PDF: Munitorum Field Manual v2.3 / March 2025, p.33</t>
        </is>
      </c>
    </row>
    <row r="22">
      <c r="A22" t="inlineStr">
        <is>
          <t>Space Wolves</t>
        </is>
      </c>
      <c r="B22" t="inlineStr">
        <is>
          <t>Space Wolves</t>
        </is>
      </c>
      <c r="C22" t="inlineStr">
        <is>
          <t>Infantry / Other</t>
        </is>
      </c>
      <c r="D22" t="inlineStr">
        <is>
          <t>Infantry</t>
        </is>
      </c>
      <c r="E22" t="inlineStr">
        <is>
          <t>Stormwolf</t>
        </is>
      </c>
      <c r="F22" t="inlineStr">
        <is>
          <t>1 model</t>
        </is>
      </c>
      <c r="G22" t="inlineStr">
        <is>
          <t>Infantry</t>
        </is>
      </c>
      <c r="L22" s="60" t="n">
        <v>250</v>
      </c>
      <c r="M22" s="54" t="str"/>
      <c r="N22" s="54" t="inlineStr">
        <is>
          <t>Matched to Munitorum Field Manual v2.3</t>
        </is>
      </c>
      <c r="O22" s="54" t="inlineStr">
        <is>
          <t>Uploaded PDF: Munitorum Field Manual v2.3 / March 2025, p.33</t>
        </is>
      </c>
    </row>
    <row r="23">
      <c r="A23" t="inlineStr">
        <is>
          <t>Space Wolves</t>
        </is>
      </c>
      <c r="B23" t="inlineStr">
        <is>
          <t>Space Wolves</t>
        </is>
      </c>
      <c r="C23" t="inlineStr">
        <is>
          <t>Infantry / Other</t>
        </is>
      </c>
      <c r="D23" t="inlineStr">
        <is>
          <t>Mounted / Bike</t>
        </is>
      </c>
      <c r="E23" t="inlineStr">
        <is>
          <t>Thunderwolf Cavalry</t>
        </is>
      </c>
      <c r="F23" t="inlineStr">
        <is>
          <t>3 models</t>
        </is>
      </c>
      <c r="G23" t="inlineStr">
        <is>
          <t>Mounted / Bike</t>
        </is>
      </c>
      <c r="L23" s="60" t="n">
        <v>120</v>
      </c>
      <c r="M23" s="54" t="inlineStr">
        <is>
          <t>Points options: 3 models = 120 pts; 6 models = 240 pts</t>
        </is>
      </c>
      <c r="N23" s="54" t="inlineStr">
        <is>
          <t>Matched to Munitorum Field Manual v2.3</t>
        </is>
      </c>
      <c r="O23" s="54" t="inlineStr">
        <is>
          <t>Uploaded PDF: Munitorum Field Manual v2.3 / March 2025, p.33</t>
        </is>
      </c>
    </row>
    <row r="24">
      <c r="A24" t="inlineStr">
        <is>
          <t>Space Wolves</t>
        </is>
      </c>
      <c r="B24" t="inlineStr">
        <is>
          <t>Space Wolves</t>
        </is>
      </c>
      <c r="C24" t="inlineStr">
        <is>
          <t>Infantry / Other</t>
        </is>
      </c>
      <c r="D24" t="inlineStr">
        <is>
          <t>Infantry</t>
        </is>
      </c>
      <c r="E24" t="inlineStr">
        <is>
          <t>Ulrik the Slayer</t>
        </is>
      </c>
      <c r="F24" t="inlineStr">
        <is>
          <t>1 model</t>
        </is>
      </c>
      <c r="G24" t="inlineStr">
        <is>
          <t>Infantry</t>
        </is>
      </c>
      <c r="L24" s="60" t="n">
        <v>70</v>
      </c>
      <c r="M24" s="54" t="str"/>
      <c r="N24" s="54" t="inlineStr">
        <is>
          <t>Matched to Munitorum Field Manual v2.3</t>
        </is>
      </c>
      <c r="O24" s="54" t="inlineStr">
        <is>
          <t>Uploaded PDF: Munitorum Field Manual v2.3 / March 2025, p.33</t>
        </is>
      </c>
    </row>
    <row r="25">
      <c r="A25" t="inlineStr">
        <is>
          <t>Space Wolves</t>
        </is>
      </c>
      <c r="B25" t="inlineStr">
        <is>
          <t>Space Wolves</t>
        </is>
      </c>
      <c r="C25" t="inlineStr">
        <is>
          <t>Infantry / Other</t>
        </is>
      </c>
      <c r="D25" t="inlineStr">
        <is>
          <t>Infantry</t>
        </is>
      </c>
      <c r="E25" t="inlineStr">
        <is>
          <t>Wulfen</t>
        </is>
      </c>
      <c r="F25" t="inlineStr">
        <is>
          <t>5 models</t>
        </is>
      </c>
      <c r="G25" t="inlineStr">
        <is>
          <t>Infantry</t>
        </is>
      </c>
      <c r="L25" s="60" t="n">
        <v>95</v>
      </c>
      <c r="M25" s="54" t="inlineStr">
        <is>
          <t>Points options: 5 models = 95 pts; 10 models = 190 pts</t>
        </is>
      </c>
      <c r="N25" s="54" t="inlineStr">
        <is>
          <t>Matched to Munitorum Field Manual v2.3</t>
        </is>
      </c>
      <c r="O25" s="54" t="inlineStr">
        <is>
          <t>Uploaded PDF: Munitorum Field Manual v2.3 / March 2025, p.33</t>
        </is>
      </c>
    </row>
    <row r="26">
      <c r="A26" t="inlineStr">
        <is>
          <t>Space Wolves</t>
        </is>
      </c>
      <c r="B26" t="inlineStr">
        <is>
          <t>Space Wolves</t>
        </is>
      </c>
      <c r="C26" t="inlineStr">
        <is>
          <t>Vehicle / Support</t>
        </is>
      </c>
      <c r="D26" t="inlineStr">
        <is>
          <t>Walker / Battlesuit</t>
        </is>
      </c>
      <c r="E26" t="inlineStr">
        <is>
          <t>Wulfen Dreadnought</t>
        </is>
      </c>
      <c r="F26" t="inlineStr">
        <is>
          <t>1 model</t>
        </is>
      </c>
      <c r="G26" t="inlineStr">
        <is>
          <t>Walker / Battlesuit</t>
        </is>
      </c>
      <c r="L26" s="60" t="n">
        <v>130</v>
      </c>
      <c r="M26" s="54" t="str"/>
      <c r="N26" s="54" t="inlineStr">
        <is>
          <t>Matched to Munitorum Field Manual v2.3</t>
        </is>
      </c>
      <c r="O26" s="54" t="inlineStr">
        <is>
          <t>Uploaded PDF: Munitorum Field Manual v2.3 / March 2025, p.33</t>
        </is>
      </c>
    </row>
    <row r="27">
      <c r="A27" t="inlineStr">
        <is>
          <t>Space Wolves</t>
        </is>
      </c>
      <c r="B27" t="inlineStr">
        <is>
          <t>Space Wolves</t>
        </is>
      </c>
      <c r="C27" t="inlineStr">
        <is>
          <t>Character</t>
        </is>
      </c>
      <c r="D27" t="inlineStr">
        <is>
          <t>Character</t>
        </is>
      </c>
      <c r="E27" t="inlineStr">
        <is>
          <t>Iron Priest</t>
        </is>
      </c>
      <c r="F27" t="inlineStr">
        <is>
          <t>1 model</t>
        </is>
      </c>
      <c r="G27" t="inlineStr">
        <is>
          <t>Character</t>
        </is>
      </c>
      <c r="L27" t="n">
        <v>55</v>
      </c>
      <c r="N27" t="inlineStr">
        <is>
          <t>Added from current Munitorum Field Manual v4.1 (non-Legends)</t>
        </is>
      </c>
      <c r="O27" t="inlineStr">
        <is>
          <t>https://www.warhammer-community.com/en-gb/downloads/warhammer-40000/</t>
        </is>
      </c>
    </row>
    <row r="28">
      <c r="A28" t="inlineStr">
        <is>
          <t>Space Wolves</t>
        </is>
      </c>
      <c r="B28" t="inlineStr">
        <is>
          <t>Space Wolves</t>
        </is>
      </c>
      <c r="C28" t="inlineStr">
        <is>
          <t>Character</t>
        </is>
      </c>
      <c r="D28" t="inlineStr">
        <is>
          <t>Character</t>
        </is>
      </c>
      <c r="E28" t="inlineStr">
        <is>
          <t>Wolf Guard Battle Leader</t>
        </is>
      </c>
      <c r="F28" t="inlineStr">
        <is>
          <t>1 model</t>
        </is>
      </c>
      <c r="G28" t="inlineStr">
        <is>
          <t>Character</t>
        </is>
      </c>
      <c r="L28" t="n">
        <v>65</v>
      </c>
      <c r="N28" t="inlineStr">
        <is>
          <t>Added from current Munitorum Field Manual v4.1 (non-Legends)</t>
        </is>
      </c>
      <c r="O28" t="inlineStr">
        <is>
          <t>https://www.warhammer-community.com/en-gb/downloads/warhammer-40000/</t>
        </is>
      </c>
    </row>
    <row r="29">
      <c r="A29" t="inlineStr">
        <is>
          <t>Space Wolves</t>
        </is>
      </c>
      <c r="B29" t="inlineStr">
        <is>
          <t>Space Wolves</t>
        </is>
      </c>
      <c r="C29" t="inlineStr">
        <is>
          <t>Infantry / Other</t>
        </is>
      </c>
      <c r="D29" t="inlineStr">
        <is>
          <t>Infantry</t>
        </is>
      </c>
      <c r="E29" t="inlineStr">
        <is>
          <t>Wolf Guard Headtakers</t>
        </is>
      </c>
      <c r="F29" t="inlineStr">
        <is>
          <t>3 models</t>
        </is>
      </c>
      <c r="G29" t="inlineStr">
        <is>
          <t>Infantry</t>
        </is>
      </c>
      <c r="L29" t="n">
        <v>85</v>
      </c>
      <c r="M29" t="inlineStr">
        <is>
          <t>Your 1st To 2nd Units Cost: 3 models = 85 pts; 6 models = 115 pts; 6 models = 170 pts; 12 models = 230 pts | Your 3rd + Unit Costs: 3 models = 95 pts; 6 models = 125 pts; 6 models = 180 pts; 12 models = 240 pts</t>
        </is>
      </c>
      <c r="N29" t="inlineStr">
        <is>
          <t>Added from current Munitorum Field Manual v4.1 (non-Legends)</t>
        </is>
      </c>
      <c r="O29" t="inlineStr">
        <is>
          <t>https://www.warhammer-community.com/en-gb/downloads/warhammer-40000/</t>
        </is>
      </c>
    </row>
    <row r="30">
      <c r="A30" t="inlineStr">
        <is>
          <t>Space Wolves</t>
        </is>
      </c>
      <c r="B30" t="inlineStr">
        <is>
          <t>Space Wolves</t>
        </is>
      </c>
      <c r="C30" t="inlineStr">
        <is>
          <t>Infantry / Other</t>
        </is>
      </c>
      <c r="D30" t="inlineStr">
        <is>
          <t>Infantry</t>
        </is>
      </c>
      <c r="E30" t="inlineStr">
        <is>
          <t>Wolf Guard Terminators</t>
        </is>
      </c>
      <c r="F30" t="inlineStr">
        <is>
          <t>5 models</t>
        </is>
      </c>
      <c r="G30" t="inlineStr">
        <is>
          <t>Infantry</t>
        </is>
      </c>
      <c r="L30" t="n">
        <v>150</v>
      </c>
      <c r="M30" t="inlineStr">
        <is>
          <t>Your 1st Unit Costs: 5 models = 150 pts; 10 models = 300 pts | Your 2nd + Unit Costs: 5 models = 160 pts; 10 models = 310 pts | Wargear: Storm Shield +5 pts</t>
        </is>
      </c>
      <c r="N30" t="inlineStr">
        <is>
          <t>Added from current Munitorum Field Manual v4.1 (non-Legends)</t>
        </is>
      </c>
      <c r="O30" t="inlineStr">
        <is>
          <t>https://www.warhammer-community.com/en-gb/downloads/warhammer-40000/</t>
        </is>
      </c>
    </row>
    <row r="31">
      <c r="A31" t="inlineStr">
        <is>
          <t>Space Wolves</t>
        </is>
      </c>
      <c r="B31" t="inlineStr">
        <is>
          <t>Space Wolves</t>
        </is>
      </c>
      <c r="C31" t="inlineStr">
        <is>
          <t>Character</t>
        </is>
      </c>
      <c r="D31" t="inlineStr">
        <is>
          <t>Character</t>
        </is>
      </c>
      <c r="E31" t="inlineStr">
        <is>
          <t>Wolf Priest</t>
        </is>
      </c>
      <c r="F31" t="inlineStr">
        <is>
          <t>1 model</t>
        </is>
      </c>
      <c r="G31" t="inlineStr">
        <is>
          <t>Character</t>
        </is>
      </c>
      <c r="L31" t="n">
        <v>70</v>
      </c>
      <c r="N31" t="inlineStr">
        <is>
          <t>Added from current Munitorum Field Manual v4.1 (non-Legends)</t>
        </is>
      </c>
      <c r="O31" t="inlineStr">
        <is>
          <t>https://www.warhammer-community.com/en-gb/downloads/warhammer-40000/</t>
        </is>
      </c>
    </row>
    <row r="32">
      <c r="A32" t="inlineStr">
        <is>
          <t>Space Wolves</t>
        </is>
      </c>
      <c r="B32" t="inlineStr">
        <is>
          <t>Space Wolves</t>
        </is>
      </c>
      <c r="C32" t="inlineStr">
        <is>
          <t>Infantry / Other</t>
        </is>
      </c>
      <c r="D32" t="inlineStr">
        <is>
          <t>Infantry</t>
        </is>
      </c>
      <c r="E32" t="inlineStr">
        <is>
          <t>Wolf Scouts</t>
        </is>
      </c>
      <c r="F32" t="inlineStr">
        <is>
          <t>6 models</t>
        </is>
      </c>
      <c r="G32" t="inlineStr">
        <is>
          <t>Infantry</t>
        </is>
      </c>
      <c r="L32" t="n">
        <v>95</v>
      </c>
      <c r="M32" t="inlineStr">
        <is>
          <t>Your 1st To 2nd Units Cost: 6 models = 95 pts; 12 models = 190 pts | Your 3rd + Unit Costs: 6 models = 105 pts; 12 models = 200 pts</t>
        </is>
      </c>
      <c r="N32" t="inlineStr">
        <is>
          <t>Added from current Munitorum Field Manual v4.1 (non-Legends)</t>
        </is>
      </c>
      <c r="O32" t="inlineStr">
        <is>
          <t>https://www.warhammer-community.com/en-gb/downloads/warhammer-40000/</t>
        </is>
      </c>
    </row>
    <row r="33">
      <c r="A33" t="inlineStr">
        <is>
          <t>Space Wolves</t>
        </is>
      </c>
      <c r="B33" t="inlineStr">
        <is>
          <t>Space Wolves</t>
        </is>
      </c>
      <c r="C33" t="inlineStr">
        <is>
          <t>Infantry / Other</t>
        </is>
      </c>
      <c r="D33" t="inlineStr">
        <is>
          <t>Infantry</t>
        </is>
      </c>
      <c r="E33" t="inlineStr">
        <is>
          <t>Wulfen With Storm Shields</t>
        </is>
      </c>
      <c r="F33" t="inlineStr">
        <is>
          <t>5 models</t>
        </is>
      </c>
      <c r="G33" t="inlineStr">
        <is>
          <t>Infantry</t>
        </is>
      </c>
      <c r="L33" t="n">
        <v>100</v>
      </c>
      <c r="M33" t="inlineStr">
        <is>
          <t>Your 1st To 2nd Units Cost: 5 models = 100 pts; 10 models = 200 pts | Your 3rd + Unit Costs: 5 models = 110 pts; 10 models = 210 pts</t>
        </is>
      </c>
      <c r="N33" t="inlineStr">
        <is>
          <t>Added from current Munitorum Field Manual v4.1 (non-Legends)</t>
        </is>
      </c>
      <c r="O3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T'au Empire</t>
        </is>
      </c>
      <c r="C2" t="inlineStr">
        <is>
          <t>Character</t>
        </is>
      </c>
      <c r="D2" t="inlineStr">
        <is>
          <t>Character</t>
        </is>
      </c>
      <c r="E2" t="inlineStr">
        <is>
          <t>Aun'Shi</t>
        </is>
      </c>
      <c r="G2" t="inlineStr">
        <is>
          <t>Character</t>
        </is>
      </c>
      <c r="L2" s="60" t="n"/>
      <c r="M2" s="54" t="inlineStr">
        <is>
          <t>No matching points entry found in uploaded PDF; verify unit name/current support.</t>
        </is>
      </c>
      <c r="N2" s="54" t="inlineStr">
        <is>
          <t>Not found in uploaded PDF</t>
        </is>
      </c>
      <c r="O2" s="54" t="inlineStr">
        <is>
          <t>Uploaded PDF: Munitorum Field Manual v2.3 / March 2025</t>
        </is>
      </c>
    </row>
    <row r="3">
      <c r="A3" t="inlineStr">
        <is>
          <t>T'au Empire</t>
        </is>
      </c>
      <c r="C3" t="inlineStr">
        <is>
          <t>Character</t>
        </is>
      </c>
      <c r="D3" t="inlineStr">
        <is>
          <t>Character</t>
        </is>
      </c>
      <c r="E3" t="inlineStr">
        <is>
          <t>Aun'Va</t>
        </is>
      </c>
      <c r="G3" t="inlineStr">
        <is>
          <t>Character</t>
        </is>
      </c>
      <c r="L3" s="60" t="n"/>
      <c r="M3" s="54" t="inlineStr">
        <is>
          <t>No matching points entry found in uploaded PDF; verify unit name/current support.</t>
        </is>
      </c>
      <c r="N3" s="54" t="inlineStr">
        <is>
          <t>Not found in uploaded PDF</t>
        </is>
      </c>
      <c r="O3" s="54" t="inlineStr">
        <is>
          <t>Uploaded PDF: Munitorum Field Manual v2.3 / March 2025</t>
        </is>
      </c>
    </row>
    <row r="4">
      <c r="A4" t="inlineStr">
        <is>
          <t>T'au Empire</t>
        </is>
      </c>
      <c r="C4" t="inlineStr">
        <is>
          <t>Vehicle / Support</t>
        </is>
      </c>
      <c r="D4" t="inlineStr">
        <is>
          <t>Walker / Battlesuit</t>
        </is>
      </c>
      <c r="E4" t="inlineStr">
        <is>
          <t>Broadside Battlesuits</t>
        </is>
      </c>
      <c r="F4" t="inlineStr">
        <is>
          <t>1 model</t>
        </is>
      </c>
      <c r="G4" t="inlineStr">
        <is>
          <t>Walker / Battlesuit</t>
        </is>
      </c>
      <c r="L4" s="60" t="n">
        <v>90</v>
      </c>
      <c r="M4" s="54" t="inlineStr">
        <is>
          <t>Points options: 1 model = 90 pts; 2 models = 180 pts; 3 models = 300 pts</t>
        </is>
      </c>
      <c r="N4" s="54" t="inlineStr">
        <is>
          <t>Matched to Munitorum Field Manual v2.3</t>
        </is>
      </c>
      <c r="O4" s="54" t="inlineStr">
        <is>
          <t>Uploaded PDF: Munitorum Field Manual v2.3 / March 2025, p.34</t>
        </is>
      </c>
    </row>
    <row r="5">
      <c r="A5" t="inlineStr">
        <is>
          <t>T'au Empire</t>
        </is>
      </c>
      <c r="C5" t="inlineStr">
        <is>
          <t>Character</t>
        </is>
      </c>
      <c r="D5" t="inlineStr">
        <is>
          <t>Character</t>
        </is>
      </c>
      <c r="E5" t="inlineStr">
        <is>
          <t>Cadre Fireblade</t>
        </is>
      </c>
      <c r="F5" t="inlineStr">
        <is>
          <t>1 model</t>
        </is>
      </c>
      <c r="G5" t="inlineStr">
        <is>
          <t>Character</t>
        </is>
      </c>
      <c r="L5" s="60" t="n">
        <v>50</v>
      </c>
      <c r="M5" s="54" t="str"/>
      <c r="N5" s="54" t="inlineStr">
        <is>
          <t>Matched to Munitorum Field Manual v2.3</t>
        </is>
      </c>
      <c r="O5" s="54" t="inlineStr">
        <is>
          <t>Uploaded PDF: Munitorum Field Manual v2.3 / March 2025, p.34</t>
        </is>
      </c>
    </row>
    <row r="6">
      <c r="A6" t="inlineStr">
        <is>
          <t>T'au Empire</t>
        </is>
      </c>
      <c r="C6" t="inlineStr">
        <is>
          <t>Character</t>
        </is>
      </c>
      <c r="D6" t="inlineStr">
        <is>
          <t>Character</t>
        </is>
      </c>
      <c r="E6" t="inlineStr">
        <is>
          <t>Commander Farsight</t>
        </is>
      </c>
      <c r="F6" t="inlineStr">
        <is>
          <t>1 model</t>
        </is>
      </c>
      <c r="G6" t="inlineStr">
        <is>
          <t>Character, Epic Hero</t>
        </is>
      </c>
      <c r="L6" s="60" t="n">
        <v>95</v>
      </c>
      <c r="M6" s="54" t="str"/>
      <c r="N6" s="54" t="inlineStr">
        <is>
          <t>Matched to Munitorum Field Manual v2.3</t>
        </is>
      </c>
      <c r="O6" s="54" t="inlineStr">
        <is>
          <t>Uploaded PDF: Munitorum Field Manual v2.3 / March 2025, p.34</t>
        </is>
      </c>
    </row>
    <row r="7">
      <c r="A7" t="inlineStr">
        <is>
          <t>T'au Empire</t>
        </is>
      </c>
      <c r="C7" t="inlineStr">
        <is>
          <t>Character</t>
        </is>
      </c>
      <c r="D7" t="inlineStr">
        <is>
          <t>Character</t>
        </is>
      </c>
      <c r="E7" t="inlineStr">
        <is>
          <t>Commander in Coldstar Battlesuit</t>
        </is>
      </c>
      <c r="F7" t="inlineStr">
        <is>
          <t>1 model</t>
        </is>
      </c>
      <c r="G7" t="inlineStr">
        <is>
          <t>Character</t>
        </is>
      </c>
      <c r="L7" s="60" t="n">
        <v>95</v>
      </c>
      <c r="M7" s="54" t="str"/>
      <c r="N7" s="54" t="inlineStr">
        <is>
          <t>Matched to Munitorum Field Manual v2.3</t>
        </is>
      </c>
      <c r="O7" s="54" t="inlineStr">
        <is>
          <t>Uploaded PDF: Munitorum Field Manual v2.3 / March 2025, p.34</t>
        </is>
      </c>
    </row>
    <row r="8">
      <c r="A8" t="inlineStr">
        <is>
          <t>T'au Empire</t>
        </is>
      </c>
      <c r="C8" t="inlineStr">
        <is>
          <t>Character</t>
        </is>
      </c>
      <c r="D8" t="inlineStr">
        <is>
          <t>Character</t>
        </is>
      </c>
      <c r="E8" t="inlineStr">
        <is>
          <t>Commander in Enforcer Battlesuit</t>
        </is>
      </c>
      <c r="F8" t="inlineStr">
        <is>
          <t>1 model</t>
        </is>
      </c>
      <c r="G8" t="inlineStr">
        <is>
          <t>Character</t>
        </is>
      </c>
      <c r="L8" s="60" t="n">
        <v>80</v>
      </c>
      <c r="M8" s="54" t="str"/>
      <c r="N8" s="54" t="inlineStr">
        <is>
          <t>Matched to Munitorum Field Manual v2.3</t>
        </is>
      </c>
      <c r="O8" s="54" t="inlineStr">
        <is>
          <t>Uploaded PDF: Munitorum Field Manual v2.3 / March 2025, p.34</t>
        </is>
      </c>
    </row>
    <row r="9">
      <c r="A9" t="inlineStr">
        <is>
          <t>T'au Empire</t>
        </is>
      </c>
      <c r="C9" t="inlineStr">
        <is>
          <t>Character</t>
        </is>
      </c>
      <c r="D9" t="inlineStr">
        <is>
          <t>Character</t>
        </is>
      </c>
      <c r="E9" t="inlineStr">
        <is>
          <t>Commander Shadowsun</t>
        </is>
      </c>
      <c r="F9" t="inlineStr">
        <is>
          <t>1 model</t>
        </is>
      </c>
      <c r="G9" t="inlineStr">
        <is>
          <t>Character, Epic Hero</t>
        </is>
      </c>
      <c r="L9" s="60" t="n">
        <v>100</v>
      </c>
      <c r="M9" s="54" t="str"/>
      <c r="N9" s="54" t="inlineStr">
        <is>
          <t>Matched to Munitorum Field Manual v2.3</t>
        </is>
      </c>
      <c r="O9" s="54" t="inlineStr">
        <is>
          <t>Uploaded PDF: Munitorum Field Manual v2.3 / March 2025, p.34</t>
        </is>
      </c>
    </row>
    <row r="10">
      <c r="A10" t="inlineStr">
        <is>
          <t>T'au Empire</t>
        </is>
      </c>
      <c r="C10" t="inlineStr">
        <is>
          <t>Vehicle / Support</t>
        </is>
      </c>
      <c r="D10" t="inlineStr">
        <is>
          <t>Walker / Battlesuit</t>
        </is>
      </c>
      <c r="E10" t="inlineStr">
        <is>
          <t>Crisis Fireknife Battlesuits</t>
        </is>
      </c>
      <c r="F10" t="inlineStr">
        <is>
          <t>3 models</t>
        </is>
      </c>
      <c r="G10" t="inlineStr">
        <is>
          <t>Walker / Battlesuit</t>
        </is>
      </c>
      <c r="L10" s="60" t="n">
        <v>130</v>
      </c>
      <c r="M10" s="54" t="str"/>
      <c r="N10" s="54" t="inlineStr">
        <is>
          <t>Matched to Munitorum Field Manual v2.3</t>
        </is>
      </c>
      <c r="O10" s="54" t="inlineStr">
        <is>
          <t>Uploaded PDF: Munitorum Field Manual v2.3 / March 2025, p.34</t>
        </is>
      </c>
    </row>
    <row r="11">
      <c r="A11" t="inlineStr">
        <is>
          <t>T'au Empire</t>
        </is>
      </c>
      <c r="C11" t="inlineStr">
        <is>
          <t>Vehicle / Support</t>
        </is>
      </c>
      <c r="D11" t="inlineStr">
        <is>
          <t>Walker / Battlesuit</t>
        </is>
      </c>
      <c r="E11" t="inlineStr">
        <is>
          <t>Crisis Starscythe Battlesuits</t>
        </is>
      </c>
      <c r="F11" t="inlineStr">
        <is>
          <t>3 models</t>
        </is>
      </c>
      <c r="G11" t="inlineStr">
        <is>
          <t>Walker / Battlesuit</t>
        </is>
      </c>
      <c r="L11" s="60" t="n">
        <v>110</v>
      </c>
      <c r="M11" s="54" t="str"/>
      <c r="N11" s="54" t="inlineStr">
        <is>
          <t>Matched to Munitorum Field Manual v2.3</t>
        </is>
      </c>
      <c r="O11" s="54" t="inlineStr">
        <is>
          <t>Uploaded PDF: Munitorum Field Manual v2.3 / March 2025, p.34</t>
        </is>
      </c>
    </row>
    <row r="12">
      <c r="A12" t="inlineStr">
        <is>
          <t>T'au Empire</t>
        </is>
      </c>
      <c r="C12" t="inlineStr">
        <is>
          <t>Vehicle / Support</t>
        </is>
      </c>
      <c r="D12" t="inlineStr">
        <is>
          <t>Walker / Battlesuit</t>
        </is>
      </c>
      <c r="E12" t="inlineStr">
        <is>
          <t>Crisis Sunforge Battlesuits</t>
        </is>
      </c>
      <c r="F12" t="inlineStr">
        <is>
          <t>3 models</t>
        </is>
      </c>
      <c r="G12" t="inlineStr">
        <is>
          <t>Walker / Battlesuit</t>
        </is>
      </c>
      <c r="L12" s="60" t="n">
        <v>150</v>
      </c>
      <c r="M12" s="54" t="str"/>
      <c r="N12" s="54" t="inlineStr">
        <is>
          <t>Matched to Munitorum Field Manual v2.3</t>
        </is>
      </c>
      <c r="O12" s="54" t="inlineStr">
        <is>
          <t>Uploaded PDF: Munitorum Field Manual v2.3 / March 2025, p.34</t>
        </is>
      </c>
    </row>
    <row r="13">
      <c r="A13" t="inlineStr">
        <is>
          <t>T'au Empire</t>
        </is>
      </c>
      <c r="C13" t="inlineStr">
        <is>
          <t>Character</t>
        </is>
      </c>
      <c r="D13" t="inlineStr">
        <is>
          <t>Character</t>
        </is>
      </c>
      <c r="E13" t="inlineStr">
        <is>
          <t>Darkstrider</t>
        </is>
      </c>
      <c r="F13" t="inlineStr">
        <is>
          <t>1 model</t>
        </is>
      </c>
      <c r="G13" t="inlineStr">
        <is>
          <t>Character</t>
        </is>
      </c>
      <c r="L13" s="60" t="n">
        <v>60</v>
      </c>
      <c r="M13" s="54" t="str"/>
      <c r="N13" s="54" t="inlineStr">
        <is>
          <t>Matched to Munitorum Field Manual v2.3</t>
        </is>
      </c>
      <c r="O13" s="54" t="inlineStr">
        <is>
          <t>Uploaded PDF: Munitorum Field Manual v2.3 / March 2025, p.34</t>
        </is>
      </c>
    </row>
    <row r="14">
      <c r="A14" t="inlineStr">
        <is>
          <t>T'au Empire</t>
        </is>
      </c>
      <c r="C14" t="inlineStr">
        <is>
          <t>Vehicle / Support</t>
        </is>
      </c>
      <c r="D14" t="inlineStr">
        <is>
          <t>Vehicle</t>
        </is>
      </c>
      <c r="E14" t="inlineStr">
        <is>
          <t>Devilfish</t>
        </is>
      </c>
      <c r="F14" t="inlineStr">
        <is>
          <t>1 model</t>
        </is>
      </c>
      <c r="G14" t="inlineStr">
        <is>
          <t>Vehicle</t>
        </is>
      </c>
      <c r="L14" s="60" t="n">
        <v>85</v>
      </c>
      <c r="M14" s="54" t="str"/>
      <c r="N14" s="54" t="inlineStr">
        <is>
          <t>Matched to Munitorum Field Manual v2.3</t>
        </is>
      </c>
      <c r="O14" s="54" t="inlineStr">
        <is>
          <t>Uploaded PDF: Munitorum Field Manual v2.3 / March 2025, p.34</t>
        </is>
      </c>
    </row>
    <row r="15">
      <c r="A15" t="inlineStr">
        <is>
          <t>T'au Empire</t>
        </is>
      </c>
      <c r="C15" t="inlineStr">
        <is>
          <t>Character</t>
        </is>
      </c>
      <c r="D15" t="inlineStr">
        <is>
          <t>Character</t>
        </is>
      </c>
      <c r="E15" t="inlineStr">
        <is>
          <t>Ethereal</t>
        </is>
      </c>
      <c r="F15" t="inlineStr">
        <is>
          <t>1 model</t>
        </is>
      </c>
      <c r="G15" t="inlineStr">
        <is>
          <t>Character</t>
        </is>
      </c>
      <c r="L15" s="60" t="n">
        <v>50</v>
      </c>
      <c r="M15" s="54" t="str"/>
      <c r="N15" s="54" t="inlineStr">
        <is>
          <t>Matched to Munitorum Field Manual v2.3</t>
        </is>
      </c>
      <c r="O15" s="54" t="inlineStr">
        <is>
          <t>Uploaded PDF: Munitorum Field Manual v2.3 / March 2025, p.34</t>
        </is>
      </c>
    </row>
    <row r="16">
      <c r="A16" t="inlineStr">
        <is>
          <t>T'au Empire</t>
        </is>
      </c>
      <c r="C16" t="inlineStr">
        <is>
          <t>Infantry / Other</t>
        </is>
      </c>
      <c r="D16" t="inlineStr">
        <is>
          <t>Infantry</t>
        </is>
      </c>
      <c r="E16" t="inlineStr">
        <is>
          <t>Firesight Team</t>
        </is>
      </c>
      <c r="F16" t="inlineStr">
        <is>
          <t>1 model</t>
        </is>
      </c>
      <c r="G16" t="inlineStr">
        <is>
          <t>Infantry</t>
        </is>
      </c>
      <c r="L16" s="60" t="n">
        <v>70</v>
      </c>
      <c r="M16" s="54" t="str"/>
      <c r="N16" s="54" t="inlineStr">
        <is>
          <t>Matched to Munitorum Field Manual v2.3</t>
        </is>
      </c>
      <c r="O16" s="54" t="inlineStr">
        <is>
          <t>Uploaded PDF: Munitorum Field Manual v2.3 / March 2025, p.34</t>
        </is>
      </c>
    </row>
    <row r="17">
      <c r="A17" t="inlineStr">
        <is>
          <t>T'au Empire</t>
        </is>
      </c>
      <c r="C17" t="inlineStr">
        <is>
          <t>Vehicle / Support</t>
        </is>
      </c>
      <c r="D17" t="inlineStr">
        <is>
          <t>Walker / Battlesuit</t>
        </is>
      </c>
      <c r="E17" t="inlineStr">
        <is>
          <t>Ghostkeel Battlesuit</t>
        </is>
      </c>
      <c r="F17" t="inlineStr">
        <is>
          <t>1 model</t>
        </is>
      </c>
      <c r="G17" t="inlineStr">
        <is>
          <t>Walker / Battlesuit</t>
        </is>
      </c>
      <c r="L17" s="60" t="n">
        <v>160</v>
      </c>
      <c r="M17" s="54" t="str"/>
      <c r="N17" s="54" t="inlineStr">
        <is>
          <t>Matched to Munitorum Field Manual v2.3</t>
        </is>
      </c>
      <c r="O17" s="54" t="inlineStr">
        <is>
          <t>Uploaded PDF: Munitorum Field Manual v2.3 / March 2025, p.34</t>
        </is>
      </c>
    </row>
    <row r="18">
      <c r="A18" t="inlineStr">
        <is>
          <t>T'au Empire</t>
        </is>
      </c>
      <c r="C18" t="inlineStr">
        <is>
          <t>Vehicle / Support</t>
        </is>
      </c>
      <c r="D18" t="inlineStr">
        <is>
          <t>Vehicle</t>
        </is>
      </c>
      <c r="E18" t="inlineStr">
        <is>
          <t>Hammerhead Gunship</t>
        </is>
      </c>
      <c r="F18" t="inlineStr">
        <is>
          <t>1 model</t>
        </is>
      </c>
      <c r="G18" t="inlineStr">
        <is>
          <t>Vehicle</t>
        </is>
      </c>
      <c r="L18" s="60" t="n">
        <v>145</v>
      </c>
      <c r="M18" s="54" t="str"/>
      <c r="N18" s="54" t="inlineStr">
        <is>
          <t>Matched to Munitorum Field Manual v2.3</t>
        </is>
      </c>
      <c r="O18" s="54" t="inlineStr">
        <is>
          <t>Uploaded PDF: Munitorum Field Manual v2.3 / March 2025, p.34</t>
        </is>
      </c>
    </row>
    <row r="19">
      <c r="A19" t="inlineStr">
        <is>
          <t>T'au Empire</t>
        </is>
      </c>
      <c r="C19" t="inlineStr">
        <is>
          <t>Infantry / Other</t>
        </is>
      </c>
      <c r="D19" t="inlineStr">
        <is>
          <t>Infantry</t>
        </is>
      </c>
      <c r="E19" t="inlineStr">
        <is>
          <t>Kroot Carnivores</t>
        </is>
      </c>
      <c r="F19" t="inlineStr">
        <is>
          <t>10 models</t>
        </is>
      </c>
      <c r="G19" t="inlineStr">
        <is>
          <t>Infantry</t>
        </is>
      </c>
      <c r="L19" s="60" t="n">
        <v>65</v>
      </c>
      <c r="M19" s="54" t="inlineStr">
        <is>
          <t>Points options: 10 models = 65 pts; 20 models = 130 pts</t>
        </is>
      </c>
      <c r="N19" s="54" t="inlineStr">
        <is>
          <t>Matched to Munitorum Field Manual v2.3</t>
        </is>
      </c>
      <c r="O19" s="54" t="inlineStr">
        <is>
          <t>Uploaded PDF: Munitorum Field Manual v2.3 / March 2025, p.34</t>
        </is>
      </c>
    </row>
    <row r="20">
      <c r="A20" t="inlineStr">
        <is>
          <t>T'au Empire</t>
        </is>
      </c>
      <c r="C20" t="inlineStr">
        <is>
          <t>Vehicle / Support</t>
        </is>
      </c>
      <c r="D20" t="inlineStr">
        <is>
          <t>Walker / Battlesuit</t>
        </is>
      </c>
      <c r="E20" t="inlineStr">
        <is>
          <t>Kroot Farstalkers</t>
        </is>
      </c>
      <c r="F20" t="inlineStr">
        <is>
          <t>12 models</t>
        </is>
      </c>
      <c r="G20" t="inlineStr">
        <is>
          <t>Walker / Battlesuit</t>
        </is>
      </c>
      <c r="L20" s="60" t="n">
        <v>85</v>
      </c>
      <c r="M20" s="54" t="str"/>
      <c r="N20" s="54" t="inlineStr">
        <is>
          <t>Matched to Munitorum Field Manual v2.3</t>
        </is>
      </c>
      <c r="O20" s="54" t="inlineStr">
        <is>
          <t>Uploaded PDF: Munitorum Field Manual v2.3 / March 2025, p.34</t>
        </is>
      </c>
    </row>
    <row r="21">
      <c r="A21" t="inlineStr">
        <is>
          <t>T'au Empire</t>
        </is>
      </c>
      <c r="C21" t="inlineStr">
        <is>
          <t>Infantry / Other</t>
        </is>
      </c>
      <c r="D21" t="inlineStr">
        <is>
          <t>Beast / Swarm</t>
        </is>
      </c>
      <c r="E21" t="inlineStr">
        <is>
          <t>Kroot Hounds</t>
        </is>
      </c>
      <c r="F21" t="inlineStr">
        <is>
          <t>5 models</t>
        </is>
      </c>
      <c r="G21" t="inlineStr">
        <is>
          <t>Beast / Swarm</t>
        </is>
      </c>
      <c r="L21" s="60" t="n">
        <v>40</v>
      </c>
      <c r="M21" s="54" t="inlineStr">
        <is>
          <t>Points options: 5 models = 40 pts; 10 models = 80 pts</t>
        </is>
      </c>
      <c r="N21" s="54" t="inlineStr">
        <is>
          <t>Matched to Munitorum Field Manual v2.3</t>
        </is>
      </c>
      <c r="O21" s="54" t="inlineStr">
        <is>
          <t>Uploaded PDF: Munitorum Field Manual v2.3 / March 2025, p.34</t>
        </is>
      </c>
    </row>
    <row r="22">
      <c r="A22" t="inlineStr">
        <is>
          <t>T'au Empire</t>
        </is>
      </c>
      <c r="C22" t="inlineStr">
        <is>
          <t>Infantry / Other</t>
        </is>
      </c>
      <c r="D22" t="inlineStr">
        <is>
          <t>Infantry</t>
        </is>
      </c>
      <c r="E22" t="inlineStr">
        <is>
          <t>Kroot Lone-spear</t>
        </is>
      </c>
      <c r="F22" t="inlineStr">
        <is>
          <t>1 model</t>
        </is>
      </c>
      <c r="G22" t="inlineStr">
        <is>
          <t>Infantry</t>
        </is>
      </c>
      <c r="L22" s="60" t="n">
        <v>80</v>
      </c>
      <c r="M22" s="54" t="str"/>
      <c r="N22" s="54" t="inlineStr">
        <is>
          <t>Matched to Munitorum Field Manual v2.3</t>
        </is>
      </c>
      <c r="O22" s="54" t="inlineStr">
        <is>
          <t>Uploaded PDF: Munitorum Field Manual v2.3 / March 2025, p.34</t>
        </is>
      </c>
    </row>
    <row r="23">
      <c r="A23" t="inlineStr">
        <is>
          <t>T'au Empire</t>
        </is>
      </c>
      <c r="C23" t="inlineStr">
        <is>
          <t>Vehicle / Support</t>
        </is>
      </c>
      <c r="D23" t="inlineStr">
        <is>
          <t>Vehicle</t>
        </is>
      </c>
      <c r="E23" t="inlineStr">
        <is>
          <t>Krootox Rampagers</t>
        </is>
      </c>
      <c r="F23" t="inlineStr">
        <is>
          <t>3 models</t>
        </is>
      </c>
      <c r="G23" t="inlineStr">
        <is>
          <t>Vehicle</t>
        </is>
      </c>
      <c r="L23" s="60" t="n">
        <v>85</v>
      </c>
      <c r="M23" s="54" t="inlineStr">
        <is>
          <t>Points options: 3 models = 85 pts; 6 models = 170 pts</t>
        </is>
      </c>
      <c r="N23" s="54" t="inlineStr">
        <is>
          <t>Matched to Munitorum Field Manual v2.3</t>
        </is>
      </c>
      <c r="O23" s="54" t="inlineStr">
        <is>
          <t>Uploaded PDF: Munitorum Field Manual v2.3 / March 2025, p.34</t>
        </is>
      </c>
    </row>
    <row r="24">
      <c r="A24" t="inlineStr">
        <is>
          <t>T'au Empire</t>
        </is>
      </c>
      <c r="C24" t="inlineStr">
        <is>
          <t>Infantry / Other</t>
        </is>
      </c>
      <c r="D24" t="inlineStr">
        <is>
          <t>Infantry</t>
        </is>
      </c>
      <c r="E24" t="inlineStr">
        <is>
          <t>Krootox Riders</t>
        </is>
      </c>
      <c r="F24" t="inlineStr">
        <is>
          <t>1 model</t>
        </is>
      </c>
      <c r="G24" t="inlineStr">
        <is>
          <t>Infantry</t>
        </is>
      </c>
      <c r="L24" s="60" t="n">
        <v>40</v>
      </c>
      <c r="M24" s="54" t="inlineStr">
        <is>
          <t>Points options: 1 model = 40 pts; 2 models = 60 pts; 3 models = 90 pts</t>
        </is>
      </c>
      <c r="N24" s="54" t="inlineStr">
        <is>
          <t>Matched to Munitorum Field Manual v2.3</t>
        </is>
      </c>
      <c r="O24" s="54" t="inlineStr">
        <is>
          <t>Uploaded PDF: Munitorum Field Manual v2.3 / March 2025, p.34</t>
        </is>
      </c>
    </row>
    <row r="25">
      <c r="A25" t="inlineStr">
        <is>
          <t>T'au Empire</t>
        </is>
      </c>
      <c r="C25" t="inlineStr">
        <is>
          <t>Infantry / Other</t>
        </is>
      </c>
      <c r="D25" t="inlineStr">
        <is>
          <t>Infantry</t>
        </is>
      </c>
      <c r="E25" t="inlineStr">
        <is>
          <t>Pathfinder Team</t>
        </is>
      </c>
      <c r="F25" t="inlineStr">
        <is>
          <t>10 models</t>
        </is>
      </c>
      <c r="G25" t="inlineStr">
        <is>
          <t>Infantry</t>
        </is>
      </c>
      <c r="L25" s="60" t="n">
        <v>90</v>
      </c>
      <c r="M25" s="54" t="str"/>
      <c r="N25" s="54" t="inlineStr">
        <is>
          <t>Matched to Munitorum Field Manual v2.3</t>
        </is>
      </c>
      <c r="O25" s="54" t="inlineStr">
        <is>
          <t>Uploaded PDF: Munitorum Field Manual v2.3 / March 2025, p.34</t>
        </is>
      </c>
    </row>
    <row r="26">
      <c r="A26" t="inlineStr">
        <is>
          <t>T'au Empire</t>
        </is>
      </c>
      <c r="C26" t="inlineStr">
        <is>
          <t>Vehicle / Support</t>
        </is>
      </c>
      <c r="D26" t="inlineStr">
        <is>
          <t>Vehicle</t>
        </is>
      </c>
      <c r="E26" t="inlineStr">
        <is>
          <t>Piranhas</t>
        </is>
      </c>
      <c r="F26" t="inlineStr">
        <is>
          <t>1 model</t>
        </is>
      </c>
      <c r="G26" t="inlineStr">
        <is>
          <t>Vehicle</t>
        </is>
      </c>
      <c r="L26" s="60" t="n">
        <v>60</v>
      </c>
      <c r="M26" s="54" t="inlineStr">
        <is>
          <t>Points options: 1 model = 60 pts; 2 models = 120 pts; 3 models = 180 pts</t>
        </is>
      </c>
      <c r="N26" s="54" t="inlineStr">
        <is>
          <t>Matched to Munitorum Field Manual v2.3</t>
        </is>
      </c>
      <c r="O26" s="54" t="inlineStr">
        <is>
          <t>Uploaded PDF: Munitorum Field Manual v2.3 / March 2025, p.34</t>
        </is>
      </c>
    </row>
    <row r="27">
      <c r="A27" t="inlineStr">
        <is>
          <t>T'au Empire</t>
        </is>
      </c>
      <c r="C27" t="inlineStr">
        <is>
          <t>Infantry / Other</t>
        </is>
      </c>
      <c r="D27" t="inlineStr">
        <is>
          <t>Infantry</t>
        </is>
      </c>
      <c r="E27" t="inlineStr">
        <is>
          <t>Razorshark Strike Fighter</t>
        </is>
      </c>
      <c r="F27" t="inlineStr">
        <is>
          <t>1 model</t>
        </is>
      </c>
      <c r="G27" t="inlineStr">
        <is>
          <t>Infantry</t>
        </is>
      </c>
      <c r="L27" s="60" t="n">
        <v>170</v>
      </c>
      <c r="M27" s="54" t="str"/>
      <c r="N27" s="54" t="inlineStr">
        <is>
          <t>Matched to Munitorum Field Manual v2.3</t>
        </is>
      </c>
      <c r="O27" s="54" t="inlineStr">
        <is>
          <t>Uploaded PDF: Munitorum Field Manual v2.3 / March 2025, p.34</t>
        </is>
      </c>
    </row>
    <row r="28">
      <c r="A28" t="inlineStr">
        <is>
          <t>T'au Empire</t>
        </is>
      </c>
      <c r="C28" t="inlineStr">
        <is>
          <t>Vehicle / Support</t>
        </is>
      </c>
      <c r="D28" t="inlineStr">
        <is>
          <t>Walker / Battlesuit</t>
        </is>
      </c>
      <c r="E28" t="inlineStr">
        <is>
          <t>Riptide Battlesuit</t>
        </is>
      </c>
      <c r="F28" t="inlineStr">
        <is>
          <t>1 model</t>
        </is>
      </c>
      <c r="G28" t="inlineStr">
        <is>
          <t>Walker / Battlesuit</t>
        </is>
      </c>
      <c r="L28" s="60" t="n">
        <v>190</v>
      </c>
      <c r="M28" s="54" t="str"/>
      <c r="N28" s="54" t="inlineStr">
        <is>
          <t>Matched to Munitorum Field Manual v2.3</t>
        </is>
      </c>
      <c r="O28" s="54" t="inlineStr">
        <is>
          <t>Uploaded PDF: Munitorum Field Manual v2.3 / March 2025, p.34</t>
        </is>
      </c>
    </row>
    <row r="29">
      <c r="A29" t="inlineStr">
        <is>
          <t>T'au Empire</t>
        </is>
      </c>
      <c r="C29" t="inlineStr">
        <is>
          <t>Vehicle / Support</t>
        </is>
      </c>
      <c r="D29" t="inlineStr">
        <is>
          <t>Vehicle</t>
        </is>
      </c>
      <c r="E29" t="inlineStr">
        <is>
          <t>Sky Ray Gunship</t>
        </is>
      </c>
      <c r="F29" t="inlineStr">
        <is>
          <t>1 model</t>
        </is>
      </c>
      <c r="G29" t="inlineStr">
        <is>
          <t>Vehicle</t>
        </is>
      </c>
      <c r="L29" s="60" t="n">
        <v>140</v>
      </c>
      <c r="M29" s="54" t="str"/>
      <c r="N29" s="54" t="inlineStr">
        <is>
          <t>Matched to Munitorum Field Manual v2.3</t>
        </is>
      </c>
      <c r="O29" s="54" t="inlineStr">
        <is>
          <t>Uploaded PDF: Munitorum Field Manual v2.3 / March 2025, p.34</t>
        </is>
      </c>
    </row>
    <row r="30">
      <c r="A30" t="inlineStr">
        <is>
          <t>T'au Empire</t>
        </is>
      </c>
      <c r="C30" t="inlineStr">
        <is>
          <t>Vehicle / Support</t>
        </is>
      </c>
      <c r="D30" t="inlineStr">
        <is>
          <t>Walker / Battlesuit</t>
        </is>
      </c>
      <c r="E30" t="inlineStr">
        <is>
          <t>Stealth Battlesuits</t>
        </is>
      </c>
      <c r="F30" t="inlineStr">
        <is>
          <t>3 models</t>
        </is>
      </c>
      <c r="G30" t="inlineStr">
        <is>
          <t>Walker / Battlesuit</t>
        </is>
      </c>
      <c r="L30" s="60" t="n">
        <v>60</v>
      </c>
      <c r="M30" s="54" t="inlineStr">
        <is>
          <t>Points options: 3 models = 60 pts; 6 models = 120 pts</t>
        </is>
      </c>
      <c r="N30" s="54" t="inlineStr">
        <is>
          <t>Matched to Munitorum Field Manual v2.3</t>
        </is>
      </c>
      <c r="O30" s="54" t="inlineStr">
        <is>
          <t>Uploaded PDF: Munitorum Field Manual v2.3 / March 2025, p.34</t>
        </is>
      </c>
    </row>
    <row r="31">
      <c r="A31" t="inlineStr">
        <is>
          <t>T'au Empire</t>
        </is>
      </c>
      <c r="C31" t="inlineStr">
        <is>
          <t>Vehicle / Support</t>
        </is>
      </c>
      <c r="D31" t="inlineStr">
        <is>
          <t>Super-heavy Vehicle/Monster</t>
        </is>
      </c>
      <c r="E31" t="inlineStr">
        <is>
          <t>Stormsurge</t>
        </is>
      </c>
      <c r="F31" t="inlineStr">
        <is>
          <t>1 model</t>
        </is>
      </c>
      <c r="G31" t="inlineStr">
        <is>
          <t>Super-heavy Vehicle/Monster</t>
        </is>
      </c>
      <c r="L31" s="60" t="n">
        <v>400</v>
      </c>
      <c r="M31" s="54" t="str"/>
      <c r="N31" s="54" t="inlineStr">
        <is>
          <t>Matched to Munitorum Field Manual v2.3</t>
        </is>
      </c>
      <c r="O31" s="54" t="inlineStr">
        <is>
          <t>Uploaded PDF: Munitorum Field Manual v2.3 / March 2025, p.34</t>
        </is>
      </c>
    </row>
    <row r="32">
      <c r="A32" t="inlineStr">
        <is>
          <t>T'au Empire</t>
        </is>
      </c>
      <c r="C32" t="inlineStr">
        <is>
          <t>Battleline / Core</t>
        </is>
      </c>
      <c r="D32" t="inlineStr">
        <is>
          <t>Infantry</t>
        </is>
      </c>
      <c r="E32" t="inlineStr">
        <is>
          <t>Strike Team</t>
        </is>
      </c>
      <c r="F32" t="inlineStr">
        <is>
          <t>10 models</t>
        </is>
      </c>
      <c r="G32" t="inlineStr">
        <is>
          <t>Infantry</t>
        </is>
      </c>
      <c r="L32" s="60" t="n">
        <v>75</v>
      </c>
      <c r="M32" s="54" t="str"/>
      <c r="N32" s="54" t="inlineStr">
        <is>
          <t>Matched to Munitorum Field Manual v2.3</t>
        </is>
      </c>
      <c r="O32" s="54" t="inlineStr">
        <is>
          <t>Uploaded PDF: Munitorum Field Manual v2.3 / March 2025, p.34</t>
        </is>
      </c>
    </row>
    <row r="33">
      <c r="A33" t="inlineStr">
        <is>
          <t>T'au Empire</t>
        </is>
      </c>
      <c r="C33" t="inlineStr">
        <is>
          <t>Vehicle / Support</t>
        </is>
      </c>
      <c r="D33" t="inlineStr">
        <is>
          <t>Aircraft</t>
        </is>
      </c>
      <c r="E33" t="inlineStr">
        <is>
          <t>Sun Shark Bomber</t>
        </is>
      </c>
      <c r="F33" t="inlineStr">
        <is>
          <t>1 model</t>
        </is>
      </c>
      <c r="G33" t="inlineStr">
        <is>
          <t>Aircraft</t>
        </is>
      </c>
      <c r="L33" s="60" t="n">
        <v>160</v>
      </c>
      <c r="M33" s="54" t="str"/>
      <c r="N33" s="54" t="inlineStr">
        <is>
          <t>Matched to Munitorum Field Manual v2.3</t>
        </is>
      </c>
      <c r="O33" s="54" t="inlineStr">
        <is>
          <t>Uploaded PDF: Munitorum Field Manual v2.3 / March 2025, p.34</t>
        </is>
      </c>
    </row>
    <row r="34">
      <c r="A34" t="inlineStr">
        <is>
          <t>T'au Empire</t>
        </is>
      </c>
      <c r="C34" t="inlineStr">
        <is>
          <t>Infantry / Other</t>
        </is>
      </c>
      <c r="D34" t="inlineStr">
        <is>
          <t>Infantry</t>
        </is>
      </c>
      <c r="E34" t="inlineStr">
        <is>
          <t>Vespid Stingwings</t>
        </is>
      </c>
      <c r="F34" t="inlineStr">
        <is>
          <t>5 models</t>
        </is>
      </c>
      <c r="G34" t="inlineStr">
        <is>
          <t>Infantry</t>
        </is>
      </c>
      <c r="L34" s="60" t="n">
        <v>65</v>
      </c>
      <c r="M34" s="54" t="inlineStr">
        <is>
          <t>Points options: 5 models = 65 pts; 10 models = 130 pts</t>
        </is>
      </c>
      <c r="N34" s="54" t="inlineStr">
        <is>
          <t>Matched to Munitorum Field Manual v2.3</t>
        </is>
      </c>
      <c r="O34" s="54" t="inlineStr">
        <is>
          <t>Uploaded PDF: Munitorum Field Manual v2.3 / March 2025, p.34</t>
        </is>
      </c>
    </row>
    <row r="35">
      <c r="A35" t="inlineStr">
        <is>
          <t>T'au Empire</t>
        </is>
      </c>
      <c r="C35" t="inlineStr">
        <is>
          <t>Vehicle / Support</t>
        </is>
      </c>
      <c r="D35" t="inlineStr">
        <is>
          <t>Vehicle</t>
        </is>
      </c>
      <c r="E35" t="inlineStr">
        <is>
          <t>Ax-1-0 Tiger Shark</t>
        </is>
      </c>
      <c r="F35" t="inlineStr">
        <is>
          <t>1 model</t>
        </is>
      </c>
      <c r="G35" t="inlineStr">
        <is>
          <t>Vehicle</t>
        </is>
      </c>
      <c r="L35" t="n">
        <v>315</v>
      </c>
      <c r="M35" t="inlineStr">
        <is>
          <t>Your 1st Unit Costs: 1 models = 315 pts | Your 2nd + Unit Costs: 1 models = 375 pts</t>
        </is>
      </c>
      <c r="N35" t="inlineStr">
        <is>
          <t>Added from current Munitorum Field Manual v4.1 (non-Legends)</t>
        </is>
      </c>
      <c r="O35" t="inlineStr">
        <is>
          <t>https://www.warhammer-community.com/en-gb/downloads/warhammer-40000/</t>
        </is>
      </c>
    </row>
    <row r="36">
      <c r="A36" t="inlineStr">
        <is>
          <t>T'au Empire</t>
        </is>
      </c>
      <c r="C36" t="inlineStr">
        <is>
          <t>Infantry / Other</t>
        </is>
      </c>
      <c r="D36" t="inlineStr">
        <is>
          <t>Infantry</t>
        </is>
      </c>
      <c r="E36" t="inlineStr">
        <is>
          <t>Breacher Team</t>
        </is>
      </c>
      <c r="F36" t="inlineStr">
        <is>
          <t>10 models</t>
        </is>
      </c>
      <c r="G36" t="inlineStr">
        <is>
          <t>Infantry</t>
        </is>
      </c>
      <c r="L36" t="n">
        <v>90</v>
      </c>
      <c r="N36" t="inlineStr">
        <is>
          <t>Added from current Munitorum Field Manual v4.1 (non-Legends)</t>
        </is>
      </c>
      <c r="O36" t="inlineStr">
        <is>
          <t>https://www.warhammer-community.com/en-gb/downloads/warhammer-40000/</t>
        </is>
      </c>
    </row>
    <row r="37">
      <c r="A37" t="inlineStr">
        <is>
          <t>T'au Empire</t>
        </is>
      </c>
      <c r="C37" t="inlineStr">
        <is>
          <t>Character</t>
        </is>
      </c>
      <c r="D37" t="inlineStr">
        <is>
          <t>Character</t>
        </is>
      </c>
      <c r="E37" t="inlineStr">
        <is>
          <t>Kroot Flesh Shaper</t>
        </is>
      </c>
      <c r="F37" t="inlineStr">
        <is>
          <t>1 model</t>
        </is>
      </c>
      <c r="G37" t="inlineStr">
        <is>
          <t>Character</t>
        </is>
      </c>
      <c r="L37" t="n">
        <v>45</v>
      </c>
      <c r="N37" t="inlineStr">
        <is>
          <t>Added from current Munitorum Field Manual v4.1 (non-Legends)</t>
        </is>
      </c>
      <c r="O37" t="inlineStr">
        <is>
          <t>https://www.warhammer-community.com/en-gb/downloads/warhammer-40000/</t>
        </is>
      </c>
    </row>
    <row r="38">
      <c r="A38" t="inlineStr">
        <is>
          <t>T'au Empire</t>
        </is>
      </c>
      <c r="C38" t="inlineStr">
        <is>
          <t>Character</t>
        </is>
      </c>
      <c r="D38" t="inlineStr">
        <is>
          <t>Character</t>
        </is>
      </c>
      <c r="E38" t="inlineStr">
        <is>
          <t>Kroot Trail Shaper</t>
        </is>
      </c>
      <c r="F38" t="inlineStr">
        <is>
          <t>1 model</t>
        </is>
      </c>
      <c r="G38" t="inlineStr">
        <is>
          <t>Character</t>
        </is>
      </c>
      <c r="L38" t="n">
        <v>50</v>
      </c>
      <c r="N38" t="inlineStr">
        <is>
          <t>Added from current Munitorum Field Manual v4.1 (non-Legends)</t>
        </is>
      </c>
      <c r="O38" t="inlineStr">
        <is>
          <t>https://www.warhammer-community.com/en-gb/downloads/warhammer-40000/</t>
        </is>
      </c>
    </row>
    <row r="39">
      <c r="A39" t="inlineStr">
        <is>
          <t>T'au Empire</t>
        </is>
      </c>
      <c r="C39" t="inlineStr">
        <is>
          <t>Character</t>
        </is>
      </c>
      <c r="D39" t="inlineStr">
        <is>
          <t>Character</t>
        </is>
      </c>
      <c r="E39" t="inlineStr">
        <is>
          <t>Kroot War Shaper</t>
        </is>
      </c>
      <c r="F39" t="inlineStr">
        <is>
          <t>1 model</t>
        </is>
      </c>
      <c r="G39" t="inlineStr">
        <is>
          <t>Character</t>
        </is>
      </c>
      <c r="L39" t="n">
        <v>60</v>
      </c>
      <c r="N39" t="inlineStr">
        <is>
          <t>Added from current Munitorum Field Manual v4.1 (non-Legends)</t>
        </is>
      </c>
      <c r="O39" t="inlineStr">
        <is>
          <t>https://www.warhammer-community.com/en-gb/downloads/warhammer-40000/</t>
        </is>
      </c>
    </row>
    <row r="40">
      <c r="A40" t="inlineStr">
        <is>
          <t>T'au Empire</t>
        </is>
      </c>
      <c r="C40" t="inlineStr">
        <is>
          <t>Vehicle / Support</t>
        </is>
      </c>
      <c r="D40" t="inlineStr">
        <is>
          <t>Vehicle</t>
        </is>
      </c>
      <c r="E40" t="inlineStr">
        <is>
          <t>Manta</t>
        </is>
      </c>
      <c r="F40" t="inlineStr">
        <is>
          <t>1 model</t>
        </is>
      </c>
      <c r="G40" t="inlineStr">
        <is>
          <t>Vehicle</t>
        </is>
      </c>
      <c r="L40" t="n">
        <v>2100</v>
      </c>
      <c r="N40" t="inlineStr">
        <is>
          <t>Added from current Munitorum Field Manual v4.1 (non-Legends)</t>
        </is>
      </c>
      <c r="O40" t="inlineStr">
        <is>
          <t>https://www.warhammer-community.com/en-gb/downloads/warhammer-40000/</t>
        </is>
      </c>
    </row>
    <row r="41">
      <c r="A41" t="inlineStr">
        <is>
          <t>T'au Empire</t>
        </is>
      </c>
      <c r="C41" t="inlineStr">
        <is>
          <t>Infantry / Other</t>
        </is>
      </c>
      <c r="D41" t="inlineStr">
        <is>
          <t>Infantry</t>
        </is>
      </c>
      <c r="E41" t="inlineStr">
        <is>
          <t>Ta’Unar Supremacy Armour</t>
        </is>
      </c>
      <c r="F41" t="inlineStr">
        <is>
          <t>1 model</t>
        </is>
      </c>
      <c r="G41" t="inlineStr">
        <is>
          <t>Infantry</t>
        </is>
      </c>
      <c r="L41" t="n">
        <v>790</v>
      </c>
      <c r="M41" t="inlineStr">
        <is>
          <t>Your 1st Unit Costs: 1 models = 790 pts | Your 2nd + Unit Costs: 1 models = 890 pts</t>
        </is>
      </c>
      <c r="N41" t="inlineStr">
        <is>
          <t>Added from current Munitorum Field Manual v4.1 (non-Legends)</t>
        </is>
      </c>
      <c r="O41" t="inlineStr">
        <is>
          <t>https://www.warhammer-community.com/en-gb/downloads/warhammer-40000/</t>
        </is>
      </c>
    </row>
    <row r="42">
      <c r="A42" t="inlineStr">
        <is>
          <t>T'au Empire</t>
        </is>
      </c>
      <c r="C42" t="inlineStr">
        <is>
          <t>Infantry / Other</t>
        </is>
      </c>
      <c r="D42" t="inlineStr">
        <is>
          <t>Infantry</t>
        </is>
      </c>
      <c r="E42" t="inlineStr">
        <is>
          <t>The Twin Lance</t>
        </is>
      </c>
      <c r="F42" t="inlineStr">
        <is>
          <t>2 models</t>
        </is>
      </c>
      <c r="G42" t="inlineStr">
        <is>
          <t>Infantry</t>
        </is>
      </c>
      <c r="L42" t="n">
        <v>205</v>
      </c>
      <c r="N42" t="inlineStr">
        <is>
          <t>Added from current Munitorum Field Manual v4.1 (non-Legends)</t>
        </is>
      </c>
      <c r="O42" t="inlineStr">
        <is>
          <t>https://www.warhammer-community.com/en-gb/downloads/warhammer-40000/</t>
        </is>
      </c>
    </row>
    <row r="43">
      <c r="A43" t="inlineStr">
        <is>
          <t>T'au Empire</t>
        </is>
      </c>
      <c r="C43" t="inlineStr">
        <is>
          <t>Infantry / Other</t>
        </is>
      </c>
      <c r="D43" t="inlineStr">
        <is>
          <t>Infantry</t>
        </is>
      </c>
      <c r="E43" t="inlineStr">
        <is>
          <t>Tidewall Droneport</t>
        </is>
      </c>
      <c r="F43" t="inlineStr">
        <is>
          <t>1 model</t>
        </is>
      </c>
      <c r="G43" t="inlineStr">
        <is>
          <t>Infantry</t>
        </is>
      </c>
      <c r="L43" t="n">
        <v>85</v>
      </c>
      <c r="N43" t="inlineStr">
        <is>
          <t>Added from current Munitorum Field Manual v4.1 (non-Legends)</t>
        </is>
      </c>
      <c r="O43" t="inlineStr">
        <is>
          <t>https://www.warhammer-community.com/en-gb/downloads/warhammer-40000/</t>
        </is>
      </c>
    </row>
    <row r="44">
      <c r="A44" t="inlineStr">
        <is>
          <t>T'au Empire</t>
        </is>
      </c>
      <c r="C44" t="inlineStr">
        <is>
          <t>Infantry / Other</t>
        </is>
      </c>
      <c r="D44" t="inlineStr">
        <is>
          <t>Infantry</t>
        </is>
      </c>
      <c r="E44" t="inlineStr">
        <is>
          <t>Tidewall Gunrig</t>
        </is>
      </c>
      <c r="F44" t="inlineStr">
        <is>
          <t>1 model</t>
        </is>
      </c>
      <c r="G44" t="inlineStr">
        <is>
          <t>Infantry</t>
        </is>
      </c>
      <c r="L44" t="n">
        <v>90</v>
      </c>
      <c r="N44" t="inlineStr">
        <is>
          <t>Added from current Munitorum Field Manual v4.1 (non-Legends)</t>
        </is>
      </c>
      <c r="O44" t="inlineStr">
        <is>
          <t>https://www.warhammer-community.com/en-gb/downloads/warhammer-40000/</t>
        </is>
      </c>
    </row>
    <row r="45">
      <c r="A45" t="inlineStr">
        <is>
          <t>T'au Empire</t>
        </is>
      </c>
      <c r="C45" t="inlineStr">
        <is>
          <t>Infantry / Other</t>
        </is>
      </c>
      <c r="D45" t="inlineStr">
        <is>
          <t>Infantry</t>
        </is>
      </c>
      <c r="E45" t="inlineStr">
        <is>
          <t>Tidewall Shieldline</t>
        </is>
      </c>
      <c r="F45" t="inlineStr">
        <is>
          <t>1 model</t>
        </is>
      </c>
      <c r="G45" t="inlineStr">
        <is>
          <t>Infantry</t>
        </is>
      </c>
      <c r="L45" t="n">
        <v>85</v>
      </c>
      <c r="N45" t="inlineStr">
        <is>
          <t>Added from current Munitorum Field Manual v4.1 (non-Legends)</t>
        </is>
      </c>
      <c r="O45" t="inlineStr">
        <is>
          <t>https://www.warhammer-community.com/en-gb/downloads/warhammer-40000/</t>
        </is>
      </c>
    </row>
    <row r="46">
      <c r="A46" t="inlineStr">
        <is>
          <t>T'au Empire</t>
        </is>
      </c>
      <c r="C46" t="inlineStr">
        <is>
          <t>Vehicle / Support</t>
        </is>
      </c>
      <c r="D46" t="inlineStr">
        <is>
          <t>Vehicle</t>
        </is>
      </c>
      <c r="E46" t="inlineStr">
        <is>
          <t>Tiger Shark</t>
        </is>
      </c>
      <c r="F46" t="inlineStr">
        <is>
          <t>1 model</t>
        </is>
      </c>
      <c r="G46" t="inlineStr">
        <is>
          <t>Vehicle</t>
        </is>
      </c>
      <c r="L46" t="n">
        <v>325</v>
      </c>
      <c r="M46" t="inlineStr">
        <is>
          <t>Your 1st Unit Costs: 1 models = 325 pts | Your 2nd + Unit Costs: 1 models = 375 pts</t>
        </is>
      </c>
      <c r="N46" t="inlineStr">
        <is>
          <t>Added from current Munitorum Field Manual v4.1 (non-Legends)</t>
        </is>
      </c>
      <c r="O46"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Thousand Sons</t>
        </is>
      </c>
      <c r="C2" t="inlineStr">
        <is>
          <t>Infantry / Other</t>
        </is>
      </c>
      <c r="D2" t="inlineStr">
        <is>
          <t>Infantry</t>
        </is>
      </c>
      <c r="E2" t="inlineStr">
        <is>
          <t>Ahriman</t>
        </is>
      </c>
      <c r="F2" t="inlineStr">
        <is>
          <t>1 model</t>
        </is>
      </c>
      <c r="G2" t="inlineStr">
        <is>
          <t>Infantry</t>
        </is>
      </c>
      <c r="L2" s="60" t="n">
        <v>140</v>
      </c>
      <c r="M2" s="54" t="str"/>
      <c r="N2" s="54" t="inlineStr">
        <is>
          <t>Matched to Munitorum Field Manual v2.3</t>
        </is>
      </c>
      <c r="O2" s="54" t="inlineStr">
        <is>
          <t>Uploaded PDF: Munitorum Field Manual v2.3 / March 2025, p.35</t>
        </is>
      </c>
    </row>
    <row r="3">
      <c r="A3" t="inlineStr">
        <is>
          <t>Thousand Sons</t>
        </is>
      </c>
      <c r="C3" t="inlineStr">
        <is>
          <t>Infantry / Other</t>
        </is>
      </c>
      <c r="D3" t="inlineStr">
        <is>
          <t>Mounted / Bike</t>
        </is>
      </c>
      <c r="E3" t="inlineStr">
        <is>
          <t>Ahriman on Disc of Tzeentch</t>
        </is>
      </c>
      <c r="F3" t="inlineStr">
        <is>
          <t>1 model</t>
        </is>
      </c>
      <c r="G3" t="inlineStr">
        <is>
          <t>Mounted / Bike, Psyker</t>
        </is>
      </c>
      <c r="L3" s="60" t="n">
        <v>150</v>
      </c>
      <c r="M3" s="54" t="str"/>
      <c r="N3" s="54" t="inlineStr">
        <is>
          <t>Matched to Munitorum Field Manual v2.3</t>
        </is>
      </c>
      <c r="O3" s="54" t="inlineStr">
        <is>
          <t>Uploaded PDF: Munitorum Field Manual v2.3 / March 2025, p.35</t>
        </is>
      </c>
    </row>
    <row r="4">
      <c r="A4" t="inlineStr">
        <is>
          <t>Thousand Sons</t>
        </is>
      </c>
      <c r="C4" t="inlineStr">
        <is>
          <t>Infantry / Other</t>
        </is>
      </c>
      <c r="D4" t="inlineStr">
        <is>
          <t>Infantry</t>
        </is>
      </c>
      <c r="E4" t="inlineStr">
        <is>
          <t>Exalted Sorcerer</t>
        </is>
      </c>
      <c r="F4" t="inlineStr">
        <is>
          <t>1 model</t>
        </is>
      </c>
      <c r="G4" t="inlineStr">
        <is>
          <t>Infantry, Psyker</t>
        </is>
      </c>
      <c r="L4" s="60" t="n">
        <v>110</v>
      </c>
      <c r="M4" s="54" t="str"/>
      <c r="N4" s="54" t="inlineStr">
        <is>
          <t>Matched to Munitorum Field Manual v2.3</t>
        </is>
      </c>
      <c r="O4" s="54" t="inlineStr">
        <is>
          <t>Uploaded PDF: Munitorum Field Manual v2.3 / March 2025, p.35</t>
        </is>
      </c>
    </row>
    <row r="5">
      <c r="A5" t="inlineStr">
        <is>
          <t>Thousand Sons</t>
        </is>
      </c>
      <c r="C5" t="inlineStr">
        <is>
          <t>Infantry / Other</t>
        </is>
      </c>
      <c r="D5" t="inlineStr">
        <is>
          <t>Mounted / Bike</t>
        </is>
      </c>
      <c r="E5" t="inlineStr">
        <is>
          <t>Exalted Sorcerer on Disc of Tzeentch</t>
        </is>
      </c>
      <c r="F5" t="inlineStr">
        <is>
          <t>1 model</t>
        </is>
      </c>
      <c r="G5" t="inlineStr">
        <is>
          <t>Mounted / Bike, Psyker</t>
        </is>
      </c>
      <c r="L5" s="60" t="n">
        <v>115</v>
      </c>
      <c r="M5" s="54" t="str"/>
      <c r="N5" s="54" t="inlineStr">
        <is>
          <t>Matched to Munitorum Field Manual v2.3</t>
        </is>
      </c>
      <c r="O5" s="54" t="inlineStr">
        <is>
          <t>Uploaded PDF: Munitorum Field Manual v2.3 / March 2025, p.35</t>
        </is>
      </c>
    </row>
    <row r="6">
      <c r="A6" t="inlineStr">
        <is>
          <t>Thousand Sons</t>
        </is>
      </c>
      <c r="C6" t="inlineStr">
        <is>
          <t>Character</t>
        </is>
      </c>
      <c r="D6" t="inlineStr">
        <is>
          <t>Character</t>
        </is>
      </c>
      <c r="E6" t="inlineStr">
        <is>
          <t>Infernal Master</t>
        </is>
      </c>
      <c r="F6" t="inlineStr">
        <is>
          <t>1 model</t>
        </is>
      </c>
      <c r="G6" t="inlineStr">
        <is>
          <t>Character</t>
        </is>
      </c>
      <c r="L6" s="60" t="n">
        <v>105</v>
      </c>
      <c r="M6" s="54" t="str"/>
      <c r="N6" s="54" t="inlineStr">
        <is>
          <t>Matched to Munitorum Field Manual v2.3</t>
        </is>
      </c>
      <c r="O6" s="54" t="inlineStr">
        <is>
          <t>Uploaded PDF: Munitorum Field Manual v2.3 / March 2025, p.35</t>
        </is>
      </c>
    </row>
    <row r="7">
      <c r="A7" t="inlineStr">
        <is>
          <t>Thousand Sons</t>
        </is>
      </c>
      <c r="C7" t="inlineStr">
        <is>
          <t>Monster / Heavy Support</t>
        </is>
      </c>
      <c r="D7" t="inlineStr">
        <is>
          <t>Monster</t>
        </is>
      </c>
      <c r="E7" t="inlineStr">
        <is>
          <t>Magnus the Red</t>
        </is>
      </c>
      <c r="F7" t="inlineStr">
        <is>
          <t>1 model</t>
        </is>
      </c>
      <c r="G7" t="inlineStr">
        <is>
          <t>Monster, Epic Hero</t>
        </is>
      </c>
      <c r="L7" s="60" t="n">
        <v>465</v>
      </c>
      <c r="M7" s="54" t="str"/>
      <c r="N7" s="54" t="inlineStr">
        <is>
          <t>Matched to Munitorum Field Manual v2.3</t>
        </is>
      </c>
      <c r="O7" s="54" t="inlineStr">
        <is>
          <t>Uploaded PDF: Munitorum Field Manual v2.3 / March 2025, p.35</t>
        </is>
      </c>
    </row>
    <row r="8">
      <c r="A8" t="inlineStr">
        <is>
          <t>Thousand Sons</t>
        </is>
      </c>
      <c r="C8" t="inlineStr">
        <is>
          <t>Monster / Heavy Support</t>
        </is>
      </c>
      <c r="D8" t="inlineStr">
        <is>
          <t>Monster</t>
        </is>
      </c>
      <c r="E8" t="inlineStr">
        <is>
          <t>Mutalith Vortex Beast</t>
        </is>
      </c>
      <c r="F8" t="inlineStr">
        <is>
          <t>1 model</t>
        </is>
      </c>
      <c r="G8" t="inlineStr">
        <is>
          <t>Monster</t>
        </is>
      </c>
      <c r="L8" s="60" t="n">
        <v>165</v>
      </c>
      <c r="M8" s="54" t="str"/>
      <c r="N8" s="54" t="inlineStr">
        <is>
          <t>Matched to Munitorum Field Manual v2.3</t>
        </is>
      </c>
      <c r="O8" s="54" t="inlineStr">
        <is>
          <t>Uploaded PDF: Munitorum Field Manual v2.3 / March 2025, p.35</t>
        </is>
      </c>
    </row>
    <row r="9">
      <c r="A9" t="inlineStr">
        <is>
          <t>Thousand Sons</t>
        </is>
      </c>
      <c r="C9" t="inlineStr">
        <is>
          <t>Battleline / Core</t>
        </is>
      </c>
      <c r="D9" t="inlineStr">
        <is>
          <t>Infantry</t>
        </is>
      </c>
      <c r="E9" t="inlineStr">
        <is>
          <t>Rubric Marines</t>
        </is>
      </c>
      <c r="F9" t="inlineStr">
        <is>
          <t>5 models</t>
        </is>
      </c>
      <c r="G9" t="inlineStr">
        <is>
          <t>Infantry</t>
        </is>
      </c>
      <c r="L9" s="60" t="n">
        <v>110</v>
      </c>
      <c r="M9" s="54" t="inlineStr">
        <is>
          <t>Points options: 5 models = 110 pts; 10 models = 200 pts</t>
        </is>
      </c>
      <c r="N9" s="54" t="inlineStr">
        <is>
          <t>Matched to Munitorum Field Manual v2.3</t>
        </is>
      </c>
      <c r="O9" s="54" t="inlineStr">
        <is>
          <t>Uploaded PDF: Munitorum Field Manual v2.3 / March 2025, p.35</t>
        </is>
      </c>
    </row>
    <row r="10">
      <c r="A10" t="inlineStr">
        <is>
          <t>Thousand Sons</t>
        </is>
      </c>
      <c r="C10" t="inlineStr">
        <is>
          <t>Infantry / Other</t>
        </is>
      </c>
      <c r="D10" t="inlineStr">
        <is>
          <t>Beast / Swarm</t>
        </is>
      </c>
      <c r="E10" t="inlineStr">
        <is>
          <t>Scarab Occult Terminators</t>
        </is>
      </c>
      <c r="F10" t="inlineStr">
        <is>
          <t>5 models</t>
        </is>
      </c>
      <c r="G10" t="inlineStr">
        <is>
          <t>Beast / Swarm</t>
        </is>
      </c>
      <c r="L10" s="60" t="n">
        <v>180</v>
      </c>
      <c r="M10" s="54" t="inlineStr">
        <is>
          <t>Points options: 5 models = 180 pts; 10 models = 360 pts</t>
        </is>
      </c>
      <c r="N10" s="54" t="inlineStr">
        <is>
          <t>Matched to Munitorum Field Manual v2.3</t>
        </is>
      </c>
      <c r="O10" s="54" t="inlineStr">
        <is>
          <t>Uploaded PDF: Munitorum Field Manual v2.3 / March 2025, p.35</t>
        </is>
      </c>
    </row>
    <row r="11">
      <c r="A11" t="inlineStr">
        <is>
          <t>Thousand Sons</t>
        </is>
      </c>
      <c r="C11" t="inlineStr">
        <is>
          <t>Infantry / Other</t>
        </is>
      </c>
      <c r="D11" t="inlineStr">
        <is>
          <t>Infantry</t>
        </is>
      </c>
      <c r="E11" t="inlineStr">
        <is>
          <t>Thousand Sons Chaos Spawn</t>
        </is>
      </c>
      <c r="F11" t="inlineStr">
        <is>
          <t>2 models</t>
        </is>
      </c>
      <c r="G11" t="inlineStr">
        <is>
          <t>Infantry, Psyker</t>
        </is>
      </c>
      <c r="L11" s="60" t="n">
        <v>65</v>
      </c>
      <c r="M11" s="54" t="str"/>
      <c r="N11" s="54" t="inlineStr">
        <is>
          <t>Matched to Munitorum Field Manual v2.3</t>
        </is>
      </c>
      <c r="O11" s="54" t="inlineStr">
        <is>
          <t>Uploaded PDF: Munitorum Field Manual v2.3 / March 2025, p.35</t>
        </is>
      </c>
    </row>
    <row r="12">
      <c r="A12" t="inlineStr">
        <is>
          <t>Thousand Sons</t>
        </is>
      </c>
      <c r="C12" t="inlineStr">
        <is>
          <t>Infantry / Other</t>
        </is>
      </c>
      <c r="D12" t="inlineStr">
        <is>
          <t>Infantry</t>
        </is>
      </c>
      <c r="E12" t="inlineStr">
        <is>
          <t>Thousand Sons Daemon Prince</t>
        </is>
      </c>
      <c r="F12" t="inlineStr">
        <is>
          <t>1 model</t>
        </is>
      </c>
      <c r="G12" t="inlineStr">
        <is>
          <t>Infantry, Psyker</t>
        </is>
      </c>
      <c r="L12" s="60" t="n">
        <v>170</v>
      </c>
      <c r="M12" s="54" t="str"/>
      <c r="N12" s="54" t="inlineStr">
        <is>
          <t>Matched to Munitorum Field Manual v2.3</t>
        </is>
      </c>
      <c r="O12" s="54" t="inlineStr">
        <is>
          <t>Uploaded PDF: Munitorum Field Manual v2.3 / March 2025, p.35</t>
        </is>
      </c>
    </row>
    <row r="13">
      <c r="A13" t="inlineStr">
        <is>
          <t>Thousand Sons</t>
        </is>
      </c>
      <c r="C13" t="inlineStr">
        <is>
          <t>Infantry / Other</t>
        </is>
      </c>
      <c r="D13" t="inlineStr">
        <is>
          <t>Infantry</t>
        </is>
      </c>
      <c r="E13" t="inlineStr">
        <is>
          <t>Thousand Sons Daemon Prince with Wings</t>
        </is>
      </c>
      <c r="F13" t="inlineStr">
        <is>
          <t>1 model</t>
        </is>
      </c>
      <c r="G13" t="inlineStr">
        <is>
          <t>Infantry, Psyker</t>
        </is>
      </c>
      <c r="L13" s="60" t="n">
        <v>180</v>
      </c>
      <c r="M13" s="54" t="str"/>
      <c r="N13" s="54" t="inlineStr">
        <is>
          <t>Matched to Munitorum Field Manual v2.3</t>
        </is>
      </c>
      <c r="O13" s="54" t="inlineStr">
        <is>
          <t>Uploaded PDF: Munitorum Field Manual v2.3 / March 2025, p.35</t>
        </is>
      </c>
    </row>
    <row r="14">
      <c r="A14" t="inlineStr">
        <is>
          <t>Thousand Sons</t>
        </is>
      </c>
      <c r="C14" t="inlineStr">
        <is>
          <t>Vehicle / Support</t>
        </is>
      </c>
      <c r="D14" t="inlineStr">
        <is>
          <t>Walker / Battlesuit</t>
        </is>
      </c>
      <c r="E14" t="inlineStr">
        <is>
          <t>Thousand Sons Defiler</t>
        </is>
      </c>
      <c r="F14" t="inlineStr">
        <is>
          <t>1 model</t>
        </is>
      </c>
      <c r="G14" t="inlineStr">
        <is>
          <t>Walker / Battlesuit, Psyker</t>
        </is>
      </c>
      <c r="L14" s="60" t="n">
        <v>190</v>
      </c>
      <c r="M14" s="54" t="str"/>
      <c r="N14" s="54" t="inlineStr">
        <is>
          <t>Matched to Munitorum Field Manual v2.3</t>
        </is>
      </c>
      <c r="O14" s="54" t="inlineStr">
        <is>
          <t>Uploaded PDF: Munitorum Field Manual v2.3 / March 2025, p.35</t>
        </is>
      </c>
    </row>
    <row r="15">
      <c r="A15" t="inlineStr">
        <is>
          <t>Thousand Sons</t>
        </is>
      </c>
      <c r="C15" t="inlineStr">
        <is>
          <t>Vehicle / Support</t>
        </is>
      </c>
      <c r="D15" t="inlineStr">
        <is>
          <t>Walker / Battlesuit</t>
        </is>
      </c>
      <c r="E15" t="inlineStr">
        <is>
          <t>Thousand Sons Forgefiend</t>
        </is>
      </c>
      <c r="F15" t="inlineStr">
        <is>
          <t>1 model</t>
        </is>
      </c>
      <c r="G15" t="inlineStr">
        <is>
          <t>Walker / Battlesuit, Psyker</t>
        </is>
      </c>
      <c r="L15" s="60" t="n">
        <v>145</v>
      </c>
      <c r="M15" s="54" t="str"/>
      <c r="N15" s="54" t="inlineStr">
        <is>
          <t>Matched to Munitorum Field Manual v2.3</t>
        </is>
      </c>
      <c r="O15" s="54" t="inlineStr">
        <is>
          <t>Uploaded PDF: Munitorum Field Manual v2.3 / March 2025, p.35</t>
        </is>
      </c>
    </row>
    <row r="16">
      <c r="A16" t="inlineStr">
        <is>
          <t>Thousand Sons</t>
        </is>
      </c>
      <c r="C16" t="inlineStr">
        <is>
          <t>Vehicle / Support</t>
        </is>
      </c>
      <c r="D16" t="inlineStr">
        <is>
          <t>Walker / Battlesuit</t>
        </is>
      </c>
      <c r="E16" t="inlineStr">
        <is>
          <t>Thousand Sons Helbrute</t>
        </is>
      </c>
      <c r="F16" t="inlineStr">
        <is>
          <t>1 model</t>
        </is>
      </c>
      <c r="G16" t="inlineStr">
        <is>
          <t>Walker / Battlesuit, Psyker</t>
        </is>
      </c>
      <c r="L16" s="60" t="n">
        <v>130</v>
      </c>
      <c r="M16" s="54" t="str"/>
      <c r="N16" s="54" t="inlineStr">
        <is>
          <t>Matched to Munitorum Field Manual v2.3</t>
        </is>
      </c>
      <c r="O16" s="54" t="inlineStr">
        <is>
          <t>Uploaded PDF: Munitorum Field Manual v2.3 / March 2025, p.35</t>
        </is>
      </c>
    </row>
    <row r="17">
      <c r="A17" t="inlineStr">
        <is>
          <t>Thousand Sons</t>
        </is>
      </c>
      <c r="C17" t="inlineStr">
        <is>
          <t>Vehicle / Support</t>
        </is>
      </c>
      <c r="D17" t="inlineStr">
        <is>
          <t>Vehicle</t>
        </is>
      </c>
      <c r="E17" t="inlineStr">
        <is>
          <t>Thousand Sons Land Raider</t>
        </is>
      </c>
      <c r="F17" t="inlineStr">
        <is>
          <t>1 model</t>
        </is>
      </c>
      <c r="G17" t="inlineStr">
        <is>
          <t>Vehicle, Psyker</t>
        </is>
      </c>
      <c r="L17" s="60" t="n">
        <v>240</v>
      </c>
      <c r="M17" s="54" t="str"/>
      <c r="N17" s="54" t="inlineStr">
        <is>
          <t>Matched to Munitorum Field Manual v2.3</t>
        </is>
      </c>
      <c r="O17" s="54" t="inlineStr">
        <is>
          <t>Uploaded PDF: Munitorum Field Manual v2.3 / March 2025, p.35</t>
        </is>
      </c>
    </row>
    <row r="18">
      <c r="A18" t="inlineStr">
        <is>
          <t>Thousand Sons</t>
        </is>
      </c>
      <c r="C18" t="inlineStr">
        <is>
          <t>Vehicle / Support</t>
        </is>
      </c>
      <c r="D18" t="inlineStr">
        <is>
          <t>Vehicle</t>
        </is>
      </c>
      <c r="E18" t="inlineStr">
        <is>
          <t>Thousand Sons Predator Annihilator</t>
        </is>
      </c>
      <c r="F18" t="inlineStr">
        <is>
          <t>1 model</t>
        </is>
      </c>
      <c r="G18" t="inlineStr">
        <is>
          <t>Vehicle, Psyker</t>
        </is>
      </c>
      <c r="L18" s="60" t="n">
        <v>135</v>
      </c>
      <c r="M18" s="54" t="str"/>
      <c r="N18" s="54" t="inlineStr">
        <is>
          <t>Matched to Munitorum Field Manual v2.3</t>
        </is>
      </c>
      <c r="O18" s="54" t="inlineStr">
        <is>
          <t>Uploaded PDF: Munitorum Field Manual v2.3 / March 2025, p.35</t>
        </is>
      </c>
    </row>
    <row r="19">
      <c r="A19" t="inlineStr">
        <is>
          <t>Thousand Sons</t>
        </is>
      </c>
      <c r="C19" t="inlineStr">
        <is>
          <t>Vehicle / Support</t>
        </is>
      </c>
      <c r="D19" t="inlineStr">
        <is>
          <t>Vehicle</t>
        </is>
      </c>
      <c r="E19" t="inlineStr">
        <is>
          <t>Thousand Sons Predator Destructor</t>
        </is>
      </c>
      <c r="F19" t="inlineStr">
        <is>
          <t>1 model</t>
        </is>
      </c>
      <c r="G19" t="inlineStr">
        <is>
          <t>Vehicle, Psyker</t>
        </is>
      </c>
      <c r="L19" s="60" t="n">
        <v>140</v>
      </c>
      <c r="M19" s="54" t="str"/>
      <c r="N19" s="54" t="inlineStr">
        <is>
          <t>Matched to Munitorum Field Manual v2.3</t>
        </is>
      </c>
      <c r="O19" s="54" t="inlineStr">
        <is>
          <t>Uploaded PDF: Munitorum Field Manual v2.3 / March 2025, p.35</t>
        </is>
      </c>
    </row>
    <row r="20">
      <c r="A20" t="inlineStr">
        <is>
          <t>Thousand Sons</t>
        </is>
      </c>
      <c r="C20" t="inlineStr">
        <is>
          <t>Vehicle / Support</t>
        </is>
      </c>
      <c r="D20" t="inlineStr">
        <is>
          <t>Vehicle</t>
        </is>
      </c>
      <c r="E20" t="inlineStr">
        <is>
          <t>Thousand Sons Rhino</t>
        </is>
      </c>
      <c r="F20" t="inlineStr">
        <is>
          <t>1 model</t>
        </is>
      </c>
      <c r="G20" t="inlineStr">
        <is>
          <t>Vehicle, Psyker</t>
        </is>
      </c>
      <c r="L20" s="60" t="n">
        <v>75</v>
      </c>
      <c r="M20" s="54" t="str"/>
      <c r="N20" s="54" t="inlineStr">
        <is>
          <t>Matched to Munitorum Field Manual v2.3</t>
        </is>
      </c>
      <c r="O20" s="54" t="inlineStr">
        <is>
          <t>Uploaded PDF: Munitorum Field Manual v2.3 / March 2025, p.35</t>
        </is>
      </c>
    </row>
    <row r="21">
      <c r="A21" t="inlineStr">
        <is>
          <t>Thousand Sons</t>
        </is>
      </c>
      <c r="C21" t="inlineStr">
        <is>
          <t>Infantry / Other</t>
        </is>
      </c>
      <c r="D21" t="inlineStr">
        <is>
          <t>Mounted / Bike</t>
        </is>
      </c>
      <c r="E21" t="inlineStr">
        <is>
          <t>Tzaangor Enlightened</t>
        </is>
      </c>
      <c r="F21" t="inlineStr">
        <is>
          <t>3 models</t>
        </is>
      </c>
      <c r="G21" t="inlineStr">
        <is>
          <t>Mounted / Bike</t>
        </is>
      </c>
      <c r="L21" s="60" t="n">
        <v>50</v>
      </c>
      <c r="M21" s="54" t="inlineStr">
        <is>
          <t>Points options: 3 models = 50 pts; 6 models = 80 pts</t>
        </is>
      </c>
      <c r="N21" s="54" t="inlineStr">
        <is>
          <t>Matched to Munitorum Field Manual v2.3</t>
        </is>
      </c>
      <c r="O21" s="54" t="inlineStr">
        <is>
          <t>Uploaded PDF: Munitorum Field Manual v2.3 / March 2025, p.35</t>
        </is>
      </c>
    </row>
    <row r="22">
      <c r="A22" t="inlineStr">
        <is>
          <t>Thousand Sons</t>
        </is>
      </c>
      <c r="C22" t="inlineStr">
        <is>
          <t>Infantry / Other</t>
        </is>
      </c>
      <c r="D22" t="inlineStr">
        <is>
          <t>Infantry</t>
        </is>
      </c>
      <c r="E22" t="inlineStr">
        <is>
          <t>Tzaangor Shaman</t>
        </is>
      </c>
      <c r="F22" t="inlineStr">
        <is>
          <t>1 model</t>
        </is>
      </c>
      <c r="G22" t="inlineStr">
        <is>
          <t>Infantry</t>
        </is>
      </c>
      <c r="L22" s="60" t="n">
        <v>60</v>
      </c>
      <c r="M22" s="54" t="str"/>
      <c r="N22" s="54" t="inlineStr">
        <is>
          <t>Matched to Munitorum Field Manual v2.3</t>
        </is>
      </c>
      <c r="O22" s="54" t="inlineStr">
        <is>
          <t>Uploaded PDF: Munitorum Field Manual v2.3 / March 2025, p.35</t>
        </is>
      </c>
    </row>
    <row r="23">
      <c r="A23" t="inlineStr">
        <is>
          <t>Thousand Sons</t>
        </is>
      </c>
      <c r="C23" t="inlineStr">
        <is>
          <t>Infantry / Other</t>
        </is>
      </c>
      <c r="D23" t="inlineStr">
        <is>
          <t>Infantry</t>
        </is>
      </c>
      <c r="E23" t="inlineStr">
        <is>
          <t>Tzaangors</t>
        </is>
      </c>
      <c r="F23" t="inlineStr">
        <is>
          <t>10 models</t>
        </is>
      </c>
      <c r="G23" t="inlineStr">
        <is>
          <t>Infantry</t>
        </is>
      </c>
      <c r="L23" s="60" t="n">
        <v>65</v>
      </c>
      <c r="M23" s="54" t="inlineStr">
        <is>
          <t>Points options: 10 models = 65 pts; 20 models = 120 pts</t>
        </is>
      </c>
      <c r="N23" s="54" t="inlineStr">
        <is>
          <t>Matched to Munitorum Field Manual v2.3</t>
        </is>
      </c>
      <c r="O23" s="54" t="inlineStr">
        <is>
          <t>Uploaded PDF: Munitorum Field Manual v2.3 / March 2025, p.35</t>
        </is>
      </c>
    </row>
    <row r="24">
      <c r="A24" t="inlineStr">
        <is>
          <t>Thousand Sons</t>
        </is>
      </c>
      <c r="C24" t="inlineStr">
        <is>
          <t>Infantry / Other</t>
        </is>
      </c>
      <c r="D24" t="inlineStr">
        <is>
          <t>Infantry</t>
        </is>
      </c>
      <c r="E24" t="inlineStr">
        <is>
          <t>Blue Horrors</t>
        </is>
      </c>
      <c r="F24" t="inlineStr">
        <is>
          <t>10 models</t>
        </is>
      </c>
      <c r="G24" t="inlineStr">
        <is>
          <t>Infantry</t>
        </is>
      </c>
      <c r="L24" t="n">
        <v>90</v>
      </c>
      <c r="N24" t="inlineStr">
        <is>
          <t>Added from current Munitorum Field Manual v4.1 (non-Legends)</t>
        </is>
      </c>
      <c r="O24" t="inlineStr">
        <is>
          <t>https://www.warhammer-community.com/en-gb/downloads/warhammer-40000/</t>
        </is>
      </c>
    </row>
    <row r="25">
      <c r="A25" t="inlineStr">
        <is>
          <t>Thousand Sons</t>
        </is>
      </c>
      <c r="C25" t="inlineStr">
        <is>
          <t>Vehicle / Support</t>
        </is>
      </c>
      <c r="D25" t="inlineStr">
        <is>
          <t>Vehicle</t>
        </is>
      </c>
      <c r="E25" t="inlineStr">
        <is>
          <t>Chaos Land Raider</t>
        </is>
      </c>
      <c r="F25" t="inlineStr">
        <is>
          <t>1 model</t>
        </is>
      </c>
      <c r="G25" t="inlineStr">
        <is>
          <t>Vehicle</t>
        </is>
      </c>
      <c r="L25" t="n">
        <v>220</v>
      </c>
      <c r="M25" t="inlineStr">
        <is>
          <t>Your 1st To 2nd Units Cost: 1 models = 220 pts | Your 3rd + Unit Costs: 1 models = 240 pts</t>
        </is>
      </c>
      <c r="N25" t="inlineStr">
        <is>
          <t>Added from current Munitorum Field Manual v4.1 (non-Legends)</t>
        </is>
      </c>
      <c r="O25" t="inlineStr">
        <is>
          <t>https://www.warhammer-community.com/en-gb/downloads/warhammer-40000/</t>
        </is>
      </c>
    </row>
    <row r="26">
      <c r="A26" t="inlineStr">
        <is>
          <t>Thousand Sons</t>
        </is>
      </c>
      <c r="C26" t="inlineStr">
        <is>
          <t>Vehicle / Support</t>
        </is>
      </c>
      <c r="D26" t="inlineStr">
        <is>
          <t>Vehicle</t>
        </is>
      </c>
      <c r="E26" t="inlineStr">
        <is>
          <t>Chaos Predator Annihilator</t>
        </is>
      </c>
      <c r="F26" t="inlineStr">
        <is>
          <t>1 model</t>
        </is>
      </c>
      <c r="G26" t="inlineStr">
        <is>
          <t>Vehicle</t>
        </is>
      </c>
      <c r="L26" t="n">
        <v>130</v>
      </c>
      <c r="M26" t="inlineStr">
        <is>
          <t>Your 1st To 2nd Units Cost: 1 models = 130 pts | Your 3rd + Unit Costs: 1 models = 140 pts</t>
        </is>
      </c>
      <c r="N26" t="inlineStr">
        <is>
          <t>Added from current Munitorum Field Manual v4.1 (non-Legends)</t>
        </is>
      </c>
      <c r="O26" t="inlineStr">
        <is>
          <t>https://www.warhammer-community.com/en-gb/downloads/warhammer-40000/</t>
        </is>
      </c>
    </row>
    <row r="27">
      <c r="A27" t="inlineStr">
        <is>
          <t>Thousand Sons</t>
        </is>
      </c>
      <c r="C27" t="inlineStr">
        <is>
          <t>Vehicle / Support</t>
        </is>
      </c>
      <c r="D27" t="inlineStr">
        <is>
          <t>Vehicle</t>
        </is>
      </c>
      <c r="E27" t="inlineStr">
        <is>
          <t>Chaos Predator Destructor</t>
        </is>
      </c>
      <c r="F27" t="inlineStr">
        <is>
          <t>1 model</t>
        </is>
      </c>
      <c r="G27" t="inlineStr">
        <is>
          <t>Vehicle</t>
        </is>
      </c>
      <c r="L27" t="n">
        <v>130</v>
      </c>
      <c r="M27" t="inlineStr">
        <is>
          <t>Your 1st To 2nd Units Cost: 1 models = 130 pts | Your 3rd + Unit Costs: 1 models = 140 pts</t>
        </is>
      </c>
      <c r="N27" t="inlineStr">
        <is>
          <t>Added from current Munitorum Field Manual v4.1 (non-Legends)</t>
        </is>
      </c>
      <c r="O27" t="inlineStr">
        <is>
          <t>https://www.warhammer-community.com/en-gb/downloads/warhammer-40000/</t>
        </is>
      </c>
    </row>
    <row r="28">
      <c r="A28" t="inlineStr">
        <is>
          <t>Thousand Sons</t>
        </is>
      </c>
      <c r="C28" t="inlineStr">
        <is>
          <t>Vehicle / Support</t>
        </is>
      </c>
      <c r="D28" t="inlineStr">
        <is>
          <t>Vehicle</t>
        </is>
      </c>
      <c r="E28" t="inlineStr">
        <is>
          <t>Chaos Rhino</t>
        </is>
      </c>
      <c r="F28" t="inlineStr">
        <is>
          <t>1 model</t>
        </is>
      </c>
      <c r="G28" t="inlineStr">
        <is>
          <t>Vehicle</t>
        </is>
      </c>
      <c r="L28" t="n">
        <v>90</v>
      </c>
      <c r="N28" t="inlineStr">
        <is>
          <t>Added from current Munitorum Field Manual v4.1 (non-Legends)</t>
        </is>
      </c>
      <c r="O28" t="inlineStr">
        <is>
          <t>https://www.warhammer-community.com/en-gb/downloads/warhammer-40000/</t>
        </is>
      </c>
    </row>
    <row r="29">
      <c r="A29" t="inlineStr">
        <is>
          <t>Thousand Sons</t>
        </is>
      </c>
      <c r="C29" t="inlineStr">
        <is>
          <t>Vehicle / Support</t>
        </is>
      </c>
      <c r="D29" t="inlineStr">
        <is>
          <t>Vehicle</t>
        </is>
      </c>
      <c r="E29" t="inlineStr">
        <is>
          <t>Chaos Vindicator</t>
        </is>
      </c>
      <c r="F29" t="inlineStr">
        <is>
          <t>1 model</t>
        </is>
      </c>
      <c r="G29" t="inlineStr">
        <is>
          <t>Vehicle</t>
        </is>
      </c>
      <c r="L29" t="n">
        <v>185</v>
      </c>
      <c r="M29" t="inlineStr">
        <is>
          <t>Your 1st To 2nd Units Cost: 1 models = 185 pts | Your 3rd + Unit Costs: 1 models = 195 pts</t>
        </is>
      </c>
      <c r="N29" t="inlineStr">
        <is>
          <t>Added from current Munitorum Field Manual v4.1 (non-Legends)</t>
        </is>
      </c>
      <c r="O29" t="inlineStr">
        <is>
          <t>https://www.warhammer-community.com/en-gb/downloads/warhammer-40000/</t>
        </is>
      </c>
    </row>
    <row r="30">
      <c r="A30" t="inlineStr">
        <is>
          <t>Thousand Sons</t>
        </is>
      </c>
      <c r="C30" t="inlineStr">
        <is>
          <t>Monster / Support</t>
        </is>
      </c>
      <c r="D30" t="inlineStr">
        <is>
          <t>Monster</t>
        </is>
      </c>
      <c r="E30" t="inlineStr">
        <is>
          <t>Daemon Prince Of Tzeentch</t>
        </is>
      </c>
      <c r="F30" t="inlineStr">
        <is>
          <t>1 model</t>
        </is>
      </c>
      <c r="G30" t="inlineStr">
        <is>
          <t>Monster</t>
        </is>
      </c>
      <c r="L30" t="n">
        <v>170</v>
      </c>
      <c r="N30" t="inlineStr">
        <is>
          <t>Added from current Munitorum Field Manual v4.1 (non-Legends)</t>
        </is>
      </c>
      <c r="O30" t="inlineStr">
        <is>
          <t>https://www.warhammer-community.com/en-gb/downloads/warhammer-40000/</t>
        </is>
      </c>
    </row>
    <row r="31">
      <c r="A31" t="inlineStr">
        <is>
          <t>Thousand Sons</t>
        </is>
      </c>
      <c r="C31" t="inlineStr">
        <is>
          <t>Monster / Support</t>
        </is>
      </c>
      <c r="D31" t="inlineStr">
        <is>
          <t>Monster</t>
        </is>
      </c>
      <c r="E31" t="inlineStr">
        <is>
          <t>Daemon Prince Of Tzeentch With Wings</t>
        </is>
      </c>
      <c r="F31" t="inlineStr">
        <is>
          <t>1 model</t>
        </is>
      </c>
      <c r="G31" t="inlineStr">
        <is>
          <t>Monster</t>
        </is>
      </c>
      <c r="L31" t="n">
        <v>170</v>
      </c>
      <c r="M31" t="inlineStr">
        <is>
          <t>Your 1st Unit Costs: 1 models = 170 pts | Your 2nd + Unit Costs: 1 models = 180 pts</t>
        </is>
      </c>
      <c r="N31" t="inlineStr">
        <is>
          <t>Added from current Munitorum Field Manual v4.1 (non-Legends)</t>
        </is>
      </c>
      <c r="O31" t="inlineStr">
        <is>
          <t>https://www.warhammer-community.com/en-gb/downloads/warhammer-40000/</t>
        </is>
      </c>
    </row>
    <row r="32">
      <c r="A32" t="inlineStr">
        <is>
          <t>Thousand Sons</t>
        </is>
      </c>
      <c r="C32" t="inlineStr">
        <is>
          <t>Infantry / Other</t>
        </is>
      </c>
      <c r="D32" t="inlineStr">
        <is>
          <t>Infantry</t>
        </is>
      </c>
      <c r="E32" t="inlineStr">
        <is>
          <t>Flamers</t>
        </is>
      </c>
      <c r="F32" t="inlineStr">
        <is>
          <t>3 models</t>
        </is>
      </c>
      <c r="G32" t="inlineStr">
        <is>
          <t>Infantry</t>
        </is>
      </c>
      <c r="L32" t="n">
        <v>65</v>
      </c>
      <c r="N32" t="inlineStr">
        <is>
          <t>Added from current Munitorum Field Manual v4.1 (non-Legends)</t>
        </is>
      </c>
      <c r="O32" t="inlineStr">
        <is>
          <t>https://www.warhammer-community.com/en-gb/downloads/warhammer-40000/</t>
        </is>
      </c>
    </row>
    <row r="33">
      <c r="A33" t="inlineStr">
        <is>
          <t>Thousand Sons</t>
        </is>
      </c>
      <c r="C33" t="inlineStr">
        <is>
          <t>Vehicle / Support</t>
        </is>
      </c>
      <c r="D33" t="inlineStr">
        <is>
          <t>Vehicle</t>
        </is>
      </c>
      <c r="E33" t="inlineStr">
        <is>
          <t>Heldrake</t>
        </is>
      </c>
      <c r="F33" t="inlineStr">
        <is>
          <t>1 model</t>
        </is>
      </c>
      <c r="G33" t="inlineStr">
        <is>
          <t>Vehicle</t>
        </is>
      </c>
      <c r="L33" t="n">
        <v>175</v>
      </c>
      <c r="N33" t="inlineStr">
        <is>
          <t>Added from current Munitorum Field Manual v4.1 (non-Legends)</t>
        </is>
      </c>
      <c r="O33" t="inlineStr">
        <is>
          <t>https://www.warhammer-community.com/en-gb/downloads/warhammer-40000/</t>
        </is>
      </c>
    </row>
    <row r="34">
      <c r="A34" t="inlineStr">
        <is>
          <t>Thousand Sons</t>
        </is>
      </c>
      <c r="C34" t="inlineStr">
        <is>
          <t>Infantry / Other</t>
        </is>
      </c>
      <c r="D34" t="inlineStr">
        <is>
          <t>Infantry</t>
        </is>
      </c>
      <c r="E34" t="inlineStr">
        <is>
          <t>Kairos Fateweaver</t>
        </is>
      </c>
      <c r="F34" t="inlineStr">
        <is>
          <t>1 model</t>
        </is>
      </c>
      <c r="G34" t="inlineStr">
        <is>
          <t>Infantry</t>
        </is>
      </c>
      <c r="L34" t="n">
        <v>295</v>
      </c>
      <c r="N34" t="inlineStr">
        <is>
          <t>Added from current Munitorum Field Manual v4.1 (non-Legends)</t>
        </is>
      </c>
      <c r="O34" t="inlineStr">
        <is>
          <t>https://www.warhammer-community.com/en-gb/downloads/warhammer-40000/</t>
        </is>
      </c>
    </row>
    <row r="35">
      <c r="A35" t="inlineStr">
        <is>
          <t>Thousand Sons</t>
        </is>
      </c>
      <c r="C35" t="inlineStr">
        <is>
          <t>Character</t>
        </is>
      </c>
      <c r="D35" t="inlineStr">
        <is>
          <t>Character</t>
        </is>
      </c>
      <c r="E35" t="inlineStr">
        <is>
          <t>Lord Of Change</t>
        </is>
      </c>
      <c r="F35" t="inlineStr">
        <is>
          <t>1 model</t>
        </is>
      </c>
      <c r="G35" t="inlineStr">
        <is>
          <t>Character</t>
        </is>
      </c>
      <c r="L35" t="n">
        <v>300</v>
      </c>
      <c r="M35" t="inlineStr">
        <is>
          <t>Your 1st To 2nd Units Cost: 1 models = 300 pts | Your 3rd + Unit Costs: 1 models = 315 pts</t>
        </is>
      </c>
      <c r="N35" t="inlineStr">
        <is>
          <t>Added from current Munitorum Field Manual v4.1 (non-Legends)</t>
        </is>
      </c>
      <c r="O35" t="inlineStr">
        <is>
          <t>https://www.warhammer-community.com/en-gb/downloads/warhammer-40000/</t>
        </is>
      </c>
    </row>
    <row r="36">
      <c r="A36" t="inlineStr">
        <is>
          <t>Thousand Sons</t>
        </is>
      </c>
      <c r="C36" t="inlineStr">
        <is>
          <t>Infantry / Other</t>
        </is>
      </c>
      <c r="D36" t="inlineStr">
        <is>
          <t>Infantry</t>
        </is>
      </c>
      <c r="E36" t="inlineStr">
        <is>
          <t>Pink Horrors</t>
        </is>
      </c>
      <c r="F36" t="inlineStr">
        <is>
          <t>10 models</t>
        </is>
      </c>
      <c r="G36" t="inlineStr">
        <is>
          <t>Infantry</t>
        </is>
      </c>
      <c r="L36" t="n">
        <v>115</v>
      </c>
      <c r="N36" t="inlineStr">
        <is>
          <t>Added from current Munitorum Field Manual v4.1 (non-Legends)</t>
        </is>
      </c>
      <c r="O36" t="inlineStr">
        <is>
          <t>https://www.warhammer-community.com/en-gb/downloads/warhammer-40000/</t>
        </is>
      </c>
    </row>
    <row r="37">
      <c r="A37" t="inlineStr">
        <is>
          <t>Thousand Sons</t>
        </is>
      </c>
      <c r="C37" t="inlineStr">
        <is>
          <t>Infantry / Other</t>
        </is>
      </c>
      <c r="D37" t="inlineStr">
        <is>
          <t>Infantry</t>
        </is>
      </c>
      <c r="E37" t="inlineStr">
        <is>
          <t>Screamers</t>
        </is>
      </c>
      <c r="F37" t="inlineStr">
        <is>
          <t>3 models</t>
        </is>
      </c>
      <c r="G37" t="inlineStr">
        <is>
          <t>Infantry</t>
        </is>
      </c>
      <c r="L37" t="n">
        <v>80</v>
      </c>
      <c r="N37" t="inlineStr">
        <is>
          <t>Added from current Munitorum Field Manual v4.1 (non-Legends)</t>
        </is>
      </c>
      <c r="O37" t="inlineStr">
        <is>
          <t>https://www.warhammer-community.com/en-gb/downloads/warhammer-40000/</t>
        </is>
      </c>
    </row>
    <row r="38">
      <c r="A38" t="inlineStr">
        <is>
          <t>Thousand Sons</t>
        </is>
      </c>
      <c r="C38" t="inlineStr">
        <is>
          <t>Infantry / Other</t>
        </is>
      </c>
      <c r="D38" t="inlineStr">
        <is>
          <t>Infantry</t>
        </is>
      </c>
      <c r="E38" t="inlineStr">
        <is>
          <t>Sekhetar Robots</t>
        </is>
      </c>
      <c r="F38" t="inlineStr">
        <is>
          <t>2 models</t>
        </is>
      </c>
      <c r="G38" t="inlineStr">
        <is>
          <t>Infantry</t>
        </is>
      </c>
      <c r="L38" t="n">
        <v>80</v>
      </c>
      <c r="N38" t="inlineStr">
        <is>
          <t>Added from current Munitorum Field Manual v4.1 (non-Legends)</t>
        </is>
      </c>
      <c r="O38" t="inlineStr">
        <is>
          <t>https://www.warhammer-community.com/en-gb/downloads/warhammer-40000/</t>
        </is>
      </c>
    </row>
    <row r="39">
      <c r="A39" t="inlineStr">
        <is>
          <t>Thousand Sons</t>
        </is>
      </c>
      <c r="C39" t="inlineStr">
        <is>
          <t>Character</t>
        </is>
      </c>
      <c r="D39" t="inlineStr">
        <is>
          <t>Character</t>
        </is>
      </c>
      <c r="E39" t="inlineStr">
        <is>
          <t>Sorcerer</t>
        </is>
      </c>
      <c r="F39" t="inlineStr">
        <is>
          <t>1 model</t>
        </is>
      </c>
      <c r="G39" t="inlineStr">
        <is>
          <t>Character</t>
        </is>
      </c>
      <c r="L39" t="n">
        <v>85</v>
      </c>
      <c r="N39" t="inlineStr">
        <is>
          <t>Added from current Munitorum Field Manual v4.1 (non-Legends)</t>
        </is>
      </c>
      <c r="O39" t="inlineStr">
        <is>
          <t>https://www.warhammer-community.com/en-gb/downloads/warhammer-40000/</t>
        </is>
      </c>
    </row>
    <row r="40">
      <c r="A40" t="inlineStr">
        <is>
          <t>Thousand Sons</t>
        </is>
      </c>
      <c r="C40" t="inlineStr">
        <is>
          <t>Infantry / Other</t>
        </is>
      </c>
      <c r="D40" t="inlineStr">
        <is>
          <t>Infantry</t>
        </is>
      </c>
      <c r="E40" t="inlineStr">
        <is>
          <t>Tzaangor Enlightened With Fatecaster Greatbows</t>
        </is>
      </c>
      <c r="F40" t="inlineStr">
        <is>
          <t>3 models</t>
        </is>
      </c>
      <c r="G40" t="inlineStr">
        <is>
          <t>Infantry</t>
        </is>
      </c>
      <c r="L40" t="n">
        <v>55</v>
      </c>
      <c r="N40" t="inlineStr">
        <is>
          <t>Added from current Munitorum Field Manual v4.1 (non-Legends)</t>
        </is>
      </c>
      <c r="O40"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Tyranids</t>
        </is>
      </c>
      <c r="C2" t="inlineStr">
        <is>
          <t>Character</t>
        </is>
      </c>
      <c r="D2" t="inlineStr">
        <is>
          <t>Character</t>
        </is>
      </c>
      <c r="E2" t="inlineStr">
        <is>
          <t>Barbgaunts</t>
        </is>
      </c>
      <c r="F2" t="inlineStr">
        <is>
          <t>5 models</t>
        </is>
      </c>
      <c r="G2" t="inlineStr">
        <is>
          <t>Character</t>
        </is>
      </c>
      <c r="L2" s="60" t="n">
        <v>55</v>
      </c>
      <c r="M2" s="54" t="inlineStr">
        <is>
          <t>Points options: 5 models = 55 pts; 10 models = 110 pts</t>
        </is>
      </c>
      <c r="N2" s="54" t="inlineStr">
        <is>
          <t>Matched to Munitorum Field Manual v2.3</t>
        </is>
      </c>
      <c r="O2" s="54" t="inlineStr">
        <is>
          <t>Uploaded PDF: Munitorum Field Manual v2.3 / March 2025, p.36</t>
        </is>
      </c>
    </row>
    <row r="3">
      <c r="A3" t="inlineStr">
        <is>
          <t>Tyranids</t>
        </is>
      </c>
      <c r="C3" t="inlineStr">
        <is>
          <t>Infantry / Other</t>
        </is>
      </c>
      <c r="D3" t="inlineStr">
        <is>
          <t>Infantry</t>
        </is>
      </c>
      <c r="E3" t="inlineStr">
        <is>
          <t>Biovores</t>
        </is>
      </c>
      <c r="F3" t="inlineStr">
        <is>
          <t>1 model</t>
        </is>
      </c>
      <c r="G3" t="inlineStr">
        <is>
          <t>Infantry</t>
        </is>
      </c>
      <c r="L3" s="60" t="n">
        <v>50</v>
      </c>
      <c r="M3" s="54" t="inlineStr">
        <is>
          <t>Points options: 1 model = 50 pts; 2 models = 100 pts; 3 models = 150 pts</t>
        </is>
      </c>
      <c r="N3" s="54" t="inlineStr">
        <is>
          <t>Matched to Munitorum Field Manual v2.3</t>
        </is>
      </c>
      <c r="O3" s="54" t="inlineStr">
        <is>
          <t>Uploaded PDF: Munitorum Field Manual v2.3 / March 2025, p.36</t>
        </is>
      </c>
    </row>
    <row r="4">
      <c r="A4" t="inlineStr">
        <is>
          <t>Tyranids</t>
        </is>
      </c>
      <c r="C4" t="inlineStr">
        <is>
          <t>Character</t>
        </is>
      </c>
      <c r="D4" t="inlineStr">
        <is>
          <t>Character</t>
        </is>
      </c>
      <c r="E4" t="inlineStr">
        <is>
          <t>Broodlord</t>
        </is>
      </c>
      <c r="F4" t="inlineStr">
        <is>
          <t>1 model</t>
        </is>
      </c>
      <c r="G4" t="inlineStr">
        <is>
          <t>Character</t>
        </is>
      </c>
      <c r="L4" s="60" t="n">
        <v>80</v>
      </c>
      <c r="M4" s="54" t="str"/>
      <c r="N4" s="54" t="inlineStr">
        <is>
          <t>Matched to Munitorum Field Manual v2.3</t>
        </is>
      </c>
      <c r="O4" s="54" t="inlineStr">
        <is>
          <t>Uploaded PDF: Munitorum Field Manual v2.3 / March 2025, p.36</t>
        </is>
      </c>
    </row>
    <row r="5">
      <c r="A5" t="inlineStr">
        <is>
          <t>Tyranids</t>
        </is>
      </c>
      <c r="C5" t="inlineStr">
        <is>
          <t>Vehicle / Support</t>
        </is>
      </c>
      <c r="D5" t="inlineStr">
        <is>
          <t>Walker / Battlesuit</t>
        </is>
      </c>
      <c r="E5" t="inlineStr">
        <is>
          <t>Carnifexes</t>
        </is>
      </c>
      <c r="F5" t="inlineStr">
        <is>
          <t>1 model</t>
        </is>
      </c>
      <c r="G5" t="inlineStr">
        <is>
          <t>Walker / Battlesuit</t>
        </is>
      </c>
      <c r="L5" s="60" t="n">
        <v>115</v>
      </c>
      <c r="M5" s="54" t="inlineStr">
        <is>
          <t>Points options: 1 model = 115 pts; 2 models = 230 pts</t>
        </is>
      </c>
      <c r="N5" s="54" t="inlineStr">
        <is>
          <t>Matched to Munitorum Field Manual v2.3</t>
        </is>
      </c>
      <c r="O5" s="54" t="inlineStr">
        <is>
          <t>Uploaded PDF: Munitorum Field Manual v2.3 / March 2025, p.36</t>
        </is>
      </c>
    </row>
    <row r="6">
      <c r="A6" t="inlineStr">
        <is>
          <t>Tyranids</t>
        </is>
      </c>
      <c r="C6" t="inlineStr">
        <is>
          <t>Character</t>
        </is>
      </c>
      <c r="D6" t="inlineStr">
        <is>
          <t>Character</t>
        </is>
      </c>
      <c r="E6" t="inlineStr">
        <is>
          <t>Deathleaper</t>
        </is>
      </c>
      <c r="F6" t="inlineStr">
        <is>
          <t>1 model</t>
        </is>
      </c>
      <c r="G6" t="inlineStr">
        <is>
          <t>Character</t>
        </is>
      </c>
      <c r="L6" s="60" t="n">
        <v>80</v>
      </c>
      <c r="M6" s="54" t="str"/>
      <c r="N6" s="54" t="inlineStr">
        <is>
          <t>Matched to Munitorum Field Manual v2.3</t>
        </is>
      </c>
      <c r="O6" s="54" t="inlineStr">
        <is>
          <t>Uploaded PDF: Munitorum Field Manual v2.3 / March 2025, p.36</t>
        </is>
      </c>
    </row>
    <row r="7">
      <c r="A7" t="inlineStr">
        <is>
          <t>Tyranids</t>
        </is>
      </c>
      <c r="C7" t="inlineStr">
        <is>
          <t>Monster / Heavy Support</t>
        </is>
      </c>
      <c r="D7" t="inlineStr">
        <is>
          <t>Monster</t>
        </is>
      </c>
      <c r="E7" t="inlineStr">
        <is>
          <t>Exocrine</t>
        </is>
      </c>
      <c r="F7" t="inlineStr">
        <is>
          <t>1 model</t>
        </is>
      </c>
      <c r="G7" t="inlineStr">
        <is>
          <t>Monster</t>
        </is>
      </c>
      <c r="L7" s="60" t="n">
        <v>140</v>
      </c>
      <c r="M7" s="54" t="str"/>
      <c r="N7" s="54" t="inlineStr">
        <is>
          <t>Matched to Munitorum Field Manual v2.3</t>
        </is>
      </c>
      <c r="O7" s="54" t="inlineStr">
        <is>
          <t>Uploaded PDF: Munitorum Field Manual v2.3 / March 2025, p.36</t>
        </is>
      </c>
    </row>
    <row r="8">
      <c r="A8" t="inlineStr">
        <is>
          <t>Tyranids</t>
        </is>
      </c>
      <c r="C8" t="inlineStr">
        <is>
          <t>Infantry / Other</t>
        </is>
      </c>
      <c r="D8" t="inlineStr">
        <is>
          <t>Infantry</t>
        </is>
      </c>
      <c r="E8" t="inlineStr">
        <is>
          <t>Genestealers</t>
        </is>
      </c>
      <c r="F8" t="inlineStr">
        <is>
          <t>5 models</t>
        </is>
      </c>
      <c r="G8" t="inlineStr">
        <is>
          <t>Infantry</t>
        </is>
      </c>
      <c r="L8" s="60" t="n">
        <v>75</v>
      </c>
      <c r="M8" s="54" t="inlineStr">
        <is>
          <t>Points options: 5 models = 75 pts; 10 models = 150 pts</t>
        </is>
      </c>
      <c r="N8" s="54" t="inlineStr">
        <is>
          <t>Matched to Munitorum Field Manual v2.3</t>
        </is>
      </c>
      <c r="O8" s="54" t="inlineStr">
        <is>
          <t>Uploaded PDF: Munitorum Field Manual v2.3 / March 2025, p.36</t>
        </is>
      </c>
    </row>
    <row r="9">
      <c r="A9" t="inlineStr">
        <is>
          <t>Tyranids</t>
        </is>
      </c>
      <c r="C9" t="inlineStr">
        <is>
          <t>Infantry / Other</t>
        </is>
      </c>
      <c r="D9" t="inlineStr">
        <is>
          <t>Infantry</t>
        </is>
      </c>
      <c r="E9" t="inlineStr">
        <is>
          <t>Gargoyles</t>
        </is>
      </c>
      <c r="F9" t="inlineStr">
        <is>
          <t>10 models</t>
        </is>
      </c>
      <c r="G9" t="inlineStr">
        <is>
          <t>Infantry</t>
        </is>
      </c>
      <c r="L9" s="60" t="n">
        <v>85</v>
      </c>
      <c r="M9" s="54" t="inlineStr">
        <is>
          <t>Points options: 10 models = 85 pts; 20 models = 170 pts</t>
        </is>
      </c>
      <c r="N9" s="54" t="inlineStr">
        <is>
          <t>Matched to Munitorum Field Manual v2.3</t>
        </is>
      </c>
      <c r="O9" s="54" t="inlineStr">
        <is>
          <t>Uploaded PDF: Munitorum Field Manual v2.3 / March 2025, p.36</t>
        </is>
      </c>
    </row>
    <row r="10">
      <c r="A10" t="inlineStr">
        <is>
          <t>Tyranids</t>
        </is>
      </c>
      <c r="C10" t="inlineStr">
        <is>
          <t>Vehicle / Support</t>
        </is>
      </c>
      <c r="D10" t="inlineStr">
        <is>
          <t>Vehicle</t>
        </is>
      </c>
      <c r="E10" t="inlineStr">
        <is>
          <t>Harpy</t>
        </is>
      </c>
      <c r="F10" t="inlineStr">
        <is>
          <t>1 model</t>
        </is>
      </c>
      <c r="G10" t="inlineStr">
        <is>
          <t>Vehicle</t>
        </is>
      </c>
      <c r="L10" s="60" t="n">
        <v>215</v>
      </c>
      <c r="M10" s="54" t="str"/>
      <c r="N10" s="54" t="inlineStr">
        <is>
          <t>Matched to Munitorum Field Manual v2.3</t>
        </is>
      </c>
      <c r="O10" s="54" t="inlineStr">
        <is>
          <t>Uploaded PDF: Munitorum Field Manual v2.3 / March 2025, p.36</t>
        </is>
      </c>
    </row>
    <row r="11">
      <c r="A11" t="inlineStr">
        <is>
          <t>Tyranids</t>
        </is>
      </c>
      <c r="C11" t="inlineStr">
        <is>
          <t>Monster / Heavy Support</t>
        </is>
      </c>
      <c r="D11" t="inlineStr">
        <is>
          <t>Monster</t>
        </is>
      </c>
      <c r="E11" t="inlineStr">
        <is>
          <t>Haruspex</t>
        </is>
      </c>
      <c r="F11" t="inlineStr">
        <is>
          <t>1 model</t>
        </is>
      </c>
      <c r="G11" t="inlineStr">
        <is>
          <t>Monster</t>
        </is>
      </c>
      <c r="L11" s="60" t="n">
        <v>125</v>
      </c>
      <c r="M11" s="54" t="str"/>
      <c r="N11" s="54" t="inlineStr">
        <is>
          <t>Matched to Munitorum Field Manual v2.3</t>
        </is>
      </c>
      <c r="O11" s="54" t="inlineStr">
        <is>
          <t>Uploaded PDF: Munitorum Field Manual v2.3 / March 2025, p.36</t>
        </is>
      </c>
    </row>
    <row r="12">
      <c r="A12" t="inlineStr">
        <is>
          <t>Tyranids</t>
        </is>
      </c>
      <c r="C12" t="inlineStr">
        <is>
          <t>Vehicle / Support</t>
        </is>
      </c>
      <c r="D12" t="inlineStr">
        <is>
          <t>Vehicle</t>
        </is>
      </c>
      <c r="E12" t="inlineStr">
        <is>
          <t>Hive Crone</t>
        </is>
      </c>
      <c r="F12" t="inlineStr">
        <is>
          <t>1 model</t>
        </is>
      </c>
      <c r="G12" t="inlineStr">
        <is>
          <t>Vehicle</t>
        </is>
      </c>
      <c r="L12" s="60" t="n">
        <v>200</v>
      </c>
      <c r="M12" s="54" t="str"/>
      <c r="N12" s="54" t="inlineStr">
        <is>
          <t>Matched to Munitorum Field Manual v2.3</t>
        </is>
      </c>
      <c r="O12" s="54" t="inlineStr">
        <is>
          <t>Uploaded PDF: Munitorum Field Manual v2.3 / March 2025, p.36</t>
        </is>
      </c>
    </row>
    <row r="13">
      <c r="A13" t="inlineStr">
        <is>
          <t>Tyranids</t>
        </is>
      </c>
      <c r="C13" t="inlineStr">
        <is>
          <t>Infantry / Other</t>
        </is>
      </c>
      <c r="D13" t="inlineStr">
        <is>
          <t>Infantry</t>
        </is>
      </c>
      <c r="E13" t="inlineStr">
        <is>
          <t>Hive Guard</t>
        </is>
      </c>
      <c r="F13" t="inlineStr">
        <is>
          <t>3 models</t>
        </is>
      </c>
      <c r="G13" t="inlineStr">
        <is>
          <t>Infantry</t>
        </is>
      </c>
      <c r="L13" s="60" t="n">
        <v>100</v>
      </c>
      <c r="M13" s="54" t="inlineStr">
        <is>
          <t>Points options: 3 models = 100 pts; 6 models = 200 pts</t>
        </is>
      </c>
      <c r="N13" s="54" t="inlineStr">
        <is>
          <t>Matched to Munitorum Field Manual v2.3</t>
        </is>
      </c>
      <c r="O13" s="54" t="inlineStr">
        <is>
          <t>Uploaded PDF: Munitorum Field Manual v2.3 / March 2025, p.36</t>
        </is>
      </c>
    </row>
    <row r="14">
      <c r="A14" t="inlineStr">
        <is>
          <t>Tyranids</t>
        </is>
      </c>
      <c r="C14" t="inlineStr">
        <is>
          <t>Character</t>
        </is>
      </c>
      <c r="D14" t="inlineStr">
        <is>
          <t>Character</t>
        </is>
      </c>
      <c r="E14" t="inlineStr">
        <is>
          <t>Hive Tyrant</t>
        </is>
      </c>
      <c r="F14" t="inlineStr">
        <is>
          <t>1 model</t>
        </is>
      </c>
      <c r="G14" t="inlineStr">
        <is>
          <t>Character, Psyker</t>
        </is>
      </c>
      <c r="L14" s="60" t="n">
        <v>225</v>
      </c>
      <c r="M14" s="54" t="str"/>
      <c r="N14" s="54" t="inlineStr">
        <is>
          <t>Matched to Munitorum Field Manual v2.3</t>
        </is>
      </c>
      <c r="O14" s="54" t="inlineStr">
        <is>
          <t>Uploaded PDF: Munitorum Field Manual v2.3 / March 2025, p.36</t>
        </is>
      </c>
    </row>
    <row r="15">
      <c r="A15" t="inlineStr">
        <is>
          <t>Tyranids</t>
        </is>
      </c>
      <c r="C15" t="inlineStr">
        <is>
          <t>Character</t>
        </is>
      </c>
      <c r="D15" t="inlineStr">
        <is>
          <t>Character</t>
        </is>
      </c>
      <c r="E15" t="inlineStr">
        <is>
          <t>Hormagaunts</t>
        </is>
      </c>
      <c r="F15" t="inlineStr">
        <is>
          <t>10 models</t>
        </is>
      </c>
      <c r="G15" t="inlineStr">
        <is>
          <t>Character</t>
        </is>
      </c>
      <c r="L15" s="60" t="n">
        <v>65</v>
      </c>
      <c r="M15" s="54" t="inlineStr">
        <is>
          <t>Points options: 10 models = 65 pts; 20 models = 130 pts</t>
        </is>
      </c>
      <c r="N15" s="54" t="inlineStr">
        <is>
          <t>Matched to Munitorum Field Manual v2.3</t>
        </is>
      </c>
      <c r="O15" s="54" t="inlineStr">
        <is>
          <t>Uploaded PDF: Munitorum Field Manual v2.3 / March 2025, p.36</t>
        </is>
      </c>
    </row>
    <row r="16">
      <c r="A16" t="inlineStr">
        <is>
          <t>Tyranids</t>
        </is>
      </c>
      <c r="C16" t="inlineStr">
        <is>
          <t>Infantry / Other</t>
        </is>
      </c>
      <c r="D16" t="inlineStr">
        <is>
          <t>Infantry</t>
        </is>
      </c>
      <c r="E16" t="inlineStr">
        <is>
          <t>Lictor</t>
        </is>
      </c>
      <c r="F16" t="inlineStr">
        <is>
          <t>1 model</t>
        </is>
      </c>
      <c r="G16" t="inlineStr">
        <is>
          <t>Infantry</t>
        </is>
      </c>
      <c r="L16" s="60" t="n">
        <v>60</v>
      </c>
      <c r="M16" s="54" t="str"/>
      <c r="N16" s="54" t="inlineStr">
        <is>
          <t>Matched to Munitorum Field Manual v2.3</t>
        </is>
      </c>
      <c r="O16" s="54" t="inlineStr">
        <is>
          <t>Uploaded PDF: Munitorum Field Manual v2.3 / March 2025, p.36</t>
        </is>
      </c>
    </row>
    <row r="17">
      <c r="A17" t="inlineStr">
        <is>
          <t>Tyranids</t>
        </is>
      </c>
      <c r="C17" t="inlineStr">
        <is>
          <t>Monster / Heavy Support</t>
        </is>
      </c>
      <c r="D17" t="inlineStr">
        <is>
          <t>Monster</t>
        </is>
      </c>
      <c r="E17" t="inlineStr">
        <is>
          <t>Maleceptor</t>
        </is>
      </c>
      <c r="F17" t="inlineStr">
        <is>
          <t>1 model</t>
        </is>
      </c>
      <c r="G17" t="inlineStr">
        <is>
          <t>Monster</t>
        </is>
      </c>
      <c r="L17" s="60" t="n">
        <v>170</v>
      </c>
      <c r="M17" s="54" t="str"/>
      <c r="N17" s="54" t="inlineStr">
        <is>
          <t>Matched to Munitorum Field Manual v2.3</t>
        </is>
      </c>
      <c r="O17" s="54" t="inlineStr">
        <is>
          <t>Uploaded PDF: Munitorum Field Manual v2.3 / March 2025, p.36</t>
        </is>
      </c>
    </row>
    <row r="18">
      <c r="A18" t="inlineStr">
        <is>
          <t>Tyranids</t>
        </is>
      </c>
      <c r="C18" t="inlineStr">
        <is>
          <t>Monster / Heavy Support</t>
        </is>
      </c>
      <c r="D18" t="inlineStr">
        <is>
          <t>Monster</t>
        </is>
      </c>
      <c r="E18" t="inlineStr">
        <is>
          <t>Mawloc</t>
        </is>
      </c>
      <c r="F18" t="inlineStr">
        <is>
          <t>1 model</t>
        </is>
      </c>
      <c r="G18" t="inlineStr">
        <is>
          <t>Monster</t>
        </is>
      </c>
      <c r="L18" s="60" t="n">
        <v>145</v>
      </c>
      <c r="M18" s="54" t="str"/>
      <c r="N18" s="54" t="inlineStr">
        <is>
          <t>Matched to Munitorum Field Manual v2.3</t>
        </is>
      </c>
      <c r="O18" s="54" t="inlineStr">
        <is>
          <t>Uploaded PDF: Munitorum Field Manual v2.3 / March 2025, p.36</t>
        </is>
      </c>
    </row>
    <row r="19">
      <c r="A19" t="inlineStr">
        <is>
          <t>Tyranids</t>
        </is>
      </c>
      <c r="C19" t="inlineStr">
        <is>
          <t>Infantry / Other</t>
        </is>
      </c>
      <c r="D19" t="inlineStr">
        <is>
          <t>Beast / Swarm</t>
        </is>
      </c>
      <c r="E19" t="inlineStr">
        <is>
          <t>Mucolid Spores</t>
        </is>
      </c>
      <c r="F19" t="inlineStr">
        <is>
          <t>1 model</t>
        </is>
      </c>
      <c r="G19" t="inlineStr">
        <is>
          <t>Beast / Swarm</t>
        </is>
      </c>
      <c r="L19" s="60" t="n">
        <v>30</v>
      </c>
      <c r="M19" s="54" t="inlineStr">
        <is>
          <t>Points options: 1 model = 30 pts; 2 models = 60 pts</t>
        </is>
      </c>
      <c r="N19" s="54" t="inlineStr">
        <is>
          <t>Matched to Munitorum Field Manual v2.3</t>
        </is>
      </c>
      <c r="O19" s="54" t="inlineStr">
        <is>
          <t>Uploaded PDF: Munitorum Field Manual v2.3 / March 2025, p.36</t>
        </is>
      </c>
    </row>
    <row r="20">
      <c r="A20" t="inlineStr">
        <is>
          <t>Tyranids</t>
        </is>
      </c>
      <c r="C20" t="inlineStr">
        <is>
          <t>Character</t>
        </is>
      </c>
      <c r="D20" t="inlineStr">
        <is>
          <t>Character</t>
        </is>
      </c>
      <c r="E20" t="inlineStr">
        <is>
          <t>Neurogaunts</t>
        </is>
      </c>
      <c r="F20" t="inlineStr">
        <is>
          <t>11 models</t>
        </is>
      </c>
      <c r="G20" t="inlineStr">
        <is>
          <t>Character</t>
        </is>
      </c>
      <c r="L20" s="60" t="n">
        <v>45</v>
      </c>
      <c r="M20" s="54" t="inlineStr">
        <is>
          <t>Points options: 11 models = 45 pts; 22 models = 90 pts</t>
        </is>
      </c>
      <c r="N20" s="54" t="inlineStr">
        <is>
          <t>Matched to Munitorum Field Manual v2.3</t>
        </is>
      </c>
      <c r="O20" s="54" t="inlineStr">
        <is>
          <t>Uploaded PDF: Munitorum Field Manual v2.3 / March 2025, p.36</t>
        </is>
      </c>
    </row>
    <row r="21">
      <c r="A21" t="inlineStr">
        <is>
          <t>Tyranids</t>
        </is>
      </c>
      <c r="C21" t="inlineStr">
        <is>
          <t>Infantry / Other</t>
        </is>
      </c>
      <c r="D21" t="inlineStr">
        <is>
          <t>Infantry</t>
        </is>
      </c>
      <c r="E21" t="inlineStr">
        <is>
          <t>Neurolictor</t>
        </is>
      </c>
      <c r="F21" t="inlineStr">
        <is>
          <t>1 model</t>
        </is>
      </c>
      <c r="G21" t="inlineStr">
        <is>
          <t>Infantry</t>
        </is>
      </c>
      <c r="L21" s="60" t="n">
        <v>80</v>
      </c>
      <c r="M21" s="54" t="str"/>
      <c r="N21" s="54" t="inlineStr">
        <is>
          <t>Matched to Munitorum Field Manual v2.3</t>
        </is>
      </c>
      <c r="O21" s="54" t="inlineStr">
        <is>
          <t>Uploaded PDF: Munitorum Field Manual v2.3 / March 2025, p.36</t>
        </is>
      </c>
    </row>
    <row r="22">
      <c r="A22" t="inlineStr">
        <is>
          <t>Tyranids</t>
        </is>
      </c>
      <c r="C22" t="inlineStr">
        <is>
          <t>Character</t>
        </is>
      </c>
      <c r="D22" t="inlineStr">
        <is>
          <t>Character</t>
        </is>
      </c>
      <c r="E22" t="inlineStr">
        <is>
          <t>Neurotyrant</t>
        </is>
      </c>
      <c r="F22" t="inlineStr">
        <is>
          <t>1 model</t>
        </is>
      </c>
      <c r="G22" t="inlineStr">
        <is>
          <t>Character, Psyker</t>
        </is>
      </c>
      <c r="L22" s="60" t="n">
        <v>105</v>
      </c>
      <c r="M22" s="54" t="str"/>
      <c r="N22" s="54" t="inlineStr">
        <is>
          <t>Matched to Munitorum Field Manual v2.3</t>
        </is>
      </c>
      <c r="O22" s="54" t="inlineStr">
        <is>
          <t>Uploaded PDF: Munitorum Field Manual v2.3 / March 2025, p.36</t>
        </is>
      </c>
    </row>
    <row r="23">
      <c r="A23" t="inlineStr">
        <is>
          <t>Tyranids</t>
        </is>
      </c>
      <c r="C23" t="inlineStr">
        <is>
          <t>Monster / Heavy Support</t>
        </is>
      </c>
      <c r="D23" t="inlineStr">
        <is>
          <t>Monster</t>
        </is>
      </c>
      <c r="E23" t="inlineStr">
        <is>
          <t>Norn Assimilator</t>
        </is>
      </c>
      <c r="F23" t="inlineStr">
        <is>
          <t>1 model</t>
        </is>
      </c>
      <c r="G23" t="inlineStr">
        <is>
          <t>Monster</t>
        </is>
      </c>
      <c r="L23" s="60" t="n">
        <v>275</v>
      </c>
      <c r="M23" s="54" t="str"/>
      <c r="N23" s="54" t="inlineStr">
        <is>
          <t>Matched to Munitorum Field Manual v2.3</t>
        </is>
      </c>
      <c r="O23" s="54" t="inlineStr">
        <is>
          <t>Uploaded PDF: Munitorum Field Manual v2.3 / March 2025, p.36</t>
        </is>
      </c>
    </row>
    <row r="24">
      <c r="A24" t="inlineStr">
        <is>
          <t>Tyranids</t>
        </is>
      </c>
      <c r="C24" t="inlineStr">
        <is>
          <t>Monster / Heavy Support</t>
        </is>
      </c>
      <c r="D24" t="inlineStr">
        <is>
          <t>Monster</t>
        </is>
      </c>
      <c r="E24" t="inlineStr">
        <is>
          <t>Norn Emissary</t>
        </is>
      </c>
      <c r="F24" t="inlineStr">
        <is>
          <t>1 model</t>
        </is>
      </c>
      <c r="G24" t="inlineStr">
        <is>
          <t>Monster</t>
        </is>
      </c>
      <c r="L24" s="60" t="n">
        <v>260</v>
      </c>
      <c r="M24" s="54" t="str"/>
      <c r="N24" s="54" t="inlineStr">
        <is>
          <t>Matched to Munitorum Field Manual v2.3</t>
        </is>
      </c>
      <c r="O24" s="54" t="inlineStr">
        <is>
          <t>Uploaded PDF: Munitorum Field Manual v2.3 / March 2025, p.36</t>
        </is>
      </c>
    </row>
    <row r="25">
      <c r="A25" t="inlineStr">
        <is>
          <t>Tyranids</t>
        </is>
      </c>
      <c r="C25" t="inlineStr">
        <is>
          <t>Infantry / Other</t>
        </is>
      </c>
      <c r="D25" t="inlineStr">
        <is>
          <t>Infantry</t>
        </is>
      </c>
      <c r="E25" t="inlineStr">
        <is>
          <t>Old One Eye</t>
        </is>
      </c>
      <c r="F25" t="inlineStr">
        <is>
          <t>1 model</t>
        </is>
      </c>
      <c r="G25" t="inlineStr">
        <is>
          <t>Infantry</t>
        </is>
      </c>
      <c r="L25" s="60" t="n">
        <v>150</v>
      </c>
      <c r="M25" s="54" t="str"/>
      <c r="N25" s="54" t="inlineStr">
        <is>
          <t>Matched to Munitorum Field Manual v2.3</t>
        </is>
      </c>
      <c r="O25" s="54" t="inlineStr">
        <is>
          <t>Uploaded PDF: Munitorum Field Manual v2.3 / March 2025, p.36</t>
        </is>
      </c>
    </row>
    <row r="26">
      <c r="A26" t="inlineStr">
        <is>
          <t>Tyranids</t>
        </is>
      </c>
      <c r="C26" t="inlineStr">
        <is>
          <t>Infantry / Other</t>
        </is>
      </c>
      <c r="D26" t="inlineStr">
        <is>
          <t>Infantry</t>
        </is>
      </c>
      <c r="E26" t="inlineStr">
        <is>
          <t>Parasite of Mortrex</t>
        </is>
      </c>
      <c r="F26" t="inlineStr">
        <is>
          <t>1 model</t>
        </is>
      </c>
      <c r="G26" t="inlineStr">
        <is>
          <t>Infantry</t>
        </is>
      </c>
      <c r="L26" s="60" t="n">
        <v>80</v>
      </c>
      <c r="M26" s="54" t="str"/>
      <c r="N26" s="54" t="inlineStr">
        <is>
          <t>Matched to Munitorum Field Manual v2.3</t>
        </is>
      </c>
      <c r="O26" s="54" t="inlineStr">
        <is>
          <t>Uploaded PDF: Munitorum Field Manual v2.3 / March 2025, p.36</t>
        </is>
      </c>
    </row>
    <row r="27">
      <c r="A27" t="inlineStr">
        <is>
          <t>Tyranids</t>
        </is>
      </c>
      <c r="C27" t="inlineStr">
        <is>
          <t>Monster / Heavy Support</t>
        </is>
      </c>
      <c r="D27" t="inlineStr">
        <is>
          <t>Monster</t>
        </is>
      </c>
      <c r="E27" t="inlineStr">
        <is>
          <t>Psychophage</t>
        </is>
      </c>
      <c r="F27" t="inlineStr">
        <is>
          <t>1 model</t>
        </is>
      </c>
      <c r="G27" t="inlineStr">
        <is>
          <t>Monster</t>
        </is>
      </c>
      <c r="L27" s="60" t="n">
        <v>95</v>
      </c>
      <c r="M27" s="54" t="str"/>
      <c r="N27" s="54" t="inlineStr">
        <is>
          <t>Matched to Munitorum Field Manual v2.3</t>
        </is>
      </c>
      <c r="O27" s="54" t="inlineStr">
        <is>
          <t>Uploaded PDF: Munitorum Field Manual v2.3 / March 2025, p.36</t>
        </is>
      </c>
    </row>
    <row r="28">
      <c r="A28" t="inlineStr">
        <is>
          <t>Tyranids</t>
        </is>
      </c>
      <c r="C28" t="inlineStr">
        <is>
          <t>Infantry / Other</t>
        </is>
      </c>
      <c r="D28" t="inlineStr">
        <is>
          <t>Infantry</t>
        </is>
      </c>
      <c r="E28" t="inlineStr">
        <is>
          <t>Pyrovores</t>
        </is>
      </c>
      <c r="F28" t="inlineStr">
        <is>
          <t>1 model</t>
        </is>
      </c>
      <c r="G28" t="inlineStr">
        <is>
          <t>Infantry</t>
        </is>
      </c>
      <c r="L28" s="60" t="n">
        <v>40</v>
      </c>
      <c r="M28" s="54" t="inlineStr">
        <is>
          <t>Points options: 1 model = 40 pts; 2 models = 70 pts; 3 models = 105 pts</t>
        </is>
      </c>
      <c r="N28" s="54" t="inlineStr">
        <is>
          <t>Matched to Munitorum Field Manual v2.3</t>
        </is>
      </c>
      <c r="O28" s="54" t="inlineStr">
        <is>
          <t>Uploaded PDF: Munitorum Field Manual v2.3 / March 2025, p.36</t>
        </is>
      </c>
    </row>
    <row r="29">
      <c r="A29" t="inlineStr">
        <is>
          <t>Tyranids</t>
        </is>
      </c>
      <c r="C29" t="inlineStr">
        <is>
          <t>Infantry / Other</t>
        </is>
      </c>
      <c r="D29" t="inlineStr">
        <is>
          <t>Infantry</t>
        </is>
      </c>
      <c r="E29" t="inlineStr">
        <is>
          <t>Raveners</t>
        </is>
      </c>
      <c r="F29" t="inlineStr">
        <is>
          <t>3 models</t>
        </is>
      </c>
      <c r="G29" t="inlineStr">
        <is>
          <t>Infantry</t>
        </is>
      </c>
      <c r="L29" s="60" t="n">
        <v>75</v>
      </c>
      <c r="M29" s="54" t="inlineStr">
        <is>
          <t>Points options: 3 models = 75 pts; 6 models = 150 pts</t>
        </is>
      </c>
      <c r="N29" s="54" t="inlineStr">
        <is>
          <t>Matched to Munitorum Field Manual v2.3</t>
        </is>
      </c>
      <c r="O29" s="54" t="inlineStr">
        <is>
          <t>Uploaded PDF: Munitorum Field Manual v2.3 / March 2025, p.36</t>
        </is>
      </c>
    </row>
    <row r="30">
      <c r="A30" t="inlineStr">
        <is>
          <t>Tyranids</t>
        </is>
      </c>
      <c r="C30" t="inlineStr">
        <is>
          <t>Infantry / Other</t>
        </is>
      </c>
      <c r="D30" t="inlineStr">
        <is>
          <t>Beast / Swarm</t>
        </is>
      </c>
      <c r="E30" t="inlineStr">
        <is>
          <t>Ripper Swarms</t>
        </is>
      </c>
      <c r="F30" t="inlineStr">
        <is>
          <t>1 model</t>
        </is>
      </c>
      <c r="G30" t="inlineStr">
        <is>
          <t>Beast / Swarm</t>
        </is>
      </c>
      <c r="L30" s="60" t="n">
        <v>25</v>
      </c>
      <c r="M30" s="54" t="inlineStr">
        <is>
          <t>Points options: 1 model = 25 pts; 2 models = 40 pts; 3 models = 50 pts</t>
        </is>
      </c>
      <c r="N30" s="54" t="inlineStr">
        <is>
          <t>Matched to Munitorum Field Manual v2.3</t>
        </is>
      </c>
      <c r="O30" s="54" t="inlineStr">
        <is>
          <t>Uploaded PDF: Munitorum Field Manual v2.3 / March 2025, p.36</t>
        </is>
      </c>
    </row>
    <row r="31">
      <c r="A31" t="inlineStr">
        <is>
          <t>Tyranids</t>
        </is>
      </c>
      <c r="C31" t="inlineStr">
        <is>
          <t>Vehicle / Support</t>
        </is>
      </c>
      <c r="D31" t="inlineStr">
        <is>
          <t>Walker / Battlesuit</t>
        </is>
      </c>
      <c r="E31" t="inlineStr">
        <is>
          <t>Screamer-Killer</t>
        </is>
      </c>
      <c r="F31" t="inlineStr">
        <is>
          <t>1 model</t>
        </is>
      </c>
      <c r="G31" t="inlineStr">
        <is>
          <t>Walker / Battlesuit</t>
        </is>
      </c>
      <c r="L31" s="60" t="n">
        <v>145</v>
      </c>
      <c r="M31" s="54" t="str"/>
      <c r="N31" s="54" t="inlineStr">
        <is>
          <t>Matched to Munitorum Field Manual v2.3</t>
        </is>
      </c>
      <c r="O31" s="54" t="inlineStr">
        <is>
          <t>Uploaded PDF: Munitorum Field Manual v2.3 / March 2025, p.36</t>
        </is>
      </c>
    </row>
    <row r="32">
      <c r="A32" t="inlineStr">
        <is>
          <t>Tyranids</t>
        </is>
      </c>
      <c r="C32" t="inlineStr">
        <is>
          <t>Infantry / Other</t>
        </is>
      </c>
      <c r="D32" t="inlineStr">
        <is>
          <t>Beast / Swarm</t>
        </is>
      </c>
      <c r="E32" t="inlineStr">
        <is>
          <t>Spore Mines</t>
        </is>
      </c>
      <c r="F32" t="inlineStr">
        <is>
          <t>3 models</t>
        </is>
      </c>
      <c r="G32" t="inlineStr">
        <is>
          <t>Beast / Swarm</t>
        </is>
      </c>
      <c r="L32" s="60" t="n">
        <v>55</v>
      </c>
      <c r="M32" s="54" t="inlineStr">
        <is>
          <t>Points options: 3 models = 55 pts; 6 models = 110 pts</t>
        </is>
      </c>
      <c r="N32" s="54" t="inlineStr">
        <is>
          <t>Matched to Munitorum Field Manual v2.3</t>
        </is>
      </c>
      <c r="O32" s="54" t="inlineStr">
        <is>
          <t>Uploaded PDF: Munitorum Field Manual v2.3 / March 2025, p.36</t>
        </is>
      </c>
    </row>
    <row r="33">
      <c r="A33" t="inlineStr">
        <is>
          <t>Tyranids</t>
        </is>
      </c>
      <c r="C33" t="inlineStr">
        <is>
          <t>Vehicle / Support</t>
        </is>
      </c>
      <c r="D33" t="inlineStr">
        <is>
          <t>Vehicle</t>
        </is>
      </c>
      <c r="E33" t="inlineStr">
        <is>
          <t>Sporocyst</t>
        </is>
      </c>
      <c r="F33" t="inlineStr">
        <is>
          <t>1 model</t>
        </is>
      </c>
      <c r="G33" t="inlineStr">
        <is>
          <t>Vehicle</t>
        </is>
      </c>
      <c r="L33" s="60" t="n">
        <v>145</v>
      </c>
      <c r="M33" s="54" t="str"/>
      <c r="N33" s="54" t="inlineStr">
        <is>
          <t>Matched to Munitorum Field Manual v2.3</t>
        </is>
      </c>
      <c r="O33" s="54" t="inlineStr">
        <is>
          <t>Uploaded PDF: Munitorum Field Manual v2.3 / March 2025, p.36</t>
        </is>
      </c>
    </row>
    <row r="34">
      <c r="A34" t="inlineStr">
        <is>
          <t>Tyranids</t>
        </is>
      </c>
      <c r="C34" t="inlineStr">
        <is>
          <t>Battleline / Core</t>
        </is>
      </c>
      <c r="D34" t="inlineStr">
        <is>
          <t>Infantry</t>
        </is>
      </c>
      <c r="E34" t="inlineStr">
        <is>
          <t>Termagants</t>
        </is>
      </c>
      <c r="F34" t="inlineStr">
        <is>
          <t>10 models</t>
        </is>
      </c>
      <c r="G34" t="inlineStr">
        <is>
          <t>Infantry</t>
        </is>
      </c>
      <c r="L34" s="60" t="n">
        <v>60</v>
      </c>
      <c r="M34" s="54" t="inlineStr">
        <is>
          <t>Points options: 10 models = 60 pts; 20 models = 120 pts</t>
        </is>
      </c>
      <c r="N34" s="54" t="inlineStr">
        <is>
          <t>Matched to Munitorum Field Manual v2.3</t>
        </is>
      </c>
      <c r="O34" s="54" t="inlineStr">
        <is>
          <t>Uploaded PDF: Munitorum Field Manual v2.3 / March 2025, p.36</t>
        </is>
      </c>
    </row>
    <row r="35">
      <c r="A35" t="inlineStr">
        <is>
          <t>Tyranids</t>
        </is>
      </c>
      <c r="C35" t="inlineStr">
        <is>
          <t>Monster / Heavy Support</t>
        </is>
      </c>
      <c r="D35" t="inlineStr">
        <is>
          <t>Monster</t>
        </is>
      </c>
      <c r="E35" t="inlineStr">
        <is>
          <t>Tervigon</t>
        </is>
      </c>
      <c r="F35" t="inlineStr">
        <is>
          <t>1 model</t>
        </is>
      </c>
      <c r="G35" t="inlineStr">
        <is>
          <t>Monster</t>
        </is>
      </c>
      <c r="L35" s="60" t="n">
        <v>175</v>
      </c>
      <c r="M35" s="54" t="str"/>
      <c r="N35" s="54" t="inlineStr">
        <is>
          <t>Matched to Munitorum Field Manual v2.3</t>
        </is>
      </c>
      <c r="O35" s="54" t="inlineStr">
        <is>
          <t>Uploaded PDF: Munitorum Field Manual v2.3 / March 2025, p.36</t>
        </is>
      </c>
    </row>
    <row r="36">
      <c r="A36" t="inlineStr">
        <is>
          <t>Tyranids</t>
        </is>
      </c>
      <c r="C36" t="inlineStr">
        <is>
          <t>Character</t>
        </is>
      </c>
      <c r="D36" t="inlineStr">
        <is>
          <t>Character</t>
        </is>
      </c>
      <c r="E36" t="inlineStr">
        <is>
          <t>The Swarmlord</t>
        </is>
      </c>
      <c r="F36" t="inlineStr">
        <is>
          <t>1 model</t>
        </is>
      </c>
      <c r="G36" t="inlineStr">
        <is>
          <t>Character, Epic Hero</t>
        </is>
      </c>
      <c r="L36" s="60" t="n">
        <v>240</v>
      </c>
      <c r="M36" s="54" t="str"/>
      <c r="N36" s="54" t="inlineStr">
        <is>
          <t>Matched to Munitorum Field Manual v2.3</t>
        </is>
      </c>
      <c r="O36" s="54" t="inlineStr">
        <is>
          <t>Uploaded PDF: Munitorum Field Manual v2.3 / March 2025, p.36</t>
        </is>
      </c>
    </row>
    <row r="37">
      <c r="A37" t="inlineStr">
        <is>
          <t>Tyranids</t>
        </is>
      </c>
      <c r="C37" t="inlineStr">
        <is>
          <t>Monster / Heavy Support</t>
        </is>
      </c>
      <c r="D37" t="inlineStr">
        <is>
          <t>Monster</t>
        </is>
      </c>
      <c r="E37" t="inlineStr">
        <is>
          <t>Toxicrene</t>
        </is>
      </c>
      <c r="F37" t="inlineStr">
        <is>
          <t>1 model</t>
        </is>
      </c>
      <c r="G37" t="inlineStr">
        <is>
          <t>Monster</t>
        </is>
      </c>
      <c r="L37" s="60" t="n">
        <v>150</v>
      </c>
      <c r="M37" s="54" t="str"/>
      <c r="N37" s="54" t="inlineStr">
        <is>
          <t>Matched to Munitorum Field Manual v2.3</t>
        </is>
      </c>
      <c r="O37" s="54" t="inlineStr">
        <is>
          <t>Uploaded PDF: Munitorum Field Manual v2.3 / March 2025, p.36</t>
        </is>
      </c>
    </row>
    <row r="38">
      <c r="A38" t="inlineStr">
        <is>
          <t>Tyranids</t>
        </is>
      </c>
      <c r="C38" t="inlineStr">
        <is>
          <t>Monster / Heavy Support</t>
        </is>
      </c>
      <c r="D38" t="inlineStr">
        <is>
          <t>Monster</t>
        </is>
      </c>
      <c r="E38" t="inlineStr">
        <is>
          <t>Trygon</t>
        </is>
      </c>
      <c r="F38" t="inlineStr">
        <is>
          <t>1 model</t>
        </is>
      </c>
      <c r="G38" t="inlineStr">
        <is>
          <t>Monster</t>
        </is>
      </c>
      <c r="L38" s="60" t="n">
        <v>140</v>
      </c>
      <c r="M38" s="54" t="str"/>
      <c r="N38" s="54" t="inlineStr">
        <is>
          <t>Matched to Munitorum Field Manual v2.3</t>
        </is>
      </c>
      <c r="O38" s="54" t="inlineStr">
        <is>
          <t>Uploaded PDF: Munitorum Field Manual v2.3 / March 2025, p.36</t>
        </is>
      </c>
    </row>
    <row r="39">
      <c r="A39" t="inlineStr">
        <is>
          <t>Tyranids</t>
        </is>
      </c>
      <c r="C39" t="inlineStr">
        <is>
          <t>Infantry / Other</t>
        </is>
      </c>
      <c r="D39" t="inlineStr">
        <is>
          <t>Infantry</t>
        </is>
      </c>
      <c r="E39" t="inlineStr">
        <is>
          <t>Tyranid Warriors with Melee Bio-weapons</t>
        </is>
      </c>
      <c r="F39" t="inlineStr">
        <is>
          <t>3 models</t>
        </is>
      </c>
      <c r="G39" t="inlineStr">
        <is>
          <t>Infantry</t>
        </is>
      </c>
      <c r="L39" s="60" t="n">
        <v>75</v>
      </c>
      <c r="M39" s="54" t="inlineStr">
        <is>
          <t>Points options: 3 models = 75 pts; 6 models = 150 pts</t>
        </is>
      </c>
      <c r="N39" s="54" t="inlineStr">
        <is>
          <t>Matched to Munitorum Field Manual v2.3</t>
        </is>
      </c>
      <c r="O39" s="54" t="inlineStr">
        <is>
          <t>Uploaded PDF: Munitorum Field Manual v2.3 / March 2025, p.36</t>
        </is>
      </c>
    </row>
    <row r="40">
      <c r="A40" t="inlineStr">
        <is>
          <t>Tyranids</t>
        </is>
      </c>
      <c r="C40" t="inlineStr">
        <is>
          <t>Infantry / Other</t>
        </is>
      </c>
      <c r="D40" t="inlineStr">
        <is>
          <t>Infantry</t>
        </is>
      </c>
      <c r="E40" t="inlineStr">
        <is>
          <t>Tyranid Warriors with Ranged Bio-weapons</t>
        </is>
      </c>
      <c r="F40" t="inlineStr">
        <is>
          <t>3 models</t>
        </is>
      </c>
      <c r="G40" t="inlineStr">
        <is>
          <t>Infantry</t>
        </is>
      </c>
      <c r="L40" s="60" t="n">
        <v>65</v>
      </c>
      <c r="M40" s="54" t="inlineStr">
        <is>
          <t>Points options: 3 models = 65 pts; 6 models = 130 pts</t>
        </is>
      </c>
      <c r="N40" s="54" t="inlineStr">
        <is>
          <t>Matched to Munitorum Field Manual v2.3</t>
        </is>
      </c>
      <c r="O40" s="54" t="inlineStr">
        <is>
          <t>Uploaded PDF: Munitorum Field Manual v2.3 / March 2025, p.36</t>
        </is>
      </c>
    </row>
    <row r="41">
      <c r="A41" t="inlineStr">
        <is>
          <t>Tyranids</t>
        </is>
      </c>
      <c r="C41" t="inlineStr">
        <is>
          <t>Vehicle / Support</t>
        </is>
      </c>
      <c r="D41" t="inlineStr">
        <is>
          <t>Vehicle</t>
        </is>
      </c>
      <c r="E41" t="inlineStr">
        <is>
          <t>Tyrannocyte</t>
        </is>
      </c>
      <c r="F41" t="inlineStr">
        <is>
          <t>1 model</t>
        </is>
      </c>
      <c r="G41" t="inlineStr">
        <is>
          <t>Vehicle</t>
        </is>
      </c>
      <c r="L41" s="60" t="n">
        <v>105</v>
      </c>
      <c r="M41" s="54" t="str"/>
      <c r="N41" s="54" t="inlineStr">
        <is>
          <t>Matched to Munitorum Field Manual v2.3</t>
        </is>
      </c>
      <c r="O41" s="54" t="inlineStr">
        <is>
          <t>Uploaded PDF: Munitorum Field Manual v2.3 / March 2025, p.36</t>
        </is>
      </c>
    </row>
    <row r="42">
      <c r="A42" t="inlineStr">
        <is>
          <t>Tyranids</t>
        </is>
      </c>
      <c r="C42" t="inlineStr">
        <is>
          <t>Monster / Heavy Support</t>
        </is>
      </c>
      <c r="D42" t="inlineStr">
        <is>
          <t>Monster</t>
        </is>
      </c>
      <c r="E42" t="inlineStr">
        <is>
          <t>Tyrannofex</t>
        </is>
      </c>
      <c r="F42" t="inlineStr">
        <is>
          <t>1 model</t>
        </is>
      </c>
      <c r="G42" t="inlineStr">
        <is>
          <t>Monster</t>
        </is>
      </c>
      <c r="L42" s="60" t="n">
        <v>200</v>
      </c>
      <c r="M42" s="54" t="str"/>
      <c r="N42" s="54" t="inlineStr">
        <is>
          <t>Matched to Munitorum Field Manual v2.3</t>
        </is>
      </c>
      <c r="O42" s="54" t="inlineStr">
        <is>
          <t>Uploaded PDF: Munitorum Field Manual v2.3 / March 2025, p.36</t>
        </is>
      </c>
    </row>
    <row r="43">
      <c r="A43" t="inlineStr">
        <is>
          <t>Tyranids</t>
        </is>
      </c>
      <c r="C43" t="inlineStr">
        <is>
          <t>Character</t>
        </is>
      </c>
      <c r="D43" t="inlineStr">
        <is>
          <t>Character</t>
        </is>
      </c>
      <c r="E43" t="inlineStr">
        <is>
          <t>Tyrant Guard</t>
        </is>
      </c>
      <c r="F43" t="inlineStr">
        <is>
          <t>3 models</t>
        </is>
      </c>
      <c r="G43" t="inlineStr">
        <is>
          <t>Character</t>
        </is>
      </c>
      <c r="L43" s="60" t="n">
        <v>80</v>
      </c>
      <c r="M43" s="54" t="inlineStr">
        <is>
          <t>Points options: 3 models = 80 pts; 6 models = 160 pts</t>
        </is>
      </c>
      <c r="N43" s="54" t="inlineStr">
        <is>
          <t>Matched to Munitorum Field Manual v2.3</t>
        </is>
      </c>
      <c r="O43" s="54" t="inlineStr">
        <is>
          <t>Uploaded PDF: Munitorum Field Manual v2.3 / March 2025, p.36</t>
        </is>
      </c>
    </row>
    <row r="44">
      <c r="A44" t="inlineStr">
        <is>
          <t>Tyranids</t>
        </is>
      </c>
      <c r="C44" t="inlineStr">
        <is>
          <t>Infantry / Other</t>
        </is>
      </c>
      <c r="D44" t="inlineStr">
        <is>
          <t>Infantry</t>
        </is>
      </c>
      <c r="E44" t="inlineStr">
        <is>
          <t>Von Ryan's Leapers</t>
        </is>
      </c>
      <c r="F44" t="inlineStr">
        <is>
          <t>3 models</t>
        </is>
      </c>
      <c r="G44" t="inlineStr">
        <is>
          <t>Infantry</t>
        </is>
      </c>
      <c r="L44" s="60" t="n">
        <v>70</v>
      </c>
      <c r="M44" s="54" t="inlineStr">
        <is>
          <t>Points options: 3 models = 70 pts; 6 models = 140 pts</t>
        </is>
      </c>
      <c r="N44" s="54" t="inlineStr">
        <is>
          <t>Matched to Munitorum Field Manual v2.3</t>
        </is>
      </c>
      <c r="O44" s="54" t="inlineStr">
        <is>
          <t>Uploaded PDF: Munitorum Field Manual v2.3 / March 2025, p.36</t>
        </is>
      </c>
    </row>
    <row r="45">
      <c r="A45" t="inlineStr">
        <is>
          <t>Tyranids</t>
        </is>
      </c>
      <c r="C45" t="inlineStr">
        <is>
          <t>Character</t>
        </is>
      </c>
      <c r="D45" t="inlineStr">
        <is>
          <t>Character</t>
        </is>
      </c>
      <c r="E45" t="inlineStr">
        <is>
          <t>Winged Hive Tyrant</t>
        </is>
      </c>
      <c r="F45" t="inlineStr">
        <is>
          <t>1 model</t>
        </is>
      </c>
      <c r="G45" t="inlineStr">
        <is>
          <t>Character, Psyker</t>
        </is>
      </c>
      <c r="L45" s="60" t="n">
        <v>200</v>
      </c>
      <c r="M45" s="54" t="str"/>
      <c r="N45" s="54" t="inlineStr">
        <is>
          <t>Matched to Munitorum Field Manual v2.3</t>
        </is>
      </c>
      <c r="O45" s="54" t="inlineStr">
        <is>
          <t>Uploaded PDF: Munitorum Field Manual v2.3 / March 2025, p.36</t>
        </is>
      </c>
    </row>
    <row r="46">
      <c r="A46" t="inlineStr">
        <is>
          <t>Tyranids</t>
        </is>
      </c>
      <c r="C46" t="inlineStr">
        <is>
          <t>Character</t>
        </is>
      </c>
      <c r="D46" t="inlineStr">
        <is>
          <t>Character</t>
        </is>
      </c>
      <c r="E46" t="inlineStr">
        <is>
          <t>Winged Tyranid Prime</t>
        </is>
      </c>
      <c r="F46" t="inlineStr">
        <is>
          <t>1 model</t>
        </is>
      </c>
      <c r="G46" t="inlineStr">
        <is>
          <t>Character</t>
        </is>
      </c>
      <c r="L46" s="60" t="n">
        <v>65</v>
      </c>
      <c r="M46" s="54" t="str"/>
      <c r="N46" s="54" t="inlineStr">
        <is>
          <t>Matched to Munitorum Field Manual v2.3</t>
        </is>
      </c>
      <c r="O46" s="54" t="inlineStr">
        <is>
          <t>Uploaded PDF: Munitorum Field Manual v2.3 / March 2025, p.36</t>
        </is>
      </c>
    </row>
    <row r="47">
      <c r="A47" t="inlineStr">
        <is>
          <t>Tyranids</t>
        </is>
      </c>
      <c r="C47" t="inlineStr">
        <is>
          <t>Infantry / Other</t>
        </is>
      </c>
      <c r="D47" t="inlineStr">
        <is>
          <t>Infantry</t>
        </is>
      </c>
      <c r="E47" t="inlineStr">
        <is>
          <t>Zoanthropes</t>
        </is>
      </c>
      <c r="F47" t="inlineStr">
        <is>
          <t>3 models</t>
        </is>
      </c>
      <c r="G47" t="inlineStr">
        <is>
          <t>Infantry, Psyker</t>
        </is>
      </c>
      <c r="L47" s="60" t="n">
        <v>100</v>
      </c>
      <c r="M47" s="54" t="inlineStr">
        <is>
          <t>Points options: 3 models = 100 pts; 6 models = 200 pts</t>
        </is>
      </c>
      <c r="N47" s="54" t="inlineStr">
        <is>
          <t>Matched to Munitorum Field Manual v2.3</t>
        </is>
      </c>
      <c r="O47" s="54" t="inlineStr">
        <is>
          <t>Uploaded PDF: Munitorum Field Manual v2.3 / March 2025, p.36</t>
        </is>
      </c>
    </row>
    <row r="48">
      <c r="A48" t="inlineStr">
        <is>
          <t>Tyranids</t>
        </is>
      </c>
      <c r="C48" t="inlineStr">
        <is>
          <t>Monster / Support</t>
        </is>
      </c>
      <c r="D48" t="inlineStr">
        <is>
          <t>Monster</t>
        </is>
      </c>
      <c r="E48" t="inlineStr">
        <is>
          <t>Harridan</t>
        </is>
      </c>
      <c r="F48" t="inlineStr">
        <is>
          <t>1 model</t>
        </is>
      </c>
      <c r="G48" t="inlineStr">
        <is>
          <t>Monster</t>
        </is>
      </c>
      <c r="L48" t="n">
        <v>610</v>
      </c>
      <c r="M48" t="inlineStr">
        <is>
          <t>Your 1st Unit Costs: 1 models = 610 pts | Your 2nd + Unit Costs: 1 models = 660 pts</t>
        </is>
      </c>
      <c r="N48" t="inlineStr">
        <is>
          <t>Added from current Munitorum Field Manual v4.1 (non-Legends)</t>
        </is>
      </c>
      <c r="O48" t="inlineStr">
        <is>
          <t>https://www.warhammer-community.com/en-gb/downloads/warhammer-40000/</t>
        </is>
      </c>
    </row>
    <row r="49">
      <c r="A49" t="inlineStr">
        <is>
          <t>Tyranids</t>
        </is>
      </c>
      <c r="C49" t="inlineStr">
        <is>
          <t>Monster / Support</t>
        </is>
      </c>
      <c r="D49" t="inlineStr">
        <is>
          <t>Monster</t>
        </is>
      </c>
      <c r="E49" t="inlineStr">
        <is>
          <t>Hierophant</t>
        </is>
      </c>
      <c r="F49" t="inlineStr">
        <is>
          <t>1 model</t>
        </is>
      </c>
      <c r="G49" t="inlineStr">
        <is>
          <t>Monster</t>
        </is>
      </c>
      <c r="L49" t="n">
        <v>810</v>
      </c>
      <c r="M49" t="inlineStr">
        <is>
          <t>Your 1st Unit Costs: 1 models = 810 pts | Your 2nd + Unit Costs: 1 models = 910 pts</t>
        </is>
      </c>
      <c r="N49" t="inlineStr">
        <is>
          <t>Added from current Munitorum Field Manual v4.1 (non-Legends)</t>
        </is>
      </c>
      <c r="O49" t="inlineStr">
        <is>
          <t>https://www.warhammer-community.com/en-gb/downloads/warhammer-40000/</t>
        </is>
      </c>
    </row>
    <row r="50">
      <c r="A50" t="inlineStr">
        <is>
          <t>Tyranids</t>
        </is>
      </c>
      <c r="C50" t="inlineStr">
        <is>
          <t>Character</t>
        </is>
      </c>
      <c r="D50" t="inlineStr">
        <is>
          <t>Character</t>
        </is>
      </c>
      <c r="E50" t="inlineStr">
        <is>
          <t>Hyperadapted Raveners</t>
        </is>
      </c>
      <c r="F50" t="inlineStr">
        <is>
          <t>5 models</t>
        </is>
      </c>
      <c r="G50" t="inlineStr">
        <is>
          <t>Character</t>
        </is>
      </c>
      <c r="L50" t="n">
        <v>165</v>
      </c>
      <c r="M50" t="inlineStr">
        <is>
          <t>Your 1st To 2nd Units Cost: 5 models = 165 pts | Your 3rd + Unit Costs: 5 models = 175 pts</t>
        </is>
      </c>
      <c r="N50" t="inlineStr">
        <is>
          <t>Added from current Munitorum Field Manual v4.1 (non-Legends)</t>
        </is>
      </c>
      <c r="O50" t="inlineStr">
        <is>
          <t>https://www.warhammer-community.com/en-gb/downloads/warhammer-40000/</t>
        </is>
      </c>
    </row>
    <row r="51">
      <c r="A51" t="inlineStr">
        <is>
          <t>Tyranids</t>
        </is>
      </c>
      <c r="C51" t="inlineStr">
        <is>
          <t>Infantry / Other</t>
        </is>
      </c>
      <c r="D51" t="inlineStr">
        <is>
          <t>Infantry</t>
        </is>
      </c>
      <c r="E51" t="inlineStr">
        <is>
          <t>The Red Terror</t>
        </is>
      </c>
      <c r="F51" t="inlineStr">
        <is>
          <t>1 model</t>
        </is>
      </c>
      <c r="G51" t="inlineStr">
        <is>
          <t>Infantry</t>
        </is>
      </c>
      <c r="L51" t="n">
        <v>130</v>
      </c>
      <c r="N51" t="inlineStr">
        <is>
          <t>Added from current Munitorum Field Manual v4.1 (non-Legends)</t>
        </is>
      </c>
      <c r="O51" t="inlineStr">
        <is>
          <t>https://www.warhammer-community.com/en-gb/downloads/warhammer-40000/</t>
        </is>
      </c>
    </row>
    <row r="52">
      <c r="A52" t="inlineStr">
        <is>
          <t>Tyranids</t>
        </is>
      </c>
      <c r="C52" t="inlineStr">
        <is>
          <t>Character</t>
        </is>
      </c>
      <c r="D52" t="inlineStr">
        <is>
          <t>Character</t>
        </is>
      </c>
      <c r="E52" t="inlineStr">
        <is>
          <t>Tyranid Prime With Lash Whip</t>
        </is>
      </c>
      <c r="F52" t="inlineStr">
        <is>
          <t>1 model</t>
        </is>
      </c>
      <c r="G52" t="inlineStr">
        <is>
          <t>Character</t>
        </is>
      </c>
      <c r="L52" t="n">
        <v>75</v>
      </c>
      <c r="N52" t="inlineStr">
        <is>
          <t>Added from current Munitorum Field Manual v4.1 (non-Legends)</t>
        </is>
      </c>
      <c r="O52" t="inlineStr">
        <is>
          <t>https://www.warhammer-community.com/en-gb/downloads/warhammer-40000/</t>
        </is>
      </c>
    </row>
    <row r="53">
      <c r="A53" t="inlineStr">
        <is>
          <t>Tyranids</t>
        </is>
      </c>
      <c r="C53" t="inlineStr">
        <is>
          <t>Infantry / Other</t>
        </is>
      </c>
      <c r="D53" t="inlineStr">
        <is>
          <t>Infantry</t>
        </is>
      </c>
      <c r="E53" t="inlineStr">
        <is>
          <t>Venomthropes</t>
        </is>
      </c>
      <c r="F53" t="inlineStr">
        <is>
          <t>3 models</t>
        </is>
      </c>
      <c r="G53" t="inlineStr">
        <is>
          <t>Infantry</t>
        </is>
      </c>
      <c r="L53" t="n">
        <v>55</v>
      </c>
      <c r="N53" t="inlineStr">
        <is>
          <t>Added from current Munitorum Field Manual v4.1 (non-Legends)</t>
        </is>
      </c>
      <c r="O53"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8" customWidth="1" style="48" min="1" max="1"/>
    <col width="18" customWidth="1" style="48" min="2" max="2"/>
    <col width="22" customWidth="1" style="48" min="3" max="3"/>
    <col width="24" customWidth="1" style="48" min="4" max="4"/>
    <col width="34" customWidth="1" style="48" min="5" max="5"/>
    <col width="12" customWidth="1" style="48" min="6" max="6"/>
    <col width="30" customWidth="1" style="48" min="7" max="7"/>
    <col width="10" customWidth="1" style="48" min="8" max="8"/>
    <col width="10" customWidth="1" style="48" min="9" max="9"/>
    <col width="16" customWidth="1" style="48" min="10" max="10"/>
    <col width="16" customWidth="1" style="48" min="11" max="11"/>
    <col width="12" customWidth="1" style="48" min="12" max="12"/>
    <col width="32" customWidth="1" style="48" min="13" max="13"/>
    <col width="18" customWidth="1" style="48" min="14" max="14"/>
    <col width="45" customWidth="1" style="48" min="15" max="15"/>
  </cols>
  <sheetData>
    <row r="1">
      <c r="A1" s="61" t="inlineStr">
        <is>
          <t>Faction</t>
        </is>
      </c>
      <c r="B1" s="61" t="inlineStr">
        <is>
          <t>Subfaction/Chapter</t>
        </is>
      </c>
      <c r="C1" s="61" t="inlineStr">
        <is>
          <t>Battlefield Role</t>
        </is>
      </c>
      <c r="D1" s="61" t="inlineStr">
        <is>
          <t>Unit Type</t>
        </is>
      </c>
      <c r="E1" s="61" t="inlineStr">
        <is>
          <t>Unit Name</t>
        </is>
      </c>
      <c r="F1" s="61" t="inlineStr">
        <is>
          <t>Models</t>
        </is>
      </c>
      <c r="G1" s="61" t="inlineStr">
        <is>
          <t>Keywords / Tags</t>
        </is>
      </c>
      <c r="H1" s="61" t="inlineStr">
        <is>
          <t>Owned?</t>
        </is>
      </c>
      <c r="I1" s="61" t="inlineStr">
        <is>
          <t>Built?</t>
        </is>
      </c>
      <c r="J1" s="61" t="inlineStr">
        <is>
          <t>Paint Status</t>
        </is>
      </c>
      <c r="K1" s="61" t="inlineStr">
        <is>
          <t>Wishlist Priority</t>
        </is>
      </c>
      <c r="L1" s="61" t="inlineStr">
        <is>
          <t>Points</t>
        </is>
      </c>
      <c r="M1" s="61" t="inlineStr">
        <is>
          <t>Notes</t>
        </is>
      </c>
      <c r="N1" s="61" t="inlineStr">
        <is>
          <t>Verification Status</t>
        </is>
      </c>
      <c r="O1" s="61" t="inlineStr">
        <is>
          <t>Source URL</t>
        </is>
      </c>
    </row>
    <row r="2">
      <c r="A2" t="inlineStr">
        <is>
          <t>World Eaters</t>
        </is>
      </c>
      <c r="C2" t="inlineStr">
        <is>
          <t>Monster / Heavy Support</t>
        </is>
      </c>
      <c r="D2" t="inlineStr">
        <is>
          <t>Monster</t>
        </is>
      </c>
      <c r="E2" t="inlineStr">
        <is>
          <t>Angron</t>
        </is>
      </c>
      <c r="F2" t="inlineStr">
        <is>
          <t>1 model</t>
        </is>
      </c>
      <c r="G2" t="inlineStr">
        <is>
          <t>Monster, Epic Hero</t>
        </is>
      </c>
      <c r="L2" s="60" t="n">
        <v>435</v>
      </c>
      <c r="M2" s="54" t="str"/>
      <c r="N2" s="54" t="inlineStr">
        <is>
          <t>Matched to Munitorum Field Manual v2.3</t>
        </is>
      </c>
      <c r="O2" s="54" t="inlineStr">
        <is>
          <t>Uploaded PDF: Munitorum Field Manual v2.3 / March 2025, p.38</t>
        </is>
      </c>
    </row>
    <row r="3">
      <c r="A3" t="inlineStr">
        <is>
          <t>World Eaters</t>
        </is>
      </c>
      <c r="C3" t="inlineStr">
        <is>
          <t>Infantry / Other</t>
        </is>
      </c>
      <c r="D3" t="inlineStr">
        <is>
          <t>Infantry</t>
        </is>
      </c>
      <c r="E3" t="inlineStr">
        <is>
          <t>Eightbound</t>
        </is>
      </c>
      <c r="F3" t="inlineStr">
        <is>
          <t>3 models</t>
        </is>
      </c>
      <c r="G3" t="inlineStr">
        <is>
          <t>Infantry</t>
        </is>
      </c>
      <c r="L3" s="60" t="n">
        <v>140</v>
      </c>
      <c r="M3" s="54" t="inlineStr">
        <is>
          <t>Points options: 3 models = 140 pts; 6 models = 280 pts</t>
        </is>
      </c>
      <c r="N3" s="54" t="inlineStr">
        <is>
          <t>Matched to Munitorum Field Manual v2.3</t>
        </is>
      </c>
      <c r="O3" s="54" t="inlineStr">
        <is>
          <t>Uploaded PDF: Munitorum Field Manual v2.3 / March 2025, p.38</t>
        </is>
      </c>
    </row>
    <row r="4">
      <c r="A4" t="inlineStr">
        <is>
          <t>World Eaters</t>
        </is>
      </c>
      <c r="C4" t="inlineStr">
        <is>
          <t>Infantry / Other</t>
        </is>
      </c>
      <c r="D4" t="inlineStr">
        <is>
          <t>Infantry</t>
        </is>
      </c>
      <c r="E4" t="inlineStr">
        <is>
          <t>Exalted Eightbound</t>
        </is>
      </c>
      <c r="F4" t="inlineStr">
        <is>
          <t>3 models</t>
        </is>
      </c>
      <c r="G4" t="inlineStr">
        <is>
          <t>Infantry</t>
        </is>
      </c>
      <c r="L4" s="60" t="n">
        <v>155</v>
      </c>
      <c r="M4" s="54" t="inlineStr">
        <is>
          <t>Points options: 3 models = 155 pts; 6 models = 310 pts</t>
        </is>
      </c>
      <c r="N4" s="54" t="inlineStr">
        <is>
          <t>Matched to Munitorum Field Manual v2.3</t>
        </is>
      </c>
      <c r="O4" s="54" t="inlineStr">
        <is>
          <t>Uploaded PDF: Munitorum Field Manual v2.3 / March 2025, p.38</t>
        </is>
      </c>
    </row>
    <row r="5">
      <c r="A5" t="inlineStr">
        <is>
          <t>World Eaters</t>
        </is>
      </c>
      <c r="C5" t="inlineStr">
        <is>
          <t>Infantry / Other</t>
        </is>
      </c>
      <c r="D5" t="inlineStr">
        <is>
          <t>Infantry</t>
        </is>
      </c>
      <c r="E5" t="inlineStr">
        <is>
          <t>Jakhals</t>
        </is>
      </c>
      <c r="F5" t="inlineStr">
        <is>
          <t>10 models</t>
        </is>
      </c>
      <c r="G5" t="inlineStr">
        <is>
          <t>Infantry</t>
        </is>
      </c>
      <c r="L5" s="60" t="n">
        <v>65</v>
      </c>
      <c r="M5" s="54" t="inlineStr">
        <is>
          <t>Points options: 10 models = 65 pts; 20 models = 130 pts</t>
        </is>
      </c>
      <c r="N5" s="54" t="inlineStr">
        <is>
          <t>Matched to Munitorum Field Manual v2.3</t>
        </is>
      </c>
      <c r="O5" s="54" t="inlineStr">
        <is>
          <t>Uploaded PDF: Munitorum Field Manual v2.3 / March 2025, p.38</t>
        </is>
      </c>
    </row>
    <row r="6">
      <c r="A6" t="inlineStr">
        <is>
          <t>World Eaters</t>
        </is>
      </c>
      <c r="C6" t="inlineStr">
        <is>
          <t>Infantry / Other</t>
        </is>
      </c>
      <c r="D6" t="inlineStr">
        <is>
          <t>Infantry</t>
        </is>
      </c>
      <c r="E6" t="inlineStr">
        <is>
          <t>Khârn the Betrayer</t>
        </is>
      </c>
      <c r="F6" t="inlineStr">
        <is>
          <t>1 model</t>
        </is>
      </c>
      <c r="G6" t="inlineStr">
        <is>
          <t>Infantry</t>
        </is>
      </c>
      <c r="L6" s="60" t="n">
        <v>100</v>
      </c>
      <c r="M6" s="54" t="str"/>
      <c r="N6" s="54" t="inlineStr">
        <is>
          <t>Matched to Munitorum Field Manual v2.3</t>
        </is>
      </c>
      <c r="O6" s="54" t="inlineStr">
        <is>
          <t>Uploaded PDF: Munitorum Field Manual v2.3 / March 2025, p.38</t>
        </is>
      </c>
    </row>
    <row r="7">
      <c r="A7" t="inlineStr">
        <is>
          <t>World Eaters</t>
        </is>
      </c>
      <c r="C7" t="inlineStr">
        <is>
          <t>Battleline / Core</t>
        </is>
      </c>
      <c r="D7" t="inlineStr">
        <is>
          <t>Infantry</t>
        </is>
      </c>
      <c r="E7" t="inlineStr">
        <is>
          <t>Khorne Berzerkers</t>
        </is>
      </c>
      <c r="F7" t="inlineStr">
        <is>
          <t>5 models</t>
        </is>
      </c>
      <c r="G7" t="inlineStr">
        <is>
          <t>Infantry</t>
        </is>
      </c>
      <c r="L7" s="60" t="n">
        <v>90</v>
      </c>
      <c r="M7" s="54" t="inlineStr">
        <is>
          <t>Points options: 5 models = 90 pts; 10 models = 180 pts</t>
        </is>
      </c>
      <c r="N7" s="54" t="inlineStr">
        <is>
          <t>Matched to Munitorum Field Manual v2.3</t>
        </is>
      </c>
      <c r="O7" s="54" t="inlineStr">
        <is>
          <t>Uploaded PDF: Munitorum Field Manual v2.3 / March 2025, p.38</t>
        </is>
      </c>
    </row>
    <row r="8">
      <c r="A8" t="inlineStr">
        <is>
          <t>World Eaters</t>
        </is>
      </c>
      <c r="C8" t="inlineStr">
        <is>
          <t>Vehicle / Support</t>
        </is>
      </c>
      <c r="D8" t="inlineStr">
        <is>
          <t>Super-heavy Vehicle/Monster</t>
        </is>
      </c>
      <c r="E8" t="inlineStr">
        <is>
          <t>Khorne Lord of Skulls</t>
        </is>
      </c>
      <c r="F8" t="inlineStr">
        <is>
          <t>1 model</t>
        </is>
      </c>
      <c r="G8" t="inlineStr">
        <is>
          <t>Super-heavy Vehicle/Monster</t>
        </is>
      </c>
      <c r="L8" s="60" t="n">
        <v>450</v>
      </c>
      <c r="M8" s="54" t="str"/>
      <c r="N8" s="54" t="inlineStr">
        <is>
          <t>Matched to Munitorum Field Manual v2.3</t>
        </is>
      </c>
      <c r="O8" s="54" t="inlineStr">
        <is>
          <t>Uploaded PDF: Munitorum Field Manual v2.3 / March 2025, p.38</t>
        </is>
      </c>
    </row>
    <row r="9">
      <c r="A9" t="inlineStr">
        <is>
          <t>World Eaters</t>
        </is>
      </c>
      <c r="C9" t="inlineStr">
        <is>
          <t>Character</t>
        </is>
      </c>
      <c r="D9" t="inlineStr">
        <is>
          <t>Character</t>
        </is>
      </c>
      <c r="E9" t="inlineStr">
        <is>
          <t>Lord Invocatus</t>
        </is>
      </c>
      <c r="F9" t="inlineStr">
        <is>
          <t>1 model</t>
        </is>
      </c>
      <c r="G9" t="inlineStr">
        <is>
          <t>Character</t>
        </is>
      </c>
      <c r="L9" s="60" t="n">
        <v>140</v>
      </c>
      <c r="M9" s="54" t="str"/>
      <c r="N9" s="54" t="inlineStr">
        <is>
          <t>Matched to Munitorum Field Manual v2.3</t>
        </is>
      </c>
      <c r="O9" s="54" t="inlineStr">
        <is>
          <t>Uploaded PDF: Munitorum Field Manual v2.3 / March 2025, p.38</t>
        </is>
      </c>
    </row>
    <row r="10">
      <c r="A10" t="inlineStr">
        <is>
          <t>World Eaters</t>
        </is>
      </c>
      <c r="C10" t="inlineStr">
        <is>
          <t>Infantry / Other</t>
        </is>
      </c>
      <c r="D10" t="inlineStr">
        <is>
          <t>Infantry</t>
        </is>
      </c>
      <c r="E10" t="inlineStr">
        <is>
          <t>World Eaters Chaos Spawn</t>
        </is>
      </c>
      <c r="F10" t="inlineStr">
        <is>
          <t>2 models</t>
        </is>
      </c>
      <c r="G10" t="inlineStr">
        <is>
          <t>Infantry</t>
        </is>
      </c>
      <c r="L10" s="60" t="n">
        <v>70</v>
      </c>
      <c r="M10" s="54" t="str"/>
      <c r="N10" s="54" t="inlineStr">
        <is>
          <t>Matched to Munitorum Field Manual v2.3</t>
        </is>
      </c>
      <c r="O10" s="54" t="inlineStr">
        <is>
          <t>Uploaded PDF: Munitorum Field Manual v2.3 / March 2025, p.38</t>
        </is>
      </c>
    </row>
    <row r="11">
      <c r="A11" t="inlineStr">
        <is>
          <t>World Eaters</t>
        </is>
      </c>
      <c r="C11" t="inlineStr">
        <is>
          <t>Infantry / Other</t>
        </is>
      </c>
      <c r="D11" t="inlineStr">
        <is>
          <t>Infantry</t>
        </is>
      </c>
      <c r="E11" t="inlineStr">
        <is>
          <t>World Eaters Daemon Prince</t>
        </is>
      </c>
      <c r="F11" t="inlineStr">
        <is>
          <t>1 model</t>
        </is>
      </c>
      <c r="G11" t="inlineStr">
        <is>
          <t>Infantry</t>
        </is>
      </c>
      <c r="L11" s="60" t="n">
        <v>185</v>
      </c>
      <c r="M11" s="54" t="str"/>
      <c r="N11" s="54" t="inlineStr">
        <is>
          <t>Matched to Munitorum Field Manual v2.3</t>
        </is>
      </c>
      <c r="O11" s="54" t="inlineStr">
        <is>
          <t>Uploaded PDF: Munitorum Field Manual v2.3 / March 2025, p.38</t>
        </is>
      </c>
    </row>
    <row r="12">
      <c r="A12" t="inlineStr">
        <is>
          <t>World Eaters</t>
        </is>
      </c>
      <c r="C12" t="inlineStr">
        <is>
          <t>Infantry / Other</t>
        </is>
      </c>
      <c r="D12" t="inlineStr">
        <is>
          <t>Infantry</t>
        </is>
      </c>
      <c r="E12" t="inlineStr">
        <is>
          <t>World Eaters Daemon Prince with Wings</t>
        </is>
      </c>
      <c r="F12" t="inlineStr">
        <is>
          <t>1 model</t>
        </is>
      </c>
      <c r="G12" t="inlineStr">
        <is>
          <t>Infantry</t>
        </is>
      </c>
      <c r="L12" s="60" t="n">
        <v>155</v>
      </c>
      <c r="M12" s="54" t="str"/>
      <c r="N12" s="54" t="inlineStr">
        <is>
          <t>Matched to Munitorum Field Manual v2.3</t>
        </is>
      </c>
      <c r="O12" s="54" t="inlineStr">
        <is>
          <t>Uploaded PDF: Munitorum Field Manual v2.3 / March 2025, p.38</t>
        </is>
      </c>
    </row>
    <row r="13">
      <c r="A13" t="inlineStr">
        <is>
          <t>World Eaters</t>
        </is>
      </c>
      <c r="C13" t="inlineStr">
        <is>
          <t>Vehicle / Support</t>
        </is>
      </c>
      <c r="D13" t="inlineStr">
        <is>
          <t>Walker / Battlesuit</t>
        </is>
      </c>
      <c r="E13" t="inlineStr">
        <is>
          <t>World Eaters Defiler</t>
        </is>
      </c>
      <c r="F13" t="inlineStr">
        <is>
          <t>1 model</t>
        </is>
      </c>
      <c r="G13" t="inlineStr">
        <is>
          <t>Walker / Battlesuit</t>
        </is>
      </c>
      <c r="L13" s="60" t="n">
        <v>190</v>
      </c>
      <c r="M13" s="54" t="str"/>
      <c r="N13" s="54" t="inlineStr">
        <is>
          <t>Matched to Munitorum Field Manual v2.3</t>
        </is>
      </c>
      <c r="O13" s="54" t="inlineStr">
        <is>
          <t>Uploaded PDF: Munitorum Field Manual v2.3 / March 2025, p.38</t>
        </is>
      </c>
    </row>
    <row r="14">
      <c r="A14" t="inlineStr">
        <is>
          <t>World Eaters</t>
        </is>
      </c>
      <c r="C14" t="inlineStr">
        <is>
          <t>Vehicle / Support</t>
        </is>
      </c>
      <c r="D14" t="inlineStr">
        <is>
          <t>Walker / Battlesuit</t>
        </is>
      </c>
      <c r="E14" t="inlineStr">
        <is>
          <t>World Eaters Forgefiend</t>
        </is>
      </c>
      <c r="F14" t="inlineStr">
        <is>
          <t>1 model</t>
        </is>
      </c>
      <c r="G14" t="inlineStr">
        <is>
          <t>Walker / Battlesuit</t>
        </is>
      </c>
      <c r="L14" s="60" t="n">
        <v>145</v>
      </c>
      <c r="M14" s="54" t="str"/>
      <c r="N14" s="54" t="inlineStr">
        <is>
          <t>Matched to Munitorum Field Manual v2.3</t>
        </is>
      </c>
      <c r="O14" s="54" t="inlineStr">
        <is>
          <t>Uploaded PDF: Munitorum Field Manual v2.3 / March 2025, p.38</t>
        </is>
      </c>
    </row>
    <row r="15">
      <c r="A15" t="inlineStr">
        <is>
          <t>World Eaters</t>
        </is>
      </c>
      <c r="C15" t="inlineStr">
        <is>
          <t>Vehicle / Support</t>
        </is>
      </c>
      <c r="D15" t="inlineStr">
        <is>
          <t>Walker / Battlesuit</t>
        </is>
      </c>
      <c r="E15" t="inlineStr">
        <is>
          <t>World Eaters Helbrute</t>
        </is>
      </c>
      <c r="F15" t="inlineStr">
        <is>
          <t>1 model</t>
        </is>
      </c>
      <c r="G15" t="inlineStr">
        <is>
          <t>Walker / Battlesuit</t>
        </is>
      </c>
      <c r="L15" s="60" t="n">
        <v>130</v>
      </c>
      <c r="M15" s="54" t="str"/>
      <c r="N15" s="54" t="inlineStr">
        <is>
          <t>Matched to Munitorum Field Manual v2.3</t>
        </is>
      </c>
      <c r="O15" s="54" t="inlineStr">
        <is>
          <t>Uploaded PDF: Munitorum Field Manual v2.3 / March 2025, p.38</t>
        </is>
      </c>
    </row>
    <row r="16">
      <c r="A16" t="inlineStr">
        <is>
          <t>World Eaters</t>
        </is>
      </c>
      <c r="C16" t="inlineStr">
        <is>
          <t>Vehicle / Support</t>
        </is>
      </c>
      <c r="D16" t="inlineStr">
        <is>
          <t>Vehicle</t>
        </is>
      </c>
      <c r="E16" t="inlineStr">
        <is>
          <t>World Eaters Land Raider</t>
        </is>
      </c>
      <c r="F16" t="inlineStr">
        <is>
          <t>1 model</t>
        </is>
      </c>
      <c r="G16" t="inlineStr">
        <is>
          <t>Vehicle</t>
        </is>
      </c>
      <c r="L16" s="60" t="n">
        <v>240</v>
      </c>
      <c r="M16" s="54" t="str"/>
      <c r="N16" s="54" t="inlineStr">
        <is>
          <t>Matched to Munitorum Field Manual v2.3</t>
        </is>
      </c>
      <c r="O16" s="54" t="inlineStr">
        <is>
          <t>Uploaded PDF: Munitorum Field Manual v2.3 / March 2025, p.38</t>
        </is>
      </c>
    </row>
    <row r="17">
      <c r="A17" t="inlineStr">
        <is>
          <t>World Eaters</t>
        </is>
      </c>
      <c r="C17" t="inlineStr">
        <is>
          <t>Character</t>
        </is>
      </c>
      <c r="D17" t="inlineStr">
        <is>
          <t>Character</t>
        </is>
      </c>
      <c r="E17" t="inlineStr">
        <is>
          <t>World Eaters Lord on Juggernaut</t>
        </is>
      </c>
      <c r="F17" t="inlineStr">
        <is>
          <t>1 model</t>
        </is>
      </c>
      <c r="G17" t="inlineStr">
        <is>
          <t>Character</t>
        </is>
      </c>
      <c r="L17" s="60" t="n">
        <v>80</v>
      </c>
      <c r="M17" s="54" t="str"/>
      <c r="N17" s="54" t="inlineStr">
        <is>
          <t>Matched to Munitorum Field Manual v2.3</t>
        </is>
      </c>
      <c r="O17" s="54" t="inlineStr">
        <is>
          <t>Uploaded PDF: Munitorum Field Manual v2.3 / March 2025, p.38</t>
        </is>
      </c>
    </row>
    <row r="18">
      <c r="A18" t="inlineStr">
        <is>
          <t>World Eaters</t>
        </is>
      </c>
      <c r="C18" t="inlineStr">
        <is>
          <t>Character</t>
        </is>
      </c>
      <c r="D18" t="inlineStr">
        <is>
          <t>Character</t>
        </is>
      </c>
      <c r="E18" t="inlineStr">
        <is>
          <t>World Eaters Master of Executions</t>
        </is>
      </c>
      <c r="F18" t="inlineStr">
        <is>
          <t>1 model</t>
        </is>
      </c>
      <c r="G18" t="inlineStr">
        <is>
          <t>Character</t>
        </is>
      </c>
      <c r="L18" s="60" t="n">
        <v>110</v>
      </c>
      <c r="M18" s="54" t="str"/>
      <c r="N18" s="54" t="inlineStr">
        <is>
          <t>Matched to Munitorum Field Manual v2.3</t>
        </is>
      </c>
      <c r="O18" s="54" t="inlineStr">
        <is>
          <t>Uploaded PDF: Munitorum Field Manual v2.3 / March 2025, p.38</t>
        </is>
      </c>
    </row>
    <row r="19">
      <c r="A19" t="inlineStr">
        <is>
          <t>World Eaters</t>
        </is>
      </c>
      <c r="C19" t="inlineStr">
        <is>
          <t>Vehicle / Support</t>
        </is>
      </c>
      <c r="D19" t="inlineStr">
        <is>
          <t>Walker / Battlesuit</t>
        </is>
      </c>
      <c r="E19" t="inlineStr">
        <is>
          <t>World Eaters Maulerfiend</t>
        </is>
      </c>
      <c r="F19" t="inlineStr">
        <is>
          <t>1 model</t>
        </is>
      </c>
      <c r="G19" t="inlineStr">
        <is>
          <t>Walker / Battlesuit</t>
        </is>
      </c>
      <c r="L19" s="60" t="n">
        <v>140</v>
      </c>
      <c r="M19" s="54" t="str"/>
      <c r="N19" s="54" t="inlineStr">
        <is>
          <t>Matched to Munitorum Field Manual v2.3</t>
        </is>
      </c>
      <c r="O19" s="54" t="inlineStr">
        <is>
          <t>Uploaded PDF: Munitorum Field Manual v2.3 / March 2025, p.38</t>
        </is>
      </c>
    </row>
    <row r="20">
      <c r="A20" t="inlineStr">
        <is>
          <t>World Eaters</t>
        </is>
      </c>
      <c r="C20" t="inlineStr">
        <is>
          <t>Vehicle / Support</t>
        </is>
      </c>
      <c r="D20" t="inlineStr">
        <is>
          <t>Vehicle</t>
        </is>
      </c>
      <c r="E20" t="inlineStr">
        <is>
          <t>World Eaters Predator Annihilator</t>
        </is>
      </c>
      <c r="F20" t="inlineStr">
        <is>
          <t>1 model</t>
        </is>
      </c>
      <c r="G20" t="inlineStr">
        <is>
          <t>Vehicle</t>
        </is>
      </c>
      <c r="L20" s="60" t="n">
        <v>135</v>
      </c>
      <c r="M20" s="54" t="str"/>
      <c r="N20" s="54" t="inlineStr">
        <is>
          <t>Matched to Munitorum Field Manual v2.3</t>
        </is>
      </c>
      <c r="O20" s="54" t="inlineStr">
        <is>
          <t>Uploaded PDF: Munitorum Field Manual v2.3 / March 2025, p.38</t>
        </is>
      </c>
    </row>
    <row r="21">
      <c r="A21" t="inlineStr">
        <is>
          <t>World Eaters</t>
        </is>
      </c>
      <c r="C21" t="inlineStr">
        <is>
          <t>Vehicle / Support</t>
        </is>
      </c>
      <c r="D21" t="inlineStr">
        <is>
          <t>Vehicle</t>
        </is>
      </c>
      <c r="E21" t="inlineStr">
        <is>
          <t>World Eaters Predator Destructor</t>
        </is>
      </c>
      <c r="F21" t="inlineStr">
        <is>
          <t>1 model</t>
        </is>
      </c>
      <c r="G21" t="inlineStr">
        <is>
          <t>Vehicle</t>
        </is>
      </c>
      <c r="L21" s="60" t="n">
        <v>140</v>
      </c>
      <c r="M21" s="54" t="str"/>
      <c r="N21" s="54" t="inlineStr">
        <is>
          <t>Matched to Munitorum Field Manual v2.3</t>
        </is>
      </c>
      <c r="O21" s="54" t="inlineStr">
        <is>
          <t>Uploaded PDF: Munitorum Field Manual v2.3 / March 2025, p.38</t>
        </is>
      </c>
    </row>
    <row r="22">
      <c r="A22" t="inlineStr">
        <is>
          <t>World Eaters</t>
        </is>
      </c>
      <c r="C22" t="inlineStr">
        <is>
          <t>Vehicle / Support</t>
        </is>
      </c>
      <c r="D22" t="inlineStr">
        <is>
          <t>Vehicle</t>
        </is>
      </c>
      <c r="E22" t="inlineStr">
        <is>
          <t>World Eaters Rhino</t>
        </is>
      </c>
      <c r="F22" t="inlineStr">
        <is>
          <t>1 model</t>
        </is>
      </c>
      <c r="G22" t="inlineStr">
        <is>
          <t>Vehicle</t>
        </is>
      </c>
      <c r="L22" s="60" t="n">
        <v>75</v>
      </c>
      <c r="M22" s="54" t="str"/>
      <c r="N22" s="54" t="inlineStr">
        <is>
          <t>Matched to Munitorum Field Manual v2.3</t>
        </is>
      </c>
      <c r="O22" s="54" t="inlineStr">
        <is>
          <t>Uploaded PDF: Munitorum Field Manual v2.3 / March 2025, p.38</t>
        </is>
      </c>
    </row>
    <row r="23">
      <c r="A23" t="inlineStr">
        <is>
          <t>World Eaters</t>
        </is>
      </c>
      <c r="C23" t="inlineStr">
        <is>
          <t>Infantry / Other</t>
        </is>
      </c>
      <c r="D23" t="inlineStr">
        <is>
          <t>Infantry</t>
        </is>
      </c>
      <c r="E23" t="inlineStr">
        <is>
          <t>World Eaters Terminator Squad</t>
        </is>
      </c>
      <c r="F23" t="inlineStr">
        <is>
          <t>5 models</t>
        </is>
      </c>
      <c r="G23" t="inlineStr">
        <is>
          <t>Infantry</t>
        </is>
      </c>
      <c r="L23" s="60" t="n">
        <v>180</v>
      </c>
      <c r="M23" s="54" t="inlineStr">
        <is>
          <t>Points options: 5 models = 180 pts; 10 models = 360 pts</t>
        </is>
      </c>
      <c r="N23" s="54" t="inlineStr">
        <is>
          <t>Matched to Munitorum Field Manual v2.3</t>
        </is>
      </c>
      <c r="O23" s="54" t="inlineStr">
        <is>
          <t>Uploaded PDF: Munitorum Field Manual v2.3 / March 2025, p.38</t>
        </is>
      </c>
    </row>
    <row r="24">
      <c r="A24" t="inlineStr">
        <is>
          <t>World Eaters</t>
        </is>
      </c>
      <c r="C24" t="inlineStr">
        <is>
          <t>Infantry / Other</t>
        </is>
      </c>
      <c r="D24" t="inlineStr">
        <is>
          <t>Infantry</t>
        </is>
      </c>
      <c r="E24" t="inlineStr">
        <is>
          <t>Bloodcrushers</t>
        </is>
      </c>
      <c r="F24" t="inlineStr">
        <is>
          <t>3 models</t>
        </is>
      </c>
      <c r="G24" t="inlineStr">
        <is>
          <t>Infantry</t>
        </is>
      </c>
      <c r="L24" t="n">
        <v>95</v>
      </c>
      <c r="M24" t="inlineStr">
        <is>
          <t>Your 1st To 2nd Units Cost: 3 models = 95 pts; 6 models = 180 pts | Your 3rd + Unit Costs: 3 models = 105 pts; 6 models = 190 pts</t>
        </is>
      </c>
      <c r="N24" t="inlineStr">
        <is>
          <t>Added from current Munitorum Field Manual v4.1 (non-Legends)</t>
        </is>
      </c>
      <c r="O24" t="inlineStr">
        <is>
          <t>https://www.warhammer-community.com/en-gb/downloads/warhammer-40000/</t>
        </is>
      </c>
    </row>
    <row r="25">
      <c r="A25" t="inlineStr">
        <is>
          <t>World Eaters</t>
        </is>
      </c>
      <c r="C25" t="inlineStr">
        <is>
          <t>Infantry / Other</t>
        </is>
      </c>
      <c r="D25" t="inlineStr">
        <is>
          <t>Infantry</t>
        </is>
      </c>
      <c r="E25" t="inlineStr">
        <is>
          <t>Bloodletters</t>
        </is>
      </c>
      <c r="F25" t="inlineStr">
        <is>
          <t>10 models</t>
        </is>
      </c>
      <c r="G25" t="inlineStr">
        <is>
          <t>Infantry</t>
        </is>
      </c>
      <c r="L25" t="n">
        <v>90</v>
      </c>
      <c r="N25" t="inlineStr">
        <is>
          <t>Added from current Munitorum Field Manual v4.1 (non-Legends)</t>
        </is>
      </c>
      <c r="O25" t="inlineStr">
        <is>
          <t>https://www.warhammer-community.com/en-gb/downloads/warhammer-40000/</t>
        </is>
      </c>
    </row>
    <row r="26">
      <c r="A26" t="inlineStr">
        <is>
          <t>World Eaters</t>
        </is>
      </c>
      <c r="C26" t="inlineStr">
        <is>
          <t>Monster / Support</t>
        </is>
      </c>
      <c r="D26" t="inlineStr">
        <is>
          <t>Monster</t>
        </is>
      </c>
      <c r="E26" t="inlineStr">
        <is>
          <t>Bloodthirster</t>
        </is>
      </c>
      <c r="F26" t="inlineStr">
        <is>
          <t>1 model</t>
        </is>
      </c>
      <c r="G26" t="inlineStr">
        <is>
          <t>Monster</t>
        </is>
      </c>
      <c r="L26" t="n">
        <v>320</v>
      </c>
      <c r="M26" t="inlineStr">
        <is>
          <t>Your 1st To 2nd Units Cost: 1 models = 320 pts | Your 3rd + Unit Costs: 1 models = 335 pts</t>
        </is>
      </c>
      <c r="N26" t="inlineStr">
        <is>
          <t>Added from current Munitorum Field Manual v4.1 (non-Legends)</t>
        </is>
      </c>
      <c r="O26" t="inlineStr">
        <is>
          <t>https://www.warhammer-community.com/en-gb/downloads/warhammer-40000/</t>
        </is>
      </c>
    </row>
    <row r="27">
      <c r="A27" t="inlineStr">
        <is>
          <t>World Eaters</t>
        </is>
      </c>
      <c r="C27" t="inlineStr">
        <is>
          <t>Vehicle / Support</t>
        </is>
      </c>
      <c r="D27" t="inlineStr">
        <is>
          <t>Vehicle</t>
        </is>
      </c>
      <c r="E27" t="inlineStr">
        <is>
          <t>Chaos Land Raider</t>
        </is>
      </c>
      <c r="F27" t="inlineStr">
        <is>
          <t>1 model</t>
        </is>
      </c>
      <c r="G27" t="inlineStr">
        <is>
          <t>Vehicle</t>
        </is>
      </c>
      <c r="L27" t="n">
        <v>220</v>
      </c>
      <c r="M27" t="inlineStr">
        <is>
          <t>Your 1st To 2nd Units Cost: 1 models = 220 pts | Your 3rd + Unit Costs: 1 models = 240 pts</t>
        </is>
      </c>
      <c r="N27" t="inlineStr">
        <is>
          <t>Added from current Munitorum Field Manual v4.1 (non-Legends)</t>
        </is>
      </c>
      <c r="O27" t="inlineStr">
        <is>
          <t>https://www.warhammer-community.com/en-gb/downloads/warhammer-40000/</t>
        </is>
      </c>
    </row>
    <row r="28">
      <c r="A28" t="inlineStr">
        <is>
          <t>World Eaters</t>
        </is>
      </c>
      <c r="C28" t="inlineStr">
        <is>
          <t>Vehicle / Support</t>
        </is>
      </c>
      <c r="D28" t="inlineStr">
        <is>
          <t>Vehicle</t>
        </is>
      </c>
      <c r="E28" t="inlineStr">
        <is>
          <t>Chaos Predator Annihilator</t>
        </is>
      </c>
      <c r="F28" t="inlineStr">
        <is>
          <t>1 model</t>
        </is>
      </c>
      <c r="G28" t="inlineStr">
        <is>
          <t>Vehicle</t>
        </is>
      </c>
      <c r="L28" t="n">
        <v>135</v>
      </c>
      <c r="M28" t="inlineStr">
        <is>
          <t>Your 1st To 2nd Units Cost: 1 models = 135 pts | Your 3rd + Unit Costs: 1 models = 145 pts</t>
        </is>
      </c>
      <c r="N28" t="inlineStr">
        <is>
          <t>Added from current Munitorum Field Manual v4.1 (non-Legends)</t>
        </is>
      </c>
      <c r="O28" t="inlineStr">
        <is>
          <t>https://www.warhammer-community.com/en-gb/downloads/warhammer-40000/</t>
        </is>
      </c>
    </row>
    <row r="29">
      <c r="A29" t="inlineStr">
        <is>
          <t>World Eaters</t>
        </is>
      </c>
      <c r="C29" t="inlineStr">
        <is>
          <t>Vehicle / Support</t>
        </is>
      </c>
      <c r="D29" t="inlineStr">
        <is>
          <t>Vehicle</t>
        </is>
      </c>
      <c r="E29" t="inlineStr">
        <is>
          <t>Chaos Predator Destructor</t>
        </is>
      </c>
      <c r="F29" t="inlineStr">
        <is>
          <t>1 model</t>
        </is>
      </c>
      <c r="G29" t="inlineStr">
        <is>
          <t>Vehicle</t>
        </is>
      </c>
      <c r="L29" t="n">
        <v>135</v>
      </c>
      <c r="M29" t="inlineStr">
        <is>
          <t>Your 1st To 2nd Units Cost: 1 models = 135 pts | Your 3rd + Unit Costs: 1 models = 145 pts</t>
        </is>
      </c>
      <c r="N29" t="inlineStr">
        <is>
          <t>Added from current Munitorum Field Manual v4.1 (non-Legends)</t>
        </is>
      </c>
      <c r="O29" t="inlineStr">
        <is>
          <t>https://www.warhammer-community.com/en-gb/downloads/warhammer-40000/</t>
        </is>
      </c>
    </row>
    <row r="30">
      <c r="A30" t="inlineStr">
        <is>
          <t>World Eaters</t>
        </is>
      </c>
      <c r="C30" t="inlineStr">
        <is>
          <t>Vehicle / Support</t>
        </is>
      </c>
      <c r="D30" t="inlineStr">
        <is>
          <t>Vehicle</t>
        </is>
      </c>
      <c r="E30" t="inlineStr">
        <is>
          <t>Chaos Rhino</t>
        </is>
      </c>
      <c r="F30" t="inlineStr">
        <is>
          <t>1 model</t>
        </is>
      </c>
      <c r="G30" t="inlineStr">
        <is>
          <t>Vehicle</t>
        </is>
      </c>
      <c r="L30" t="n">
        <v>85</v>
      </c>
      <c r="N30" t="inlineStr">
        <is>
          <t>Added from current Munitorum Field Manual v4.1 (non-Legends)</t>
        </is>
      </c>
      <c r="O30" t="inlineStr">
        <is>
          <t>https://www.warhammer-community.com/en-gb/downloads/warhammer-40000/</t>
        </is>
      </c>
    </row>
    <row r="31">
      <c r="A31" t="inlineStr">
        <is>
          <t>World Eaters</t>
        </is>
      </c>
      <c r="C31" t="inlineStr">
        <is>
          <t>Infantry / Other</t>
        </is>
      </c>
      <c r="D31" t="inlineStr">
        <is>
          <t>Infantry</t>
        </is>
      </c>
      <c r="E31" t="inlineStr">
        <is>
          <t>Chaos Terminators</t>
        </is>
      </c>
      <c r="F31" t="inlineStr">
        <is>
          <t>5 models</t>
        </is>
      </c>
      <c r="G31" t="inlineStr">
        <is>
          <t>Infantry</t>
        </is>
      </c>
      <c r="L31" t="n">
        <v>175</v>
      </c>
      <c r="M31" t="inlineStr">
        <is>
          <t>Your 1st To 2nd Units Cost: 5 models = 175 pts; 10 models = 350 pts | Your 3rd + Unit Costs: 5 models = 185 pts; 10 models = 360 pts</t>
        </is>
      </c>
      <c r="N31" t="inlineStr">
        <is>
          <t>Added from current Munitorum Field Manual v4.1 (non-Legends)</t>
        </is>
      </c>
      <c r="O31" t="inlineStr">
        <is>
          <t>https://www.warhammer-community.com/en-gb/downloads/warhammer-40000/</t>
        </is>
      </c>
    </row>
    <row r="32">
      <c r="A32" t="inlineStr">
        <is>
          <t>World Eaters</t>
        </is>
      </c>
      <c r="C32" t="inlineStr">
        <is>
          <t>Monster / Support</t>
        </is>
      </c>
      <c r="D32" t="inlineStr">
        <is>
          <t>Monster</t>
        </is>
      </c>
      <c r="E32" t="inlineStr">
        <is>
          <t>Daemon Prince Of Khorne</t>
        </is>
      </c>
      <c r="F32" t="inlineStr">
        <is>
          <t>1 model</t>
        </is>
      </c>
      <c r="G32" t="inlineStr">
        <is>
          <t>Monster</t>
        </is>
      </c>
      <c r="L32" t="n">
        <v>200</v>
      </c>
      <c r="N32" t="inlineStr">
        <is>
          <t>Added from current Munitorum Field Manual v4.1 (non-Legends)</t>
        </is>
      </c>
      <c r="O32" t="inlineStr">
        <is>
          <t>https://www.warhammer-community.com/en-gb/downloads/warhammer-40000/</t>
        </is>
      </c>
    </row>
    <row r="33">
      <c r="A33" t="inlineStr">
        <is>
          <t>World Eaters</t>
        </is>
      </c>
      <c r="C33" t="inlineStr">
        <is>
          <t>Monster / Support</t>
        </is>
      </c>
      <c r="D33" t="inlineStr">
        <is>
          <t>Monster</t>
        </is>
      </c>
      <c r="E33" t="inlineStr">
        <is>
          <t>Daemon Prince Of Khorne With Wings</t>
        </is>
      </c>
      <c r="F33" t="inlineStr">
        <is>
          <t>1 model</t>
        </is>
      </c>
      <c r="G33" t="inlineStr">
        <is>
          <t>Monster</t>
        </is>
      </c>
      <c r="L33" t="n">
        <v>170</v>
      </c>
      <c r="N33" t="inlineStr">
        <is>
          <t>Added from current Munitorum Field Manual v4.1 (non-Legends)</t>
        </is>
      </c>
      <c r="O33" t="inlineStr">
        <is>
          <t>https://www.warhammer-community.com/en-gb/downloads/warhammer-40000/</t>
        </is>
      </c>
    </row>
    <row r="34">
      <c r="A34" t="inlineStr">
        <is>
          <t>World Eaters</t>
        </is>
      </c>
      <c r="C34" t="inlineStr">
        <is>
          <t>Infantry / Other</t>
        </is>
      </c>
      <c r="D34" t="inlineStr">
        <is>
          <t>Beast / Swarm</t>
        </is>
      </c>
      <c r="E34" t="inlineStr">
        <is>
          <t>Flesh Hounds</t>
        </is>
      </c>
      <c r="F34" t="inlineStr">
        <is>
          <t>5 models</t>
        </is>
      </c>
      <c r="G34" t="inlineStr">
        <is>
          <t>Beast / Swarm</t>
        </is>
      </c>
      <c r="L34" t="n">
        <v>75</v>
      </c>
      <c r="N34" t="inlineStr">
        <is>
          <t>Added from current Munitorum Field Manual v4.1 (non-Legends)</t>
        </is>
      </c>
      <c r="O34" t="inlineStr">
        <is>
          <t>https://www.warhammer-community.com/en-gb/downloads/warhammer-40000/</t>
        </is>
      </c>
    </row>
    <row r="35">
      <c r="A35" t="inlineStr">
        <is>
          <t>World Eaters</t>
        </is>
      </c>
      <c r="C35" t="inlineStr">
        <is>
          <t>Infantry / Other</t>
        </is>
      </c>
      <c r="D35" t="inlineStr">
        <is>
          <t>Infantry</t>
        </is>
      </c>
      <c r="E35" t="inlineStr">
        <is>
          <t>Goremongers</t>
        </is>
      </c>
      <c r="F35" t="inlineStr">
        <is>
          <t>8 models</t>
        </is>
      </c>
      <c r="G35" t="inlineStr">
        <is>
          <t>Infantry</t>
        </is>
      </c>
      <c r="L35" t="n">
        <v>75</v>
      </c>
      <c r="N35" t="inlineStr">
        <is>
          <t>Added from current Munitorum Field Manual v4.1 (non-Legends)</t>
        </is>
      </c>
      <c r="O35" t="inlineStr">
        <is>
          <t>https://www.warhammer-community.com/en-gb/downloads/warhammer-40000/</t>
        </is>
      </c>
    </row>
    <row r="36">
      <c r="A36" t="inlineStr">
        <is>
          <t>World Eaters</t>
        </is>
      </c>
      <c r="C36" t="inlineStr">
        <is>
          <t>Vehicle / Support</t>
        </is>
      </c>
      <c r="D36" t="inlineStr">
        <is>
          <t>Vehicle</t>
        </is>
      </c>
      <c r="E36" t="inlineStr">
        <is>
          <t>Heldrake</t>
        </is>
      </c>
      <c r="F36" t="inlineStr">
        <is>
          <t>1 model</t>
        </is>
      </c>
      <c r="G36" t="inlineStr">
        <is>
          <t>Vehicle</t>
        </is>
      </c>
      <c r="L36" t="n">
        <v>175</v>
      </c>
      <c r="N36" t="inlineStr">
        <is>
          <t>Added from current Munitorum Field Manual v4.1 (non-Legends)</t>
        </is>
      </c>
      <c r="O36" t="inlineStr">
        <is>
          <t>https://www.warhammer-community.com/en-gb/downloads/warhammer-40000/</t>
        </is>
      </c>
    </row>
    <row r="37">
      <c r="A37" t="inlineStr">
        <is>
          <t>World Eaters</t>
        </is>
      </c>
      <c r="C37" t="inlineStr">
        <is>
          <t>Monster / Support</t>
        </is>
      </c>
      <c r="D37" t="inlineStr">
        <is>
          <t>Monster</t>
        </is>
      </c>
      <c r="E37" t="inlineStr">
        <is>
          <t>Skarbrand</t>
        </is>
      </c>
      <c r="F37" t="inlineStr">
        <is>
          <t>1 model</t>
        </is>
      </c>
      <c r="G37" t="inlineStr">
        <is>
          <t>Monster</t>
        </is>
      </c>
      <c r="L37" t="n">
        <v>315</v>
      </c>
      <c r="N37" t="inlineStr">
        <is>
          <t>Added from current Munitorum Field Manual v4.1 (non-Legends)</t>
        </is>
      </c>
      <c r="O37" t="inlineStr">
        <is>
          <t>https://www.warhammer-community.com/en-gb/downloads/warhammer-40000/</t>
        </is>
      </c>
    </row>
    <row r="38">
      <c r="A38" t="inlineStr">
        <is>
          <t>World Eaters</t>
        </is>
      </c>
      <c r="C38" t="inlineStr">
        <is>
          <t>Character</t>
        </is>
      </c>
      <c r="D38" t="inlineStr">
        <is>
          <t>Character</t>
        </is>
      </c>
      <c r="E38" t="inlineStr">
        <is>
          <t>Slaughterbound</t>
        </is>
      </c>
      <c r="F38" t="inlineStr">
        <is>
          <t>1 model</t>
        </is>
      </c>
      <c r="G38" t="inlineStr">
        <is>
          <t>Character</t>
        </is>
      </c>
      <c r="L38" t="n">
        <v>100</v>
      </c>
      <c r="N38" t="inlineStr">
        <is>
          <t>Added from current Munitorum Field Manual v4.1 (non-Legends)</t>
        </is>
      </c>
      <c r="O38"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style="48" min="1" max="1"/>
    <col width="90" customWidth="1" style="48" min="2" max="2"/>
  </cols>
  <sheetData>
    <row r="1">
      <c r="A1" s="66" t="inlineStr">
        <is>
          <t>Item</t>
        </is>
      </c>
      <c r="B1" s="66" t="inlineStr">
        <is>
          <t>Detail</t>
        </is>
      </c>
    </row>
    <row r="2">
      <c r="A2" s="74" t="inlineStr">
        <is>
          <t>Points source</t>
        </is>
      </c>
      <c r="B2" s="54" t="inlineStr">
        <is>
          <t>Uploaded PDF: Munitorum Field Manual, Version 2.3, March 2025</t>
        </is>
      </c>
    </row>
    <row r="3">
      <c r="A3" s="74" t="inlineStr">
        <is>
          <t>PDF note</t>
        </is>
      </c>
      <c r="B3" s="54" t="inlineStr">
        <is>
          <t>The PDF states it replaces previously published points values and should be used for current Warhammer 40,000 games at the time of publication.</t>
        </is>
      </c>
    </row>
    <row r="4">
      <c r="A4" s="74" t="inlineStr">
        <is>
          <t>Catalogue population</t>
        </is>
      </c>
      <c r="B4" s="54" t="inlineStr">
        <is>
          <t>Matched unit names from the workbook to the uploaded PDF. Master Catalogue and faction sheets use the first/minimum listed points value in the Points column.</t>
        </is>
      </c>
    </row>
    <row r="5">
      <c r="A5" s="74" t="inlineStr">
        <is>
          <t>Multiple unit sizes</t>
        </is>
      </c>
      <c r="B5" s="54" t="inlineStr">
        <is>
          <t>Where a unit has multiple legal sizes, the Master Catalogue Notes column lists all points options. The Points Options sheet contains every model-count option as a separate row.</t>
        </is>
      </c>
    </row>
    <row r="6">
      <c r="A6" s="74" t="inlineStr">
        <is>
          <t>Army Calculator</t>
        </is>
      </c>
      <c r="B6" s="54" t="inlineStr">
        <is>
          <t>Use the Unit Option dropdown to select the exact unit size/points option. Quantity multiplies that points cost.</t>
        </is>
      </c>
    </row>
    <row r="7">
      <c r="A7" s="74" t="inlineStr">
        <is>
          <t>Unmatched rows</t>
        </is>
      </c>
      <c r="B7" s="54" t="inlineStr">
        <is>
          <t>Rows marked 'Not found in uploaded PDF' may be retired, renamed, legends, or require manual verification.</t>
        </is>
      </c>
    </row>
    <row r="8">
      <c r="A8" s="74" t="inlineStr">
        <is>
          <t>Created by</t>
        </is>
      </c>
      <c r="B8" s="54" t="inlineStr">
        <is>
          <t>ChatGPT, using the user-provided workbook and PDF.</t>
        </is>
      </c>
    </row>
    <row r="10">
      <c r="A10" t="inlineStr">
        <is>
          <t>Current audit date</t>
        </is>
      </c>
      <c r="B10" t="inlineStr">
        <is>
          <t>12 July 2026</t>
        </is>
      </c>
    </row>
    <row r="11">
      <c r="A11" t="inlineStr">
        <is>
          <t>Current points source</t>
        </is>
      </c>
      <c r="B11" t="inlineStr">
        <is>
          <t>Official Warhammer Community Munitorum Field Manual v4.1 / current online MFM</t>
        </is>
      </c>
    </row>
    <row r="12">
      <c r="A12" t="inlineStr">
        <is>
          <t>Audit treatment</t>
        </is>
      </c>
      <c r="B12" t="inlineStr">
        <is>
          <t>307 non-Legends supported units absent from the March 2025 workbook were appended. Existing rows were not removed or overwritten.</t>
        </is>
      </c>
    </row>
    <row r="13">
      <c r="A13" t="inlineStr">
        <is>
          <t>Important</t>
        </is>
      </c>
      <c r="B13" t="inlineStr">
        <is>
          <t>The workbook now contains a mixture of original March 2025 entries and newly added current-edition entries. Existing March 2025 points were not globally refreshed.</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H1268"/>
  <sheetViews>
    <sheetView workbookViewId="0">
      <selection activeCell="A1" sqref="A1"/>
    </sheetView>
  </sheetViews>
  <sheetFormatPr baseColWidth="8" defaultRowHeight="15"/>
  <cols>
    <col width="22" customWidth="1" style="48" min="1" max="1"/>
    <col width="34" customWidth="1" style="48" min="2" max="2"/>
    <col width="28" customWidth="1" style="48" min="3" max="3"/>
    <col width="10" customWidth="1" style="48" min="4" max="4"/>
    <col width="55" customWidth="1" style="48" min="5" max="5"/>
    <col width="12" customWidth="1" style="48" min="6" max="6"/>
    <col width="10" customWidth="1" style="48" min="7" max="7"/>
    <col width="45" customWidth="1" style="48" min="8" max="8"/>
  </cols>
  <sheetData>
    <row r="1">
      <c r="A1" s="66" t="inlineStr">
        <is>
          <t>Faction</t>
        </is>
      </c>
      <c r="B1" s="66" t="inlineStr">
        <is>
          <t>Unit Name</t>
        </is>
      </c>
      <c r="C1" s="66" t="inlineStr">
        <is>
          <t>Models</t>
        </is>
      </c>
      <c r="D1" s="66" t="inlineStr">
        <is>
          <t>Points</t>
        </is>
      </c>
      <c r="E1" s="66" t="inlineStr">
        <is>
          <t>Option Label</t>
        </is>
      </c>
      <c r="F1" s="66" t="inlineStr">
        <is>
          <t>Lookup Points</t>
        </is>
      </c>
      <c r="G1" s="66" t="inlineStr">
        <is>
          <t>PDF Page</t>
        </is>
      </c>
      <c r="H1" s="66" t="inlineStr">
        <is>
          <t>Source</t>
        </is>
      </c>
    </row>
    <row r="2">
      <c r="A2" s="54" t="inlineStr">
        <is>
          <t>Adepta Sororitas</t>
        </is>
      </c>
      <c r="B2" s="54" t="inlineStr">
        <is>
          <t>Aestred Thurga and Agathae Dolan</t>
        </is>
      </c>
      <c r="C2" s="54" t="inlineStr">
        <is>
          <t>2 models</t>
        </is>
      </c>
      <c r="D2" s="55" t="n">
        <v>85</v>
      </c>
      <c r="E2" s="55" t="inlineStr">
        <is>
          <t>Aestred Thurga and Agathae Dolan — 2 models (85 pts)</t>
        </is>
      </c>
      <c r="F2" s="55" t="n">
        <v>85</v>
      </c>
      <c r="G2" s="54" t="n">
        <v>2</v>
      </c>
      <c r="H2" s="54" t="inlineStr">
        <is>
          <t>Uploaded PDF: Munitorum Field Manual v2.3 / March 2025</t>
        </is>
      </c>
    </row>
    <row r="3">
      <c r="A3" s="54" t="inlineStr">
        <is>
          <t>Adepta Sororitas</t>
        </is>
      </c>
      <c r="B3" s="54" t="inlineStr">
        <is>
          <t>Arco-flagellants</t>
        </is>
      </c>
      <c r="C3" s="54" t="inlineStr">
        <is>
          <t>3 models</t>
        </is>
      </c>
      <c r="D3" s="55" t="n">
        <v>45</v>
      </c>
      <c r="E3" s="55" t="inlineStr">
        <is>
          <t>Arco-flagellants — 3 models (45 pts)</t>
        </is>
      </c>
      <c r="F3" s="55" t="n">
        <v>45</v>
      </c>
      <c r="G3" s="54" t="n">
        <v>2</v>
      </c>
      <c r="H3" s="54" t="inlineStr">
        <is>
          <t>Uploaded PDF: Munitorum Field Manual v2.3 / March 2025</t>
        </is>
      </c>
    </row>
    <row r="4">
      <c r="A4" s="54" t="inlineStr">
        <is>
          <t>Adepta Sororitas</t>
        </is>
      </c>
      <c r="B4" s="54" t="inlineStr">
        <is>
          <t>Arco-flagellants</t>
        </is>
      </c>
      <c r="C4" s="54" t="inlineStr">
        <is>
          <t>10 models</t>
        </is>
      </c>
      <c r="D4" s="55" t="n">
        <v>140</v>
      </c>
      <c r="E4" s="55" t="inlineStr">
        <is>
          <t>Arco-flagellants — 10 models (140 pts)</t>
        </is>
      </c>
      <c r="F4" s="55" t="n">
        <v>140</v>
      </c>
      <c r="G4" s="54" t="n">
        <v>2</v>
      </c>
      <c r="H4" s="54" t="inlineStr">
        <is>
          <t>Uploaded PDF: Munitorum Field Manual v2.3 / March 2025</t>
        </is>
      </c>
    </row>
    <row r="5">
      <c r="A5" s="54" t="inlineStr">
        <is>
          <t>Adepta Sororitas</t>
        </is>
      </c>
      <c r="B5" s="54" t="inlineStr">
        <is>
          <t>Battle Sisters Squad</t>
        </is>
      </c>
      <c r="C5" s="54" t="inlineStr">
        <is>
          <t>10 models</t>
        </is>
      </c>
      <c r="D5" s="55" t="n">
        <v>105</v>
      </c>
      <c r="E5" s="55" t="inlineStr">
        <is>
          <t>Battle Sisters Squad — 10 models (105 pts)</t>
        </is>
      </c>
      <c r="F5" s="55" t="n">
        <v>105</v>
      </c>
      <c r="G5" s="54" t="n">
        <v>2</v>
      </c>
      <c r="H5" s="54" t="inlineStr">
        <is>
          <t>Uploaded PDF: Munitorum Field Manual v2.3 / March 2025</t>
        </is>
      </c>
    </row>
    <row r="6">
      <c r="A6" s="54" t="inlineStr">
        <is>
          <t>Adepta Sororitas</t>
        </is>
      </c>
      <c r="B6" s="54" t="inlineStr">
        <is>
          <t>Canoness</t>
        </is>
      </c>
      <c r="C6" s="54" t="inlineStr">
        <is>
          <t>1 model</t>
        </is>
      </c>
      <c r="D6" s="55" t="n">
        <v>50</v>
      </c>
      <c r="E6" s="55" t="inlineStr">
        <is>
          <t>Canoness — 1 model (50 pts)</t>
        </is>
      </c>
      <c r="F6" s="55" t="n">
        <v>50</v>
      </c>
      <c r="G6" s="54" t="n">
        <v>2</v>
      </c>
      <c r="H6" s="54" t="inlineStr">
        <is>
          <t>Uploaded PDF: Munitorum Field Manual v2.3 / March 2025</t>
        </is>
      </c>
    </row>
    <row r="7">
      <c r="A7" s="54" t="inlineStr">
        <is>
          <t>Adepta Sororitas</t>
        </is>
      </c>
      <c r="B7" s="54" t="inlineStr">
        <is>
          <t>Canoness with Jump Pack</t>
        </is>
      </c>
      <c r="C7" s="54" t="inlineStr">
        <is>
          <t>1 model</t>
        </is>
      </c>
      <c r="D7" s="55" t="n">
        <v>75</v>
      </c>
      <c r="E7" s="55" t="inlineStr">
        <is>
          <t>Canoness with Jump Pack — 1 model (75 pts)</t>
        </is>
      </c>
      <c r="F7" s="55" t="n">
        <v>75</v>
      </c>
      <c r="G7" s="54" t="n">
        <v>2</v>
      </c>
      <c r="H7" s="54" t="inlineStr">
        <is>
          <t>Uploaded PDF: Munitorum Field Manual v2.3 / March 2025</t>
        </is>
      </c>
    </row>
    <row r="8">
      <c r="A8" s="54" t="inlineStr">
        <is>
          <t>Adepta Sororitas</t>
        </is>
      </c>
      <c r="B8" s="54" t="inlineStr">
        <is>
          <t>Castigator</t>
        </is>
      </c>
      <c r="C8" s="54" t="inlineStr">
        <is>
          <t>1 model</t>
        </is>
      </c>
      <c r="D8" s="55" t="n">
        <v>170</v>
      </c>
      <c r="E8" s="55" t="inlineStr">
        <is>
          <t>Castigator — 1 model (170 pts)</t>
        </is>
      </c>
      <c r="F8" s="55" t="n">
        <v>170</v>
      </c>
      <c r="G8" s="54" t="n">
        <v>2</v>
      </c>
      <c r="H8" s="54" t="inlineStr">
        <is>
          <t>Uploaded PDF: Munitorum Field Manual v2.3 / March 2025</t>
        </is>
      </c>
    </row>
    <row r="9">
      <c r="A9" s="54" t="inlineStr">
        <is>
          <t>Adepta Sororitas</t>
        </is>
      </c>
      <c r="B9" s="54" t="inlineStr">
        <is>
          <t>Celestian Sacresants</t>
        </is>
      </c>
      <c r="C9" s="54" t="inlineStr">
        <is>
          <t>5 models</t>
        </is>
      </c>
      <c r="D9" s="55" t="n">
        <v>70</v>
      </c>
      <c r="E9" s="55" t="inlineStr">
        <is>
          <t>Celestian Sacresants — 5 models (70 pts)</t>
        </is>
      </c>
      <c r="F9" s="55" t="n">
        <v>70</v>
      </c>
      <c r="G9" s="54" t="n">
        <v>2</v>
      </c>
      <c r="H9" s="54" t="inlineStr">
        <is>
          <t>Uploaded PDF: Munitorum Field Manual v2.3 / March 2025</t>
        </is>
      </c>
    </row>
    <row r="10">
      <c r="A10" s="54" t="inlineStr">
        <is>
          <t>Adepta Sororitas</t>
        </is>
      </c>
      <c r="B10" s="54" t="inlineStr">
        <is>
          <t>Celestian Sacresants</t>
        </is>
      </c>
      <c r="C10" s="54" t="inlineStr">
        <is>
          <t>10 models</t>
        </is>
      </c>
      <c r="D10" s="55" t="n">
        <v>130</v>
      </c>
      <c r="E10" s="55" t="inlineStr">
        <is>
          <t>Celestian Sacresants — 10 models (130 pts)</t>
        </is>
      </c>
      <c r="F10" s="55" t="n">
        <v>130</v>
      </c>
      <c r="G10" s="54" t="n">
        <v>2</v>
      </c>
      <c r="H10" s="54" t="inlineStr">
        <is>
          <t>Uploaded PDF: Munitorum Field Manual v2.3 / March 2025</t>
        </is>
      </c>
    </row>
    <row r="11">
      <c r="A11" s="54" t="inlineStr">
        <is>
          <t>Adepta Sororitas</t>
        </is>
      </c>
      <c r="B11" s="54" t="inlineStr">
        <is>
          <t>Daemonifuge</t>
        </is>
      </c>
      <c r="C11" s="54" t="inlineStr">
        <is>
          <t>2 models</t>
        </is>
      </c>
      <c r="D11" s="55" t="n">
        <v>85</v>
      </c>
      <c r="E11" s="55" t="inlineStr">
        <is>
          <t>Daemonifuge — 2 models (85 pts)</t>
        </is>
      </c>
      <c r="F11" s="55" t="n">
        <v>85</v>
      </c>
      <c r="G11" s="54" t="n">
        <v>2</v>
      </c>
      <c r="H11" s="54" t="inlineStr">
        <is>
          <t>Uploaded PDF: Munitorum Field Manual v2.3 / March 2025</t>
        </is>
      </c>
    </row>
    <row r="12">
      <c r="A12" s="54" t="inlineStr">
        <is>
          <t>Adepta Sororitas</t>
        </is>
      </c>
      <c r="B12" s="54" t="inlineStr">
        <is>
          <t>Dialogus</t>
        </is>
      </c>
      <c r="C12" s="54" t="inlineStr">
        <is>
          <t>1 model</t>
        </is>
      </c>
      <c r="D12" s="55" t="n">
        <v>40</v>
      </c>
      <c r="E12" s="55" t="inlineStr">
        <is>
          <t>Dialogus — 1 model (40 pts)</t>
        </is>
      </c>
      <c r="F12" s="55" t="n">
        <v>40</v>
      </c>
      <c r="G12" s="54" t="n">
        <v>2</v>
      </c>
      <c r="H12" s="54" t="inlineStr">
        <is>
          <t>Uploaded PDF: Munitorum Field Manual v2.3 / March 2025</t>
        </is>
      </c>
    </row>
    <row r="13">
      <c r="A13" s="54" t="inlineStr">
        <is>
          <t>Adepta Sororitas</t>
        </is>
      </c>
      <c r="B13" s="54" t="inlineStr">
        <is>
          <t>Dogmata</t>
        </is>
      </c>
      <c r="C13" s="54" t="inlineStr">
        <is>
          <t>1 model</t>
        </is>
      </c>
      <c r="D13" s="55" t="n">
        <v>45</v>
      </c>
      <c r="E13" s="55" t="inlineStr">
        <is>
          <t>Dogmata — 1 model (45 pts)</t>
        </is>
      </c>
      <c r="F13" s="55" t="n">
        <v>45</v>
      </c>
      <c r="G13" s="54" t="n">
        <v>2</v>
      </c>
      <c r="H13" s="54" t="inlineStr">
        <is>
          <t>Uploaded PDF: Munitorum Field Manual v2.3 / March 2025</t>
        </is>
      </c>
    </row>
    <row r="14">
      <c r="A14" s="54" t="inlineStr">
        <is>
          <t>Adepta Sororitas</t>
        </is>
      </c>
      <c r="B14" s="54" t="inlineStr">
        <is>
          <t>Dominion Squad</t>
        </is>
      </c>
      <c r="C14" s="54" t="inlineStr">
        <is>
          <t>10 models</t>
        </is>
      </c>
      <c r="D14" s="55" t="n">
        <v>115</v>
      </c>
      <c r="E14" s="55" t="inlineStr">
        <is>
          <t>Dominion Squad — 10 models (115 pts)</t>
        </is>
      </c>
      <c r="F14" s="55" t="n">
        <v>115</v>
      </c>
      <c r="G14" s="54" t="n">
        <v>2</v>
      </c>
      <c r="H14" s="54" t="inlineStr">
        <is>
          <t>Uploaded PDF: Munitorum Field Manual v2.3 / March 2025</t>
        </is>
      </c>
    </row>
    <row r="15">
      <c r="A15" s="54" t="inlineStr">
        <is>
          <t>Adepta Sororitas</t>
        </is>
      </c>
      <c r="B15" s="54" t="inlineStr">
        <is>
          <t>Exorcist</t>
        </is>
      </c>
      <c r="C15" s="54" t="inlineStr">
        <is>
          <t>1 model</t>
        </is>
      </c>
      <c r="D15" s="55" t="n">
        <v>210</v>
      </c>
      <c r="E15" s="55" t="inlineStr">
        <is>
          <t>Exorcist — 1 model (210 pts)</t>
        </is>
      </c>
      <c r="F15" s="55" t="n">
        <v>210</v>
      </c>
      <c r="G15" s="54" t="n">
        <v>2</v>
      </c>
      <c r="H15" s="54" t="inlineStr">
        <is>
          <t>Uploaded PDF: Munitorum Field Manual v2.3 / March 2025</t>
        </is>
      </c>
    </row>
    <row r="16">
      <c r="A16" s="54" t="inlineStr">
        <is>
          <t>Adepta Sororitas</t>
        </is>
      </c>
      <c r="B16" s="54" t="inlineStr">
        <is>
          <t>Hospitaller</t>
        </is>
      </c>
      <c r="C16" s="54" t="inlineStr">
        <is>
          <t>1 model</t>
        </is>
      </c>
      <c r="D16" s="55" t="n">
        <v>50</v>
      </c>
      <c r="E16" s="55" t="inlineStr">
        <is>
          <t>Hospitaller — 1 model (50 pts)</t>
        </is>
      </c>
      <c r="F16" s="55" t="n">
        <v>50</v>
      </c>
      <c r="G16" s="54" t="n">
        <v>2</v>
      </c>
      <c r="H16" s="54" t="inlineStr">
        <is>
          <t>Uploaded PDF: Munitorum Field Manual v2.3 / March 2025</t>
        </is>
      </c>
    </row>
    <row r="17">
      <c r="A17" s="54" t="inlineStr">
        <is>
          <t>Adepta Sororitas</t>
        </is>
      </c>
      <c r="B17" s="54" t="inlineStr">
        <is>
          <t>Imagifier</t>
        </is>
      </c>
      <c r="C17" s="54" t="inlineStr">
        <is>
          <t>1 model</t>
        </is>
      </c>
      <c r="D17" s="55" t="n">
        <v>65</v>
      </c>
      <c r="E17" s="55" t="inlineStr">
        <is>
          <t>Imagifier — 1 model (65 pts)</t>
        </is>
      </c>
      <c r="F17" s="55" t="n">
        <v>65</v>
      </c>
      <c r="G17" s="54" t="n">
        <v>2</v>
      </c>
      <c r="H17" s="54" t="inlineStr">
        <is>
          <t>Uploaded PDF: Munitorum Field Manual v2.3 / March 2025</t>
        </is>
      </c>
    </row>
    <row r="18">
      <c r="A18" s="54" t="inlineStr">
        <is>
          <t>Adepta Sororitas</t>
        </is>
      </c>
      <c r="B18" s="54" t="inlineStr">
        <is>
          <t>Immolator</t>
        </is>
      </c>
      <c r="C18" s="54" t="inlineStr">
        <is>
          <t>1 model</t>
        </is>
      </c>
      <c r="D18" s="55" t="n">
        <v>125</v>
      </c>
      <c r="E18" s="55" t="inlineStr">
        <is>
          <t>Immolator — 1 model (125 pts)</t>
        </is>
      </c>
      <c r="F18" s="55" t="n">
        <v>125</v>
      </c>
      <c r="G18" s="54" t="n">
        <v>2</v>
      </c>
      <c r="H18" s="54" t="inlineStr">
        <is>
          <t>Uploaded PDF: Munitorum Field Manual v2.3 / March 2025</t>
        </is>
      </c>
    </row>
    <row r="19">
      <c r="A19" s="54" t="inlineStr">
        <is>
          <t>Adepta Sororitas</t>
        </is>
      </c>
      <c r="B19" s="54" t="inlineStr">
        <is>
          <t>Junith Eruita</t>
        </is>
      </c>
      <c r="C19" s="54" t="inlineStr">
        <is>
          <t>1 model</t>
        </is>
      </c>
      <c r="D19" s="55" t="n">
        <v>90</v>
      </c>
      <c r="E19" s="55" t="inlineStr">
        <is>
          <t>Junith Eruita — 1 model (90 pts)</t>
        </is>
      </c>
      <c r="F19" s="55" t="n">
        <v>90</v>
      </c>
      <c r="G19" s="54" t="n">
        <v>2</v>
      </c>
      <c r="H19" s="54" t="inlineStr">
        <is>
          <t>Uploaded PDF: Munitorum Field Manual v2.3 / March 2025</t>
        </is>
      </c>
    </row>
    <row r="20">
      <c r="A20" s="54" t="inlineStr">
        <is>
          <t>Adepta Sororitas</t>
        </is>
      </c>
      <c r="B20" s="54" t="inlineStr">
        <is>
          <t>Ministorum Priest</t>
        </is>
      </c>
      <c r="C20" s="54" t="inlineStr">
        <is>
          <t>1 model</t>
        </is>
      </c>
      <c r="D20" s="55" t="n">
        <v>50</v>
      </c>
      <c r="E20" s="55" t="inlineStr">
        <is>
          <t>Ministorum Priest — 1 model (50 pts)</t>
        </is>
      </c>
      <c r="F20" s="55" t="n">
        <v>50</v>
      </c>
      <c r="G20" s="54" t="n">
        <v>2</v>
      </c>
      <c r="H20" s="54" t="inlineStr">
        <is>
          <t>Uploaded PDF: Munitorum Field Manual v2.3 / March 2025</t>
        </is>
      </c>
    </row>
    <row r="21">
      <c r="A21" s="54" t="inlineStr">
        <is>
          <t>Adepta Sororitas</t>
        </is>
      </c>
      <c r="B21" s="54" t="inlineStr">
        <is>
          <t>Mortifiers</t>
        </is>
      </c>
      <c r="C21" s="54" t="inlineStr">
        <is>
          <t>1 model</t>
        </is>
      </c>
      <c r="D21" s="55" t="n">
        <v>70</v>
      </c>
      <c r="E21" s="55" t="inlineStr">
        <is>
          <t>Mortifiers — 1 model (70 pts)</t>
        </is>
      </c>
      <c r="F21" s="55" t="n">
        <v>70</v>
      </c>
      <c r="G21" s="54" t="n">
        <v>2</v>
      </c>
      <c r="H21" s="54" t="inlineStr">
        <is>
          <t>Uploaded PDF: Munitorum Field Manual v2.3 / March 2025</t>
        </is>
      </c>
    </row>
    <row r="22">
      <c r="A22" s="54" t="inlineStr">
        <is>
          <t>Adepta Sororitas</t>
        </is>
      </c>
      <c r="B22" s="54" t="inlineStr">
        <is>
          <t>Mortifiers</t>
        </is>
      </c>
      <c r="C22" s="54" t="inlineStr">
        <is>
          <t>2 models</t>
        </is>
      </c>
      <c r="D22" s="55" t="n">
        <v>140</v>
      </c>
      <c r="E22" s="55" t="inlineStr">
        <is>
          <t>Mortifiers — 2 models (140 pts)</t>
        </is>
      </c>
      <c r="F22" s="55" t="n">
        <v>140</v>
      </c>
      <c r="G22" s="54" t="n">
        <v>2</v>
      </c>
      <c r="H22" s="54" t="inlineStr">
        <is>
          <t>Uploaded PDF: Munitorum Field Manual v2.3 / March 2025</t>
        </is>
      </c>
    </row>
    <row r="23">
      <c r="A23" s="54" t="inlineStr">
        <is>
          <t>Adepta Sororitas</t>
        </is>
      </c>
      <c r="B23" s="54" t="inlineStr">
        <is>
          <t>Morvenn Vahl</t>
        </is>
      </c>
      <c r="C23" s="54" t="inlineStr">
        <is>
          <t>1 model</t>
        </is>
      </c>
      <c r="D23" s="55" t="n">
        <v>170</v>
      </c>
      <c r="E23" s="55" t="inlineStr">
        <is>
          <t>Morvenn Vahl — 1 model (170 pts)</t>
        </is>
      </c>
      <c r="F23" s="55" t="n">
        <v>170</v>
      </c>
      <c r="G23" s="54" t="n">
        <v>2</v>
      </c>
      <c r="H23" s="54" t="inlineStr">
        <is>
          <t>Uploaded PDF: Munitorum Field Manual v2.3 / March 2025</t>
        </is>
      </c>
    </row>
    <row r="24">
      <c r="A24" s="54" t="inlineStr">
        <is>
          <t>Adepta Sororitas</t>
        </is>
      </c>
      <c r="B24" s="54" t="inlineStr">
        <is>
          <t>Palatine</t>
        </is>
      </c>
      <c r="C24" s="54" t="inlineStr">
        <is>
          <t>1 model</t>
        </is>
      </c>
      <c r="D24" s="55" t="n">
        <v>50</v>
      </c>
      <c r="E24" s="55" t="inlineStr">
        <is>
          <t>Palatine — 1 model (50 pts)</t>
        </is>
      </c>
      <c r="F24" s="55" t="n">
        <v>50</v>
      </c>
      <c r="G24" s="54" t="n">
        <v>2</v>
      </c>
      <c r="H24" s="54" t="inlineStr">
        <is>
          <t>Uploaded PDF: Munitorum Field Manual v2.3 / March 2025</t>
        </is>
      </c>
    </row>
    <row r="25">
      <c r="A25" s="54" t="inlineStr">
        <is>
          <t>Adepta Sororitas</t>
        </is>
      </c>
      <c r="B25" s="54" t="inlineStr">
        <is>
          <t>Paragon Warsuits</t>
        </is>
      </c>
      <c r="C25" s="54" t="inlineStr">
        <is>
          <t>3 models</t>
        </is>
      </c>
      <c r="D25" s="55" t="n">
        <v>220</v>
      </c>
      <c r="E25" s="55" t="inlineStr">
        <is>
          <t>Paragon Warsuits — 3 models (220 pts)</t>
        </is>
      </c>
      <c r="F25" s="55" t="n">
        <v>220</v>
      </c>
      <c r="G25" s="54" t="n">
        <v>2</v>
      </c>
      <c r="H25" s="54" t="inlineStr">
        <is>
          <t>Uploaded PDF: Munitorum Field Manual v2.3 / March 2025</t>
        </is>
      </c>
    </row>
    <row r="26">
      <c r="A26" s="54" t="inlineStr">
        <is>
          <t>Adepta Sororitas</t>
        </is>
      </c>
      <c r="B26" s="54" t="inlineStr">
        <is>
          <t>Penitent Engines</t>
        </is>
      </c>
      <c r="C26" s="54" t="inlineStr">
        <is>
          <t>1 model</t>
        </is>
      </c>
      <c r="D26" s="55" t="n">
        <v>75</v>
      </c>
      <c r="E26" s="55" t="inlineStr">
        <is>
          <t>Penitent Engines — 1 model (75 pts)</t>
        </is>
      </c>
      <c r="F26" s="55" t="n">
        <v>75</v>
      </c>
      <c r="G26" s="54" t="n">
        <v>2</v>
      </c>
      <c r="H26" s="54" t="inlineStr">
        <is>
          <t>Uploaded PDF: Munitorum Field Manual v2.3 / March 2025</t>
        </is>
      </c>
    </row>
    <row r="27">
      <c r="A27" s="54" t="inlineStr">
        <is>
          <t>Adepta Sororitas</t>
        </is>
      </c>
      <c r="B27" s="54" t="inlineStr">
        <is>
          <t>Penitent Engines</t>
        </is>
      </c>
      <c r="C27" s="54" t="inlineStr">
        <is>
          <t>2 models</t>
        </is>
      </c>
      <c r="D27" s="55" t="n">
        <v>150</v>
      </c>
      <c r="E27" s="55" t="inlineStr">
        <is>
          <t>Penitent Engines — 2 models (150 pts)</t>
        </is>
      </c>
      <c r="F27" s="55" t="n">
        <v>150</v>
      </c>
      <c r="G27" s="54" t="n">
        <v>2</v>
      </c>
      <c r="H27" s="54" t="inlineStr">
        <is>
          <t>Uploaded PDF: Munitorum Field Manual v2.3 / March 2025</t>
        </is>
      </c>
    </row>
    <row r="28">
      <c r="A28" s="54" t="inlineStr">
        <is>
          <t>Adepta Sororitas</t>
        </is>
      </c>
      <c r="B28" s="54" t="inlineStr">
        <is>
          <t>Repentia Squad</t>
        </is>
      </c>
      <c r="C28" s="54" t="inlineStr">
        <is>
          <t>5 models</t>
        </is>
      </c>
      <c r="D28" s="55" t="n">
        <v>85</v>
      </c>
      <c r="E28" s="55" t="inlineStr">
        <is>
          <t>Repentia Squad — 5 models (85 pts)</t>
        </is>
      </c>
      <c r="F28" s="55" t="n">
        <v>85</v>
      </c>
      <c r="G28" s="54" t="n">
        <v>2</v>
      </c>
      <c r="H28" s="54" t="inlineStr">
        <is>
          <t>Uploaded PDF: Munitorum Field Manual v2.3 / March 2025</t>
        </is>
      </c>
    </row>
    <row r="29">
      <c r="A29" s="54" t="inlineStr">
        <is>
          <t>Adepta Sororitas</t>
        </is>
      </c>
      <c r="B29" s="54" t="inlineStr">
        <is>
          <t>Repentia Squad</t>
        </is>
      </c>
      <c r="C29" s="54" t="inlineStr">
        <is>
          <t>10 models</t>
        </is>
      </c>
      <c r="D29" s="55" t="n">
        <v>170</v>
      </c>
      <c r="E29" s="55" t="inlineStr">
        <is>
          <t>Repentia Squad — 10 models (170 pts)</t>
        </is>
      </c>
      <c r="F29" s="55" t="n">
        <v>170</v>
      </c>
      <c r="G29" s="54" t="n">
        <v>2</v>
      </c>
      <c r="H29" s="54" t="inlineStr">
        <is>
          <t>Uploaded PDF: Munitorum Field Manual v2.3 / March 2025</t>
        </is>
      </c>
    </row>
    <row r="30">
      <c r="A30" s="54" t="inlineStr">
        <is>
          <t>Adepta Sororitas</t>
        </is>
      </c>
      <c r="B30" s="54" t="inlineStr">
        <is>
          <t>Retributor Squad</t>
        </is>
      </c>
      <c r="C30" s="54" t="inlineStr">
        <is>
          <t>5 models</t>
        </is>
      </c>
      <c r="D30" s="55" t="n">
        <v>125</v>
      </c>
      <c r="E30" s="55" t="inlineStr">
        <is>
          <t>Retributor Squad — 5 models (125 pts)</t>
        </is>
      </c>
      <c r="F30" s="55" t="n">
        <v>125</v>
      </c>
      <c r="G30" s="54" t="n">
        <v>2</v>
      </c>
      <c r="H30" s="54" t="inlineStr">
        <is>
          <t>Uploaded PDF: Munitorum Field Manual v2.3 / March 2025</t>
        </is>
      </c>
    </row>
    <row r="31">
      <c r="A31" s="54" t="inlineStr">
        <is>
          <t>Adepta Sororitas</t>
        </is>
      </c>
      <c r="B31" s="54" t="inlineStr">
        <is>
          <t>Saint Celestine</t>
        </is>
      </c>
      <c r="C31" s="54" t="inlineStr">
        <is>
          <t>3 models</t>
        </is>
      </c>
      <c r="D31" s="55" t="n">
        <v>160</v>
      </c>
      <c r="E31" s="55" t="inlineStr">
        <is>
          <t>Saint Celestine — 3 models (160 pts)</t>
        </is>
      </c>
      <c r="F31" s="55" t="n">
        <v>160</v>
      </c>
      <c r="G31" s="54" t="n">
        <v>2</v>
      </c>
      <c r="H31" s="54" t="inlineStr">
        <is>
          <t>Uploaded PDF: Munitorum Field Manual v2.3 / March 2025</t>
        </is>
      </c>
    </row>
    <row r="32">
      <c r="A32" s="54" t="inlineStr">
        <is>
          <t>Adepta Sororitas</t>
        </is>
      </c>
      <c r="B32" s="54" t="inlineStr">
        <is>
          <t>Seraphim Squad</t>
        </is>
      </c>
      <c r="C32" s="54" t="inlineStr">
        <is>
          <t>5 models</t>
        </is>
      </c>
      <c r="D32" s="55" t="n">
        <v>85</v>
      </c>
      <c r="E32" s="55" t="inlineStr">
        <is>
          <t>Seraphim Squad — 5 models (85 pts)</t>
        </is>
      </c>
      <c r="F32" s="55" t="n">
        <v>85</v>
      </c>
      <c r="G32" s="54" t="n">
        <v>2</v>
      </c>
      <c r="H32" s="54" t="inlineStr">
        <is>
          <t>Uploaded PDF: Munitorum Field Manual v2.3 / March 2025</t>
        </is>
      </c>
    </row>
    <row r="33">
      <c r="A33" s="54" t="inlineStr">
        <is>
          <t>Adepta Sororitas</t>
        </is>
      </c>
      <c r="B33" s="54" t="inlineStr">
        <is>
          <t>Seraphim Squad</t>
        </is>
      </c>
      <c r="C33" s="54" t="inlineStr">
        <is>
          <t>10 models</t>
        </is>
      </c>
      <c r="D33" s="55" t="n">
        <v>170</v>
      </c>
      <c r="E33" s="55" t="inlineStr">
        <is>
          <t>Seraphim Squad — 10 models (170 pts)</t>
        </is>
      </c>
      <c r="F33" s="55" t="n">
        <v>170</v>
      </c>
      <c r="G33" s="54" t="n">
        <v>2</v>
      </c>
      <c r="H33" s="54" t="inlineStr">
        <is>
          <t>Uploaded PDF: Munitorum Field Manual v2.3 / March 2025</t>
        </is>
      </c>
    </row>
    <row r="34">
      <c r="A34" s="54" t="inlineStr">
        <is>
          <t>Adepta Sororitas</t>
        </is>
      </c>
      <c r="B34" s="54" t="inlineStr">
        <is>
          <t>Sisters Novitiate Squad</t>
        </is>
      </c>
      <c r="C34" s="54" t="inlineStr">
        <is>
          <t>10 models</t>
        </is>
      </c>
      <c r="D34" s="55" t="n">
        <v>100</v>
      </c>
      <c r="E34" s="55" t="inlineStr">
        <is>
          <t>Sisters Novitiate Squad — 10 models (100 pts)</t>
        </is>
      </c>
      <c r="F34" s="55" t="n">
        <v>100</v>
      </c>
      <c r="G34" s="54" t="n">
        <v>2</v>
      </c>
      <c r="H34" s="54" t="inlineStr">
        <is>
          <t>Uploaded PDF: Munitorum Field Manual v2.3 / March 2025</t>
        </is>
      </c>
    </row>
    <row r="35">
      <c r="A35" s="54" t="inlineStr">
        <is>
          <t>Adepta Sororitas</t>
        </is>
      </c>
      <c r="B35" s="54" t="inlineStr">
        <is>
          <t>Sororitas Rhino</t>
        </is>
      </c>
      <c r="C35" s="54" t="inlineStr">
        <is>
          <t>1 model</t>
        </is>
      </c>
      <c r="D35" s="55" t="n">
        <v>75</v>
      </c>
      <c r="E35" s="55" t="inlineStr">
        <is>
          <t>Sororitas Rhino — 1 model (75 pts)</t>
        </is>
      </c>
      <c r="F35" s="55" t="n">
        <v>75</v>
      </c>
      <c r="G35" s="54" t="n">
        <v>2</v>
      </c>
      <c r="H35" s="54" t="inlineStr">
        <is>
          <t>Uploaded PDF: Munitorum Field Manual v2.3 / March 2025</t>
        </is>
      </c>
    </row>
    <row r="36">
      <c r="A36" s="54" t="inlineStr">
        <is>
          <t>Adepta Sororitas</t>
        </is>
      </c>
      <c r="B36" s="54" t="inlineStr">
        <is>
          <t>Triumph of Saint Katherine</t>
        </is>
      </c>
      <c r="C36" s="54" t="inlineStr">
        <is>
          <t>1 model</t>
        </is>
      </c>
      <c r="D36" s="55" t="n">
        <v>250</v>
      </c>
      <c r="E36" s="55" t="inlineStr">
        <is>
          <t>Triumph of Saint Katherine — 1 model (250 pts)</t>
        </is>
      </c>
      <c r="F36" s="55" t="n">
        <v>250</v>
      </c>
      <c r="G36" s="54" t="n">
        <v>2</v>
      </c>
      <c r="H36" s="54" t="inlineStr">
        <is>
          <t>Uploaded PDF: Munitorum Field Manual v2.3 / March 2025</t>
        </is>
      </c>
    </row>
    <row r="37">
      <c r="A37" s="54" t="inlineStr">
        <is>
          <t>Adepta Sororitas</t>
        </is>
      </c>
      <c r="B37" s="54" t="inlineStr">
        <is>
          <t>Zephyrim Squad</t>
        </is>
      </c>
      <c r="C37" s="54" t="inlineStr">
        <is>
          <t>5 models</t>
        </is>
      </c>
      <c r="D37" s="55" t="n">
        <v>80</v>
      </c>
      <c r="E37" s="55" t="inlineStr">
        <is>
          <t>Zephyrim Squad — 5 models (80 pts)</t>
        </is>
      </c>
      <c r="F37" s="55" t="n">
        <v>80</v>
      </c>
      <c r="G37" s="54" t="n">
        <v>2</v>
      </c>
      <c r="H37" s="54" t="inlineStr">
        <is>
          <t>Uploaded PDF: Munitorum Field Manual v2.3 / March 2025</t>
        </is>
      </c>
    </row>
    <row r="38">
      <c r="A38" s="54" t="inlineStr">
        <is>
          <t>Adepta Sororitas</t>
        </is>
      </c>
      <c r="B38" s="54" t="inlineStr">
        <is>
          <t>Zephyrim Squad</t>
        </is>
      </c>
      <c r="C38" s="54" t="inlineStr">
        <is>
          <t>10 models</t>
        </is>
      </c>
      <c r="D38" s="55" t="n">
        <v>160</v>
      </c>
      <c r="E38" s="55" t="inlineStr">
        <is>
          <t>Zephyrim Squad — 10 models (160 pts)</t>
        </is>
      </c>
      <c r="F38" s="55" t="n">
        <v>160</v>
      </c>
      <c r="G38" s="54" t="n">
        <v>2</v>
      </c>
      <c r="H38" s="54" t="inlineStr">
        <is>
          <t>Uploaded PDF: Munitorum Field Manual v2.3 / March 2025</t>
        </is>
      </c>
    </row>
    <row r="39">
      <c r="A39" s="54" t="inlineStr">
        <is>
          <t>Adeptus Custodes</t>
        </is>
      </c>
      <c r="B39" s="54" t="inlineStr">
        <is>
          <t>Aleya</t>
        </is>
      </c>
      <c r="C39" s="54" t="inlineStr">
        <is>
          <t>1 model</t>
        </is>
      </c>
      <c r="D39" s="55" t="n">
        <v>65</v>
      </c>
      <c r="E39" s="55" t="inlineStr">
        <is>
          <t>Aleya — 1 model (65 pts)</t>
        </is>
      </c>
      <c r="F39" s="55" t="n">
        <v>65</v>
      </c>
      <c r="G39" s="54" t="n">
        <v>3</v>
      </c>
      <c r="H39" s="54" t="inlineStr">
        <is>
          <t>Uploaded PDF: Munitorum Field Manual v2.3 / March 2025</t>
        </is>
      </c>
    </row>
    <row r="40">
      <c r="A40" s="54" t="inlineStr">
        <is>
          <t>Adeptus Custodes</t>
        </is>
      </c>
      <c r="B40" s="54" t="inlineStr">
        <is>
          <t>Allarus Custodians</t>
        </is>
      </c>
      <c r="C40" s="54" t="inlineStr">
        <is>
          <t>2 models</t>
        </is>
      </c>
      <c r="D40" s="55" t="n">
        <v>130</v>
      </c>
      <c r="E40" s="55" t="inlineStr">
        <is>
          <t>Allarus Custodians — 2 models (130 pts)</t>
        </is>
      </c>
      <c r="F40" s="55" t="n">
        <v>130</v>
      </c>
      <c r="G40" s="54" t="n">
        <v>3</v>
      </c>
      <c r="H40" s="54" t="inlineStr">
        <is>
          <t>Uploaded PDF: Munitorum Field Manual v2.3 / March 2025</t>
        </is>
      </c>
    </row>
    <row r="41">
      <c r="A41" s="54" t="inlineStr">
        <is>
          <t>Adeptus Custodes</t>
        </is>
      </c>
      <c r="B41" s="54" t="inlineStr">
        <is>
          <t>Allarus Custodians</t>
        </is>
      </c>
      <c r="C41" s="54" t="inlineStr">
        <is>
          <t>3 models</t>
        </is>
      </c>
      <c r="D41" s="55" t="n">
        <v>195</v>
      </c>
      <c r="E41" s="55" t="inlineStr">
        <is>
          <t>Allarus Custodians — 3 models (195 pts)</t>
        </is>
      </c>
      <c r="F41" s="55" t="n">
        <v>195</v>
      </c>
      <c r="G41" s="54" t="n">
        <v>3</v>
      </c>
      <c r="H41" s="54" t="inlineStr">
        <is>
          <t>Uploaded PDF: Munitorum Field Manual v2.3 / March 2025</t>
        </is>
      </c>
    </row>
    <row r="42">
      <c r="A42" s="54" t="inlineStr">
        <is>
          <t>Adeptus Custodes</t>
        </is>
      </c>
      <c r="B42" s="54" t="inlineStr">
        <is>
          <t>Allarus Custodians</t>
        </is>
      </c>
      <c r="C42" s="54" t="inlineStr">
        <is>
          <t>5 models</t>
        </is>
      </c>
      <c r="D42" s="55" t="n">
        <v>325</v>
      </c>
      <c r="E42" s="55" t="inlineStr">
        <is>
          <t>Allarus Custodians — 5 models (325 pts)</t>
        </is>
      </c>
      <c r="F42" s="55" t="n">
        <v>325</v>
      </c>
      <c r="G42" s="54" t="n">
        <v>3</v>
      </c>
      <c r="H42" s="54" t="inlineStr">
        <is>
          <t>Uploaded PDF: Munitorum Field Manual v2.3 / March 2025</t>
        </is>
      </c>
    </row>
    <row r="43">
      <c r="A43" s="54" t="inlineStr">
        <is>
          <t>Adeptus Custodes</t>
        </is>
      </c>
      <c r="B43" s="54" t="inlineStr">
        <is>
          <t>Allarus Custodians</t>
        </is>
      </c>
      <c r="C43" s="54" t="inlineStr">
        <is>
          <t>6 models</t>
        </is>
      </c>
      <c r="D43" s="55" t="n">
        <v>390</v>
      </c>
      <c r="E43" s="55" t="inlineStr">
        <is>
          <t>Allarus Custodians — 6 models (390 pts)</t>
        </is>
      </c>
      <c r="F43" s="55" t="n">
        <v>390</v>
      </c>
      <c r="G43" s="54" t="n">
        <v>3</v>
      </c>
      <c r="H43" s="54" t="inlineStr">
        <is>
          <t>Uploaded PDF: Munitorum Field Manual v2.3 / March 2025</t>
        </is>
      </c>
    </row>
    <row r="44">
      <c r="A44" s="54" t="inlineStr">
        <is>
          <t>Adeptus Custodes</t>
        </is>
      </c>
      <c r="B44" s="54" t="inlineStr">
        <is>
          <t>Anathema Psykana Rhino</t>
        </is>
      </c>
      <c r="C44" s="54" t="inlineStr">
        <is>
          <t>1 model</t>
        </is>
      </c>
      <c r="D44" s="55" t="n">
        <v>75</v>
      </c>
      <c r="E44" s="55" t="inlineStr">
        <is>
          <t>Anathema Psykana Rhino — 1 model (75 pts)</t>
        </is>
      </c>
      <c r="F44" s="55" t="n">
        <v>75</v>
      </c>
      <c r="G44" s="54" t="n">
        <v>3</v>
      </c>
      <c r="H44" s="54" t="inlineStr">
        <is>
          <t>Uploaded PDF: Munitorum Field Manual v2.3 / March 2025</t>
        </is>
      </c>
    </row>
    <row r="45">
      <c r="A45" s="54" t="inlineStr">
        <is>
          <t>Adeptus Custodes</t>
        </is>
      </c>
      <c r="B45" s="54" t="inlineStr">
        <is>
          <t>Blade Champion</t>
        </is>
      </c>
      <c r="C45" s="54" t="inlineStr">
        <is>
          <t>1 model</t>
        </is>
      </c>
      <c r="D45" s="55" t="n">
        <v>120</v>
      </c>
      <c r="E45" s="55" t="inlineStr">
        <is>
          <t>Blade Champion — 1 model (120 pts)</t>
        </is>
      </c>
      <c r="F45" s="55" t="n">
        <v>120</v>
      </c>
      <c r="G45" s="54" t="n">
        <v>3</v>
      </c>
      <c r="H45" s="54" t="inlineStr">
        <is>
          <t>Uploaded PDF: Munitorum Field Manual v2.3 / March 2025</t>
        </is>
      </c>
    </row>
    <row r="46">
      <c r="A46" s="54" t="inlineStr">
        <is>
          <t>Adeptus Custodes</t>
        </is>
      </c>
      <c r="B46" s="54" t="inlineStr">
        <is>
          <t>Custodian Guard</t>
        </is>
      </c>
      <c r="C46" s="54" t="inlineStr">
        <is>
          <t>4 models</t>
        </is>
      </c>
      <c r="D46" s="55" t="n">
        <v>170</v>
      </c>
      <c r="E46" s="55" t="inlineStr">
        <is>
          <t>Custodian Guard — 4 models (170 pts)</t>
        </is>
      </c>
      <c r="F46" s="55" t="n">
        <v>170</v>
      </c>
      <c r="G46" s="54" t="n">
        <v>3</v>
      </c>
      <c r="H46" s="54" t="inlineStr">
        <is>
          <t>Uploaded PDF: Munitorum Field Manual v2.3 / March 2025</t>
        </is>
      </c>
    </row>
    <row r="47">
      <c r="A47" s="54" t="inlineStr">
        <is>
          <t>Adeptus Custodes</t>
        </is>
      </c>
      <c r="B47" s="54" t="inlineStr">
        <is>
          <t>Custodian Guard</t>
        </is>
      </c>
      <c r="C47" s="54" t="inlineStr">
        <is>
          <t>5 models</t>
        </is>
      </c>
      <c r="D47" s="55" t="n">
        <v>215</v>
      </c>
      <c r="E47" s="55" t="inlineStr">
        <is>
          <t>Custodian Guard — 5 models (215 pts)</t>
        </is>
      </c>
      <c r="F47" s="55" t="n">
        <v>215</v>
      </c>
      <c r="G47" s="54" t="n">
        <v>3</v>
      </c>
      <c r="H47" s="54" t="inlineStr">
        <is>
          <t>Uploaded PDF: Munitorum Field Manual v2.3 / March 2025</t>
        </is>
      </c>
    </row>
    <row r="48">
      <c r="A48" s="54" t="inlineStr">
        <is>
          <t>Adeptus Custodes</t>
        </is>
      </c>
      <c r="B48" s="54" t="inlineStr">
        <is>
          <t>Custodian Wardens</t>
        </is>
      </c>
      <c r="C48" s="54" t="inlineStr">
        <is>
          <t>4 models</t>
        </is>
      </c>
      <c r="D48" s="55" t="n">
        <v>210</v>
      </c>
      <c r="E48" s="55" t="inlineStr">
        <is>
          <t>Custodian Wardens — 4 models (210 pts)</t>
        </is>
      </c>
      <c r="F48" s="55" t="n">
        <v>210</v>
      </c>
      <c r="G48" s="54" t="n">
        <v>3</v>
      </c>
      <c r="H48" s="54" t="inlineStr">
        <is>
          <t>Uploaded PDF: Munitorum Field Manual v2.3 / March 2025</t>
        </is>
      </c>
    </row>
    <row r="49">
      <c r="A49" s="54" t="inlineStr">
        <is>
          <t>Adeptus Custodes</t>
        </is>
      </c>
      <c r="B49" s="54" t="inlineStr">
        <is>
          <t>Custodian Wardens</t>
        </is>
      </c>
      <c r="C49" s="54" t="inlineStr">
        <is>
          <t>5 models</t>
        </is>
      </c>
      <c r="D49" s="55" t="n">
        <v>260</v>
      </c>
      <c r="E49" s="55" t="inlineStr">
        <is>
          <t>Custodian Wardens — 5 models (260 pts)</t>
        </is>
      </c>
      <c r="F49" s="55" t="n">
        <v>260</v>
      </c>
      <c r="G49" s="54" t="n">
        <v>3</v>
      </c>
      <c r="H49" s="54" t="inlineStr">
        <is>
          <t>Uploaded PDF: Munitorum Field Manual v2.3 / March 2025</t>
        </is>
      </c>
    </row>
    <row r="50">
      <c r="A50" s="54" t="inlineStr">
        <is>
          <t>Adeptus Custodes</t>
        </is>
      </c>
      <c r="B50" s="54" t="inlineStr">
        <is>
          <t>Knight-Centura</t>
        </is>
      </c>
      <c r="C50" s="54" t="inlineStr">
        <is>
          <t>1 model</t>
        </is>
      </c>
      <c r="D50" s="55" t="n">
        <v>55</v>
      </c>
      <c r="E50" s="55" t="inlineStr">
        <is>
          <t>Knight-Centura — 1 model (55 pts)</t>
        </is>
      </c>
      <c r="F50" s="55" t="n">
        <v>55</v>
      </c>
      <c r="G50" s="54" t="n">
        <v>3</v>
      </c>
      <c r="H50" s="54" t="inlineStr">
        <is>
          <t>Uploaded PDF: Munitorum Field Manual v2.3 / March 2025</t>
        </is>
      </c>
    </row>
    <row r="51">
      <c r="A51" s="54" t="inlineStr">
        <is>
          <t>Adeptus Custodes</t>
        </is>
      </c>
      <c r="B51" s="54" t="inlineStr">
        <is>
          <t>Prosecutors</t>
        </is>
      </c>
      <c r="C51" s="54" t="inlineStr">
        <is>
          <t>4 models</t>
        </is>
      </c>
      <c r="D51" s="55" t="n">
        <v>40</v>
      </c>
      <c r="E51" s="55" t="inlineStr">
        <is>
          <t>Prosecutors — 4 models (40 pts)</t>
        </is>
      </c>
      <c r="F51" s="55" t="n">
        <v>40</v>
      </c>
      <c r="G51" s="54" t="n">
        <v>3</v>
      </c>
      <c r="H51" s="54" t="inlineStr">
        <is>
          <t>Uploaded PDF: Munitorum Field Manual v2.3 / March 2025</t>
        </is>
      </c>
    </row>
    <row r="52">
      <c r="A52" s="54" t="inlineStr">
        <is>
          <t>Adeptus Custodes</t>
        </is>
      </c>
      <c r="B52" s="54" t="inlineStr">
        <is>
          <t>Prosecutors</t>
        </is>
      </c>
      <c r="C52" s="54" t="inlineStr">
        <is>
          <t>5 models</t>
        </is>
      </c>
      <c r="D52" s="55" t="n">
        <v>50</v>
      </c>
      <c r="E52" s="55" t="inlineStr">
        <is>
          <t>Prosecutors — 5 models (50 pts)</t>
        </is>
      </c>
      <c r="F52" s="55" t="n">
        <v>50</v>
      </c>
      <c r="G52" s="54" t="n">
        <v>3</v>
      </c>
      <c r="H52" s="54" t="inlineStr">
        <is>
          <t>Uploaded PDF: Munitorum Field Manual v2.3 / March 2025</t>
        </is>
      </c>
    </row>
    <row r="53">
      <c r="A53" s="54" t="inlineStr">
        <is>
          <t>Adeptus Custodes</t>
        </is>
      </c>
      <c r="B53" s="54" t="inlineStr">
        <is>
          <t>Prosecutors</t>
        </is>
      </c>
      <c r="C53" s="54" t="inlineStr">
        <is>
          <t>9 models</t>
        </is>
      </c>
      <c r="D53" s="55" t="n">
        <v>90</v>
      </c>
      <c r="E53" s="55" t="inlineStr">
        <is>
          <t>Prosecutors — 9 models (90 pts)</t>
        </is>
      </c>
      <c r="F53" s="55" t="n">
        <v>90</v>
      </c>
      <c r="G53" s="54" t="n">
        <v>3</v>
      </c>
      <c r="H53" s="54" t="inlineStr">
        <is>
          <t>Uploaded PDF: Munitorum Field Manual v2.3 / March 2025</t>
        </is>
      </c>
    </row>
    <row r="54">
      <c r="A54" s="54" t="inlineStr">
        <is>
          <t>Adeptus Custodes</t>
        </is>
      </c>
      <c r="B54" s="54" t="inlineStr">
        <is>
          <t>Prosecutors</t>
        </is>
      </c>
      <c r="C54" s="54" t="inlineStr">
        <is>
          <t>10 models</t>
        </is>
      </c>
      <c r="D54" s="55" t="n">
        <v>100</v>
      </c>
      <c r="E54" s="55" t="inlineStr">
        <is>
          <t>Prosecutors — 10 models (100 pts)</t>
        </is>
      </c>
      <c r="F54" s="55" t="n">
        <v>100</v>
      </c>
      <c r="G54" s="54" t="n">
        <v>3</v>
      </c>
      <c r="H54" s="54" t="inlineStr">
        <is>
          <t>Uploaded PDF: Munitorum Field Manual v2.3 / March 2025</t>
        </is>
      </c>
    </row>
    <row r="55">
      <c r="A55" s="54" t="inlineStr">
        <is>
          <t>Adeptus Custodes</t>
        </is>
      </c>
      <c r="B55" s="54" t="inlineStr">
        <is>
          <t>Shield-Captain</t>
        </is>
      </c>
      <c r="C55" s="54" t="inlineStr">
        <is>
          <t>1 model</t>
        </is>
      </c>
      <c r="D55" s="55" t="n">
        <v>130</v>
      </c>
      <c r="E55" s="55" t="inlineStr">
        <is>
          <t>Shield-Captain — 1 model (130 pts)</t>
        </is>
      </c>
      <c r="F55" s="55" t="n">
        <v>130</v>
      </c>
      <c r="G55" s="54" t="n">
        <v>3</v>
      </c>
      <c r="H55" s="54" t="inlineStr">
        <is>
          <t>Uploaded PDF: Munitorum Field Manual v2.3 / March 2025</t>
        </is>
      </c>
    </row>
    <row r="56">
      <c r="A56" s="54" t="inlineStr">
        <is>
          <t>Adeptus Custodes</t>
        </is>
      </c>
      <c r="B56" s="54" t="inlineStr">
        <is>
          <t>Shield-Captain in Allarus Terminator Armour</t>
        </is>
      </c>
      <c r="C56" s="54" t="inlineStr">
        <is>
          <t>1 model</t>
        </is>
      </c>
      <c r="D56" s="55" t="n">
        <v>130</v>
      </c>
      <c r="E56" s="55" t="inlineStr">
        <is>
          <t>Shield-Captain in Allarus Terminator Armour — 1 model (130 pts)</t>
        </is>
      </c>
      <c r="F56" s="55" t="n">
        <v>130</v>
      </c>
      <c r="G56" s="54" t="n">
        <v>3</v>
      </c>
      <c r="H56" s="54" t="inlineStr">
        <is>
          <t>Uploaded PDF: Munitorum Field Manual v2.3 / March 2025</t>
        </is>
      </c>
    </row>
    <row r="57">
      <c r="A57" s="54" t="inlineStr">
        <is>
          <t>Adeptus Custodes</t>
        </is>
      </c>
      <c r="B57" s="54" t="inlineStr">
        <is>
          <t>Shield-Captain on Dawneagle Jetbike</t>
        </is>
      </c>
      <c r="C57" s="54" t="inlineStr">
        <is>
          <t>1 model</t>
        </is>
      </c>
      <c r="D57" s="55" t="n">
        <v>150</v>
      </c>
      <c r="E57" s="55" t="inlineStr">
        <is>
          <t>Shield-Captain on Dawneagle Jetbike — 1 model (150 pts)</t>
        </is>
      </c>
      <c r="F57" s="55" t="n">
        <v>150</v>
      </c>
      <c r="G57" s="54" t="n">
        <v>3</v>
      </c>
      <c r="H57" s="54" t="inlineStr">
        <is>
          <t>Uploaded PDF: Munitorum Field Manual v2.3 / March 2025</t>
        </is>
      </c>
    </row>
    <row r="58">
      <c r="A58" s="54" t="inlineStr">
        <is>
          <t>Adeptus Custodes</t>
        </is>
      </c>
      <c r="B58" s="54" t="inlineStr">
        <is>
          <t>Trajann Valoris</t>
        </is>
      </c>
      <c r="C58" s="54" t="inlineStr">
        <is>
          <t>1 model</t>
        </is>
      </c>
      <c r="D58" s="55" t="n">
        <v>140</v>
      </c>
      <c r="E58" s="55" t="inlineStr">
        <is>
          <t>Trajann Valoris — 1 model (140 pts)</t>
        </is>
      </c>
      <c r="F58" s="55" t="n">
        <v>140</v>
      </c>
      <c r="G58" s="54" t="n">
        <v>3</v>
      </c>
      <c r="H58" s="54" t="inlineStr">
        <is>
          <t>Uploaded PDF: Munitorum Field Manual v2.3 / March 2025</t>
        </is>
      </c>
    </row>
    <row r="59">
      <c r="A59" s="54" t="inlineStr">
        <is>
          <t>Adeptus Custodes</t>
        </is>
      </c>
      <c r="B59" s="54" t="inlineStr">
        <is>
          <t>Valerian</t>
        </is>
      </c>
      <c r="C59" s="54" t="inlineStr">
        <is>
          <t>1 model</t>
        </is>
      </c>
      <c r="D59" s="55" t="n">
        <v>110</v>
      </c>
      <c r="E59" s="55" t="inlineStr">
        <is>
          <t>Valerian — 1 model (110 pts)</t>
        </is>
      </c>
      <c r="F59" s="55" t="n">
        <v>110</v>
      </c>
      <c r="G59" s="54" t="n">
        <v>3</v>
      </c>
      <c r="H59" s="54" t="inlineStr">
        <is>
          <t>Uploaded PDF: Munitorum Field Manual v2.3 / March 2025</t>
        </is>
      </c>
    </row>
    <row r="60">
      <c r="A60" s="54" t="inlineStr">
        <is>
          <t>Adeptus Custodes</t>
        </is>
      </c>
      <c r="B60" s="54" t="inlineStr">
        <is>
          <t>Venerable Contemptor Dreadnought</t>
        </is>
      </c>
      <c r="C60" s="54" t="inlineStr">
        <is>
          <t>1 model</t>
        </is>
      </c>
      <c r="D60" s="55" t="n">
        <v>170</v>
      </c>
      <c r="E60" s="55" t="inlineStr">
        <is>
          <t>Venerable Contemptor Dreadnought — 1 model (170 pts)</t>
        </is>
      </c>
      <c r="F60" s="55" t="n">
        <v>170</v>
      </c>
      <c r="G60" s="54" t="n">
        <v>3</v>
      </c>
      <c r="H60" s="54" t="inlineStr">
        <is>
          <t>Uploaded PDF: Munitorum Field Manual v2.3 / March 2025</t>
        </is>
      </c>
    </row>
    <row r="61">
      <c r="A61" s="54" t="inlineStr">
        <is>
          <t>Adeptus Custodes</t>
        </is>
      </c>
      <c r="B61" s="54" t="inlineStr">
        <is>
          <t>Venerable Land Raider</t>
        </is>
      </c>
      <c r="C61" s="54" t="inlineStr">
        <is>
          <t>1 model</t>
        </is>
      </c>
      <c r="D61" s="55" t="n">
        <v>240</v>
      </c>
      <c r="E61" s="55" t="inlineStr">
        <is>
          <t>Venerable Land Raider — 1 model (240 pts)</t>
        </is>
      </c>
      <c r="F61" s="55" t="n">
        <v>240</v>
      </c>
      <c r="G61" s="54" t="n">
        <v>3</v>
      </c>
      <c r="H61" s="54" t="inlineStr">
        <is>
          <t>Uploaded PDF: Munitorum Field Manual v2.3 / March 2025</t>
        </is>
      </c>
    </row>
    <row r="62">
      <c r="A62" s="54" t="inlineStr">
        <is>
          <t>Adeptus Custodes</t>
        </is>
      </c>
      <c r="B62" s="54" t="inlineStr">
        <is>
          <t>Vertus Praetors</t>
        </is>
      </c>
      <c r="C62" s="54" t="inlineStr">
        <is>
          <t>2 models</t>
        </is>
      </c>
      <c r="D62" s="55" t="n">
        <v>150</v>
      </c>
      <c r="E62" s="55" t="inlineStr">
        <is>
          <t>Vertus Praetors — 2 models (150 pts)</t>
        </is>
      </c>
      <c r="F62" s="55" t="n">
        <v>150</v>
      </c>
      <c r="G62" s="54" t="n">
        <v>3</v>
      </c>
      <c r="H62" s="54" t="inlineStr">
        <is>
          <t>Uploaded PDF: Munitorum Field Manual v2.3 / March 2025</t>
        </is>
      </c>
    </row>
    <row r="63">
      <c r="A63" s="54" t="inlineStr">
        <is>
          <t>Adeptus Custodes</t>
        </is>
      </c>
      <c r="B63" s="54" t="inlineStr">
        <is>
          <t>Vertus Praetors</t>
        </is>
      </c>
      <c r="C63" s="54" t="inlineStr">
        <is>
          <t>3 models</t>
        </is>
      </c>
      <c r="D63" s="55" t="n">
        <v>225</v>
      </c>
      <c r="E63" s="55" t="inlineStr">
        <is>
          <t>Vertus Praetors — 3 models (225 pts)</t>
        </is>
      </c>
      <c r="F63" s="55" t="n">
        <v>225</v>
      </c>
      <c r="G63" s="54" t="n">
        <v>3</v>
      </c>
      <c r="H63" s="54" t="inlineStr">
        <is>
          <t>Uploaded PDF: Munitorum Field Manual v2.3 / March 2025</t>
        </is>
      </c>
    </row>
    <row r="64">
      <c r="A64" s="54" t="inlineStr">
        <is>
          <t>Adeptus Custodes</t>
        </is>
      </c>
      <c r="B64" s="54" t="inlineStr">
        <is>
          <t>Vigilators</t>
        </is>
      </c>
      <c r="C64" s="54" t="inlineStr">
        <is>
          <t>4 models</t>
        </is>
      </c>
      <c r="D64" s="55" t="n">
        <v>50</v>
      </c>
      <c r="E64" s="55" t="inlineStr">
        <is>
          <t>Vigilators — 4 models (50 pts)</t>
        </is>
      </c>
      <c r="F64" s="55" t="n">
        <v>50</v>
      </c>
      <c r="G64" s="54" t="n">
        <v>3</v>
      </c>
      <c r="H64" s="54" t="inlineStr">
        <is>
          <t>Uploaded PDF: Munitorum Field Manual v2.3 / March 2025</t>
        </is>
      </c>
    </row>
    <row r="65">
      <c r="A65" s="54" t="inlineStr">
        <is>
          <t>Adeptus Custodes</t>
        </is>
      </c>
      <c r="B65" s="54" t="inlineStr">
        <is>
          <t>Vigilators</t>
        </is>
      </c>
      <c r="C65" s="54" t="inlineStr">
        <is>
          <t>5 models</t>
        </is>
      </c>
      <c r="D65" s="55" t="n">
        <v>65</v>
      </c>
      <c r="E65" s="55" t="inlineStr">
        <is>
          <t>Vigilators — 5 models (65 pts)</t>
        </is>
      </c>
      <c r="F65" s="55" t="n">
        <v>65</v>
      </c>
      <c r="G65" s="54" t="n">
        <v>3</v>
      </c>
      <c r="H65" s="54" t="inlineStr">
        <is>
          <t>Uploaded PDF: Munitorum Field Manual v2.3 / March 2025</t>
        </is>
      </c>
    </row>
    <row r="66">
      <c r="A66" s="54" t="inlineStr">
        <is>
          <t>Adeptus Custodes</t>
        </is>
      </c>
      <c r="B66" s="54" t="inlineStr">
        <is>
          <t>Vigilators</t>
        </is>
      </c>
      <c r="C66" s="54" t="inlineStr">
        <is>
          <t>9 models</t>
        </is>
      </c>
      <c r="D66" s="55" t="n">
        <v>115</v>
      </c>
      <c r="E66" s="55" t="inlineStr">
        <is>
          <t>Vigilators — 9 models (115 pts)</t>
        </is>
      </c>
      <c r="F66" s="55" t="n">
        <v>115</v>
      </c>
      <c r="G66" s="54" t="n">
        <v>3</v>
      </c>
      <c r="H66" s="54" t="inlineStr">
        <is>
          <t>Uploaded PDF: Munitorum Field Manual v2.3 / March 2025</t>
        </is>
      </c>
    </row>
    <row r="67">
      <c r="A67" s="54" t="inlineStr">
        <is>
          <t>Adeptus Custodes</t>
        </is>
      </c>
      <c r="B67" s="54" t="inlineStr">
        <is>
          <t>Vigilators</t>
        </is>
      </c>
      <c r="C67" s="54" t="inlineStr">
        <is>
          <t>10 models</t>
        </is>
      </c>
      <c r="D67" s="55" t="n">
        <v>125</v>
      </c>
      <c r="E67" s="55" t="inlineStr">
        <is>
          <t>Vigilators — 10 models (125 pts)</t>
        </is>
      </c>
      <c r="F67" s="55" t="n">
        <v>125</v>
      </c>
      <c r="G67" s="54" t="n">
        <v>3</v>
      </c>
      <c r="H67" s="54" t="inlineStr">
        <is>
          <t>Uploaded PDF: Munitorum Field Manual v2.3 / March 2025</t>
        </is>
      </c>
    </row>
    <row r="68">
      <c r="A68" s="54" t="inlineStr">
        <is>
          <t>Adeptus Custodes</t>
        </is>
      </c>
      <c r="B68" s="54" t="inlineStr">
        <is>
          <t>Witchseekers</t>
        </is>
      </c>
      <c r="C68" s="54" t="inlineStr">
        <is>
          <t>4 models</t>
        </is>
      </c>
      <c r="D68" s="55" t="n">
        <v>50</v>
      </c>
      <c r="E68" s="55" t="inlineStr">
        <is>
          <t>Witchseekers — 4 models (50 pts)</t>
        </is>
      </c>
      <c r="F68" s="55" t="n">
        <v>50</v>
      </c>
      <c r="G68" s="54" t="n">
        <v>3</v>
      </c>
      <c r="H68" s="54" t="inlineStr">
        <is>
          <t>Uploaded PDF: Munitorum Field Manual v2.3 / March 2025</t>
        </is>
      </c>
    </row>
    <row r="69">
      <c r="A69" s="54" t="inlineStr">
        <is>
          <t>Adeptus Custodes</t>
        </is>
      </c>
      <c r="B69" s="54" t="inlineStr">
        <is>
          <t>Witchseekers</t>
        </is>
      </c>
      <c r="C69" s="54" t="inlineStr">
        <is>
          <t>5 models</t>
        </is>
      </c>
      <c r="D69" s="55" t="n">
        <v>65</v>
      </c>
      <c r="E69" s="55" t="inlineStr">
        <is>
          <t>Witchseekers — 5 models (65 pts)</t>
        </is>
      </c>
      <c r="F69" s="55" t="n">
        <v>65</v>
      </c>
      <c r="G69" s="54" t="n">
        <v>3</v>
      </c>
      <c r="H69" s="54" t="inlineStr">
        <is>
          <t>Uploaded PDF: Munitorum Field Manual v2.3 / March 2025</t>
        </is>
      </c>
    </row>
    <row r="70">
      <c r="A70" s="54" t="inlineStr">
        <is>
          <t>Adeptus Custodes</t>
        </is>
      </c>
      <c r="B70" s="54" t="inlineStr">
        <is>
          <t>Witchseekers</t>
        </is>
      </c>
      <c r="C70" s="54" t="inlineStr">
        <is>
          <t>9 models</t>
        </is>
      </c>
      <c r="D70" s="55" t="n">
        <v>115</v>
      </c>
      <c r="E70" s="55" t="inlineStr">
        <is>
          <t>Witchseekers — 9 models (115 pts)</t>
        </is>
      </c>
      <c r="F70" s="55" t="n">
        <v>115</v>
      </c>
      <c r="G70" s="54" t="n">
        <v>3</v>
      </c>
      <c r="H70" s="54" t="inlineStr">
        <is>
          <t>Uploaded PDF: Munitorum Field Manual v2.3 / March 2025</t>
        </is>
      </c>
    </row>
    <row r="71">
      <c r="A71" s="54" t="inlineStr">
        <is>
          <t>Adeptus Custodes</t>
        </is>
      </c>
      <c r="B71" s="54" t="inlineStr">
        <is>
          <t>Witchseekers</t>
        </is>
      </c>
      <c r="C71" s="54" t="inlineStr">
        <is>
          <t>10 models</t>
        </is>
      </c>
      <c r="D71" s="55" t="n">
        <v>125</v>
      </c>
      <c r="E71" s="55" t="inlineStr">
        <is>
          <t>Witchseekers — 10 models (125 pts)</t>
        </is>
      </c>
      <c r="F71" s="55" t="n">
        <v>125</v>
      </c>
      <c r="G71" s="54" t="n">
        <v>3</v>
      </c>
      <c r="H71" s="54" t="inlineStr">
        <is>
          <t>Uploaded PDF: Munitorum Field Manual v2.3 / March 2025</t>
        </is>
      </c>
    </row>
    <row r="72">
      <c r="A72" s="54" t="inlineStr">
        <is>
          <t>Adeptus Custodes</t>
        </is>
      </c>
      <c r="B72" s="54" t="inlineStr">
        <is>
          <t>Agamatus Custodians</t>
        </is>
      </c>
      <c r="C72" s="54" t="inlineStr">
        <is>
          <t>3 models</t>
        </is>
      </c>
      <c r="D72" s="55" t="n">
        <v>225</v>
      </c>
      <c r="E72" s="55" t="inlineStr">
        <is>
          <t>Agamatus Custodians — 3 models (225 pts)</t>
        </is>
      </c>
      <c r="F72" s="55" t="n">
        <v>225</v>
      </c>
      <c r="G72" s="54" t="n">
        <v>3</v>
      </c>
      <c r="H72" s="54" t="inlineStr">
        <is>
          <t>Uploaded PDF: Munitorum Field Manual v2.3 / March 2025</t>
        </is>
      </c>
    </row>
    <row r="73">
      <c r="A73" s="54" t="inlineStr">
        <is>
          <t>Adeptus Custodes</t>
        </is>
      </c>
      <c r="B73" s="54" t="inlineStr">
        <is>
          <t>Agamatus Custodians</t>
        </is>
      </c>
      <c r="C73" s="54" t="inlineStr">
        <is>
          <t>6 models</t>
        </is>
      </c>
      <c r="D73" s="55" t="n">
        <v>450</v>
      </c>
      <c r="E73" s="55" t="inlineStr">
        <is>
          <t>Agamatus Custodians — 6 models (450 pts)</t>
        </is>
      </c>
      <c r="F73" s="55" t="n">
        <v>450</v>
      </c>
      <c r="G73" s="54" t="n">
        <v>3</v>
      </c>
      <c r="H73" s="54" t="inlineStr">
        <is>
          <t>Uploaded PDF: Munitorum Field Manual v2.3 / March 2025</t>
        </is>
      </c>
    </row>
    <row r="74">
      <c r="A74" s="54" t="inlineStr">
        <is>
          <t>Adeptus Custodes</t>
        </is>
      </c>
      <c r="B74" s="54" t="inlineStr">
        <is>
          <t>Aquilon Custodians</t>
        </is>
      </c>
      <c r="C74" s="54" t="inlineStr">
        <is>
          <t>3 models</t>
        </is>
      </c>
      <c r="D74" s="55" t="n">
        <v>195</v>
      </c>
      <c r="E74" s="55" t="inlineStr">
        <is>
          <t>Aquilon Custodians — 3 models (195 pts)</t>
        </is>
      </c>
      <c r="F74" s="55" t="n">
        <v>195</v>
      </c>
      <c r="G74" s="54" t="n">
        <v>3</v>
      </c>
      <c r="H74" s="54" t="inlineStr">
        <is>
          <t>Uploaded PDF: Munitorum Field Manual v2.3 / March 2025</t>
        </is>
      </c>
    </row>
    <row r="75">
      <c r="A75" s="54" t="inlineStr">
        <is>
          <t>Adeptus Custodes</t>
        </is>
      </c>
      <c r="B75" s="54" t="inlineStr">
        <is>
          <t>Aquilon Custodians</t>
        </is>
      </c>
      <c r="C75" s="54" t="inlineStr">
        <is>
          <t>6 models</t>
        </is>
      </c>
      <c r="D75" s="55" t="n">
        <v>390</v>
      </c>
      <c r="E75" s="55" t="inlineStr">
        <is>
          <t>Aquilon Custodians — 6 models (390 pts)</t>
        </is>
      </c>
      <c r="F75" s="55" t="n">
        <v>390</v>
      </c>
      <c r="G75" s="54" t="n">
        <v>3</v>
      </c>
      <c r="H75" s="54" t="inlineStr">
        <is>
          <t>Uploaded PDF: Munitorum Field Manual v2.3 / March 2025</t>
        </is>
      </c>
    </row>
    <row r="76">
      <c r="A76" s="54" t="inlineStr">
        <is>
          <t>Adeptus Custodes</t>
        </is>
      </c>
      <c r="B76" s="54" t="inlineStr">
        <is>
          <t>Ares Gunship</t>
        </is>
      </c>
      <c r="C76" s="54" t="inlineStr">
        <is>
          <t>1 model</t>
        </is>
      </c>
      <c r="D76" s="55" t="n">
        <v>580</v>
      </c>
      <c r="E76" s="55" t="inlineStr">
        <is>
          <t>Ares Gunship — 1 model (580 pts)</t>
        </is>
      </c>
      <c r="F76" s="55" t="n">
        <v>580</v>
      </c>
      <c r="G76" s="54" t="n">
        <v>3</v>
      </c>
      <c r="H76" s="54" t="inlineStr">
        <is>
          <t>Uploaded PDF: Munitorum Field Manual v2.3 / March 2025</t>
        </is>
      </c>
    </row>
    <row r="77">
      <c r="A77" s="54" t="inlineStr">
        <is>
          <t>Adeptus Custodes</t>
        </is>
      </c>
      <c r="B77" s="54" t="inlineStr">
        <is>
          <t>Caladius Grav-tank</t>
        </is>
      </c>
      <c r="C77" s="54" t="inlineStr">
        <is>
          <t>1 model</t>
        </is>
      </c>
      <c r="D77" s="55" t="n">
        <v>215</v>
      </c>
      <c r="E77" s="55" t="inlineStr">
        <is>
          <t>Caladius Grav-tank — 1 model (215 pts)</t>
        </is>
      </c>
      <c r="F77" s="55" t="n">
        <v>215</v>
      </c>
      <c r="G77" s="54" t="n">
        <v>3</v>
      </c>
      <c r="H77" s="54" t="inlineStr">
        <is>
          <t>Uploaded PDF: Munitorum Field Manual v2.3 / March 2025</t>
        </is>
      </c>
    </row>
    <row r="78">
      <c r="A78" s="54" t="inlineStr">
        <is>
          <t>Adeptus Custodes</t>
        </is>
      </c>
      <c r="B78" s="54" t="inlineStr">
        <is>
          <t>Contemptor-Achillus Dreadnought</t>
        </is>
      </c>
      <c r="C78" s="54" t="inlineStr">
        <is>
          <t>1 model</t>
        </is>
      </c>
      <c r="D78" s="55" t="n">
        <v>155</v>
      </c>
      <c r="E78" s="55" t="inlineStr">
        <is>
          <t>Contemptor-Achillus Dreadnought — 1 model (155 pts)</t>
        </is>
      </c>
      <c r="F78" s="55" t="n">
        <v>155</v>
      </c>
      <c r="G78" s="54" t="n">
        <v>3</v>
      </c>
      <c r="H78" s="54" t="inlineStr">
        <is>
          <t>Uploaded PDF: Munitorum Field Manual v2.3 / March 2025</t>
        </is>
      </c>
    </row>
    <row r="79">
      <c r="A79" s="54" t="inlineStr">
        <is>
          <t>Adeptus Custodes</t>
        </is>
      </c>
      <c r="B79" s="54" t="inlineStr">
        <is>
          <t>Contemptor-Galatus Dreadnought</t>
        </is>
      </c>
      <c r="C79" s="54" t="inlineStr">
        <is>
          <t>1 model</t>
        </is>
      </c>
      <c r="D79" s="55" t="n">
        <v>165</v>
      </c>
      <c r="E79" s="55" t="inlineStr">
        <is>
          <t>Contemptor-Galatus Dreadnought — 1 model (165 pts)</t>
        </is>
      </c>
      <c r="F79" s="55" t="n">
        <v>165</v>
      </c>
      <c r="G79" s="54" t="n">
        <v>3</v>
      </c>
      <c r="H79" s="54" t="inlineStr">
        <is>
          <t>Uploaded PDF: Munitorum Field Manual v2.3 / March 2025</t>
        </is>
      </c>
    </row>
    <row r="80">
      <c r="A80" s="54" t="inlineStr">
        <is>
          <t>Adeptus Custodes</t>
        </is>
      </c>
      <c r="B80" s="54" t="inlineStr">
        <is>
          <t>Coronus Grav-carrier</t>
        </is>
      </c>
      <c r="C80" s="54" t="inlineStr">
        <is>
          <t>1 model</t>
        </is>
      </c>
      <c r="D80" s="55" t="n">
        <v>200</v>
      </c>
      <c r="E80" s="55" t="inlineStr">
        <is>
          <t>Coronus Grav-carrier — 1 model (200 pts)</t>
        </is>
      </c>
      <c r="F80" s="55" t="n">
        <v>200</v>
      </c>
      <c r="G80" s="54" t="n">
        <v>3</v>
      </c>
      <c r="H80" s="54" t="inlineStr">
        <is>
          <t>Uploaded PDF: Munitorum Field Manual v2.3 / March 2025</t>
        </is>
      </c>
    </row>
    <row r="81">
      <c r="A81" s="54" t="inlineStr">
        <is>
          <t>Adeptus Custodes</t>
        </is>
      </c>
      <c r="B81" s="54" t="inlineStr">
        <is>
          <t>Custodian Guard with Adrasite</t>
        </is>
      </c>
      <c r="C81" s="54" t="inlineStr">
        <is>
          <t>and Pyrithite Spears 5 models</t>
        </is>
      </c>
      <c r="D81" s="55" t="n">
        <v>250</v>
      </c>
      <c r="E81" s="55" t="inlineStr">
        <is>
          <t>Custodian Guard with Adrasite — and Pyrithite Spears 5 models (250 pts)</t>
        </is>
      </c>
      <c r="F81" s="55" t="n">
        <v>250</v>
      </c>
      <c r="G81" s="54" t="n">
        <v>3</v>
      </c>
      <c r="H81" s="54" t="inlineStr">
        <is>
          <t>Uploaded PDF: Munitorum Field Manual v2.3 / March 2025</t>
        </is>
      </c>
    </row>
    <row r="82">
      <c r="A82" s="54" t="inlineStr">
        <is>
          <t>Adeptus Custodes</t>
        </is>
      </c>
      <c r="B82" s="54" t="inlineStr">
        <is>
          <t>Orion Assault Dropship</t>
        </is>
      </c>
      <c r="C82" s="54" t="inlineStr">
        <is>
          <t>1 model</t>
        </is>
      </c>
      <c r="D82" s="55" t="n">
        <v>690</v>
      </c>
      <c r="E82" s="55" t="inlineStr">
        <is>
          <t>Orion Assault Dropship — 1 model (690 pts)</t>
        </is>
      </c>
      <c r="F82" s="55" t="n">
        <v>690</v>
      </c>
      <c r="G82" s="54" t="n">
        <v>3</v>
      </c>
      <c r="H82" s="54" t="inlineStr">
        <is>
          <t>Uploaded PDF: Munitorum Field Manual v2.3 / March 2025</t>
        </is>
      </c>
    </row>
    <row r="83">
      <c r="A83" s="54" t="inlineStr">
        <is>
          <t>Adeptus Custodes</t>
        </is>
      </c>
      <c r="B83" s="54" t="inlineStr">
        <is>
          <t>Pallas Grav-attack</t>
        </is>
      </c>
      <c r="C83" s="54" t="inlineStr">
        <is>
          <t>1 model</t>
        </is>
      </c>
      <c r="D83" s="55" t="n">
        <v>105</v>
      </c>
      <c r="E83" s="55" t="inlineStr">
        <is>
          <t>Pallas Grav-attack — 1 model (105 pts)</t>
        </is>
      </c>
      <c r="F83" s="55" t="n">
        <v>105</v>
      </c>
      <c r="G83" s="54" t="n">
        <v>3</v>
      </c>
      <c r="H83" s="54" t="inlineStr">
        <is>
          <t>Uploaded PDF: Munitorum Field Manual v2.3 / March 2025</t>
        </is>
      </c>
    </row>
    <row r="84">
      <c r="A84" s="54" t="inlineStr">
        <is>
          <t>Adeptus Custodes</t>
        </is>
      </c>
      <c r="B84" s="54" t="inlineStr">
        <is>
          <t>Sagittarum Custodians</t>
        </is>
      </c>
      <c r="C84" s="54" t="inlineStr">
        <is>
          <t>5 models</t>
        </is>
      </c>
      <c r="D84" s="55" t="n">
        <v>225</v>
      </c>
      <c r="E84" s="55" t="inlineStr">
        <is>
          <t>Sagittarum Custodians — 5 models (225 pts)</t>
        </is>
      </c>
      <c r="F84" s="55" t="n">
        <v>225</v>
      </c>
      <c r="G84" s="54" t="n">
        <v>3</v>
      </c>
      <c r="H84" s="54" t="inlineStr">
        <is>
          <t>Uploaded PDF: Munitorum Field Manual v2.3 / March 2025</t>
        </is>
      </c>
    </row>
    <row r="85">
      <c r="A85" s="54" t="inlineStr">
        <is>
          <t>Adeptus Custodes</t>
        </is>
      </c>
      <c r="B85" s="54" t="inlineStr">
        <is>
          <t>Telemon Heavy Dreadnought</t>
        </is>
      </c>
      <c r="C85" s="54" t="inlineStr">
        <is>
          <t>1 model</t>
        </is>
      </c>
      <c r="D85" s="55" t="n">
        <v>225</v>
      </c>
      <c r="E85" s="55" t="inlineStr">
        <is>
          <t>Telemon Heavy Dreadnought — 1 model (225 pts)</t>
        </is>
      </c>
      <c r="F85" s="55" t="n">
        <v>225</v>
      </c>
      <c r="G85" s="54" t="n">
        <v>3</v>
      </c>
      <c r="H85" s="54" t="inlineStr">
        <is>
          <t>Uploaded PDF: Munitorum Field Manual v2.3 / March 2025</t>
        </is>
      </c>
    </row>
    <row r="86">
      <c r="A86" s="54" t="inlineStr">
        <is>
          <t>Adeptus Custodes</t>
        </is>
      </c>
      <c r="B86" s="54" t="inlineStr">
        <is>
          <t>Venatari Custodians</t>
        </is>
      </c>
      <c r="C86" s="54" t="inlineStr">
        <is>
          <t>3 models</t>
        </is>
      </c>
      <c r="D86" s="55" t="n">
        <v>165</v>
      </c>
      <c r="E86" s="55" t="inlineStr">
        <is>
          <t>Venatari Custodians — 3 models (165 pts)</t>
        </is>
      </c>
      <c r="F86" s="55" t="n">
        <v>165</v>
      </c>
      <c r="G86" s="54" t="n">
        <v>3</v>
      </c>
      <c r="H86" s="54" t="inlineStr">
        <is>
          <t>Uploaded PDF: Munitorum Field Manual v2.3 / March 2025</t>
        </is>
      </c>
    </row>
    <row r="87">
      <c r="A87" s="54" t="inlineStr">
        <is>
          <t>Adeptus Custodes</t>
        </is>
      </c>
      <c r="B87" s="54" t="inlineStr">
        <is>
          <t>Venatari Custodians</t>
        </is>
      </c>
      <c r="C87" s="54" t="inlineStr">
        <is>
          <t>6 models</t>
        </is>
      </c>
      <c r="D87" s="55" t="n">
        <v>330</v>
      </c>
      <c r="E87" s="55" t="inlineStr">
        <is>
          <t>Venatari Custodians — 6 models (330 pts)</t>
        </is>
      </c>
      <c r="F87" s="55" t="n">
        <v>330</v>
      </c>
      <c r="G87" s="54" t="n">
        <v>3</v>
      </c>
      <c r="H87" s="54" t="inlineStr">
        <is>
          <t>Uploaded PDF: Munitorum Field Manual v2.3 / March 2025</t>
        </is>
      </c>
    </row>
    <row r="88">
      <c r="A88" s="54" t="inlineStr">
        <is>
          <t>Adeptus Mechanicus</t>
        </is>
      </c>
      <c r="B88" s="54" t="inlineStr">
        <is>
          <t>Archaeopter Fusilave</t>
        </is>
      </c>
      <c r="C88" s="54" t="inlineStr">
        <is>
          <t>1 model</t>
        </is>
      </c>
      <c r="D88" s="55" t="n">
        <v>160</v>
      </c>
      <c r="E88" s="55" t="inlineStr">
        <is>
          <t>Archaeopter Fusilave — 1 model (160 pts)</t>
        </is>
      </c>
      <c r="F88" s="55" t="n">
        <v>160</v>
      </c>
      <c r="G88" s="54" t="n">
        <v>4</v>
      </c>
      <c r="H88" s="54" t="inlineStr">
        <is>
          <t>Uploaded PDF: Munitorum Field Manual v2.3 / March 2025</t>
        </is>
      </c>
    </row>
    <row r="89">
      <c r="A89" s="54" t="inlineStr">
        <is>
          <t>Adeptus Mechanicus</t>
        </is>
      </c>
      <c r="B89" s="54" t="inlineStr">
        <is>
          <t>Archaeopter Stratoraptor</t>
        </is>
      </c>
      <c r="C89" s="54" t="inlineStr">
        <is>
          <t>1 model</t>
        </is>
      </c>
      <c r="D89" s="55" t="n">
        <v>185</v>
      </c>
      <c r="E89" s="55" t="inlineStr">
        <is>
          <t>Archaeopter Stratoraptor — 1 model (185 pts)</t>
        </is>
      </c>
      <c r="F89" s="55" t="n">
        <v>185</v>
      </c>
      <c r="G89" s="54" t="n">
        <v>4</v>
      </c>
      <c r="H89" s="54" t="inlineStr">
        <is>
          <t>Uploaded PDF: Munitorum Field Manual v2.3 / March 2025</t>
        </is>
      </c>
    </row>
    <row r="90">
      <c r="A90" s="54" t="inlineStr">
        <is>
          <t>Adeptus Mechanicus</t>
        </is>
      </c>
      <c r="B90" s="54" t="inlineStr">
        <is>
          <t>Archaeopter Transvector</t>
        </is>
      </c>
      <c r="C90" s="54" t="inlineStr">
        <is>
          <t>1 model</t>
        </is>
      </c>
      <c r="D90" s="55" t="n">
        <v>150</v>
      </c>
      <c r="E90" s="55" t="inlineStr">
        <is>
          <t>Archaeopter Transvector — 1 model (150 pts)</t>
        </is>
      </c>
      <c r="F90" s="55" t="n">
        <v>150</v>
      </c>
      <c r="G90" s="54" t="n">
        <v>4</v>
      </c>
      <c r="H90" s="54" t="inlineStr">
        <is>
          <t>Uploaded PDF: Munitorum Field Manual v2.3 / March 2025</t>
        </is>
      </c>
    </row>
    <row r="91">
      <c r="A91" s="54" t="inlineStr">
        <is>
          <t>Adeptus Mechanicus</t>
        </is>
      </c>
      <c r="B91" s="54" t="inlineStr">
        <is>
          <t>Belisarius Cawl</t>
        </is>
      </c>
      <c r="C91" s="54" t="inlineStr">
        <is>
          <t>1 model</t>
        </is>
      </c>
      <c r="D91" s="55" t="n">
        <v>135</v>
      </c>
      <c r="E91" s="55" t="inlineStr">
        <is>
          <t>Belisarius Cawl — 1 model (135 pts)</t>
        </is>
      </c>
      <c r="F91" s="55" t="n">
        <v>135</v>
      </c>
      <c r="G91" s="54" t="n">
        <v>4</v>
      </c>
      <c r="H91" s="54" t="inlineStr">
        <is>
          <t>Uploaded PDF: Munitorum Field Manual v2.3 / March 2025</t>
        </is>
      </c>
    </row>
    <row r="92">
      <c r="A92" s="54" t="inlineStr">
        <is>
          <t>Adeptus Mechanicus</t>
        </is>
      </c>
      <c r="B92" s="54" t="inlineStr">
        <is>
          <t>Corpuscarii Electro-Priests</t>
        </is>
      </c>
      <c r="C92" s="54" t="inlineStr">
        <is>
          <t>5 models</t>
        </is>
      </c>
      <c r="D92" s="55" t="n">
        <v>65</v>
      </c>
      <c r="E92" s="55" t="inlineStr">
        <is>
          <t>Corpuscarii Electro-Priests — 5 models (65 pts)</t>
        </is>
      </c>
      <c r="F92" s="55" t="n">
        <v>65</v>
      </c>
      <c r="G92" s="54" t="n">
        <v>4</v>
      </c>
      <c r="H92" s="54" t="inlineStr">
        <is>
          <t>Uploaded PDF: Munitorum Field Manual v2.3 / March 2025</t>
        </is>
      </c>
    </row>
    <row r="93">
      <c r="A93" s="54" t="inlineStr">
        <is>
          <t>Adeptus Mechanicus</t>
        </is>
      </c>
      <c r="B93" s="54" t="inlineStr">
        <is>
          <t>Corpuscarii Electro-Priests</t>
        </is>
      </c>
      <c r="C93" s="54" t="inlineStr">
        <is>
          <t>10 models</t>
        </is>
      </c>
      <c r="D93" s="55" t="n">
        <v>130</v>
      </c>
      <c r="E93" s="55" t="inlineStr">
        <is>
          <t>Corpuscarii Electro-Priests — 10 models (130 pts)</t>
        </is>
      </c>
      <c r="F93" s="55" t="n">
        <v>130</v>
      </c>
      <c r="G93" s="54" t="n">
        <v>4</v>
      </c>
      <c r="H93" s="54" t="inlineStr">
        <is>
          <t>Uploaded PDF: Munitorum Field Manual v2.3 / March 2025</t>
        </is>
      </c>
    </row>
    <row r="94">
      <c r="A94" s="54" t="inlineStr">
        <is>
          <t>Adeptus Mechanicus</t>
        </is>
      </c>
      <c r="B94" s="54" t="inlineStr">
        <is>
          <t>Cybernetica Datasmith</t>
        </is>
      </c>
      <c r="C94" s="54" t="inlineStr">
        <is>
          <t>1 model</t>
        </is>
      </c>
      <c r="D94" s="55" t="n">
        <v>35</v>
      </c>
      <c r="E94" s="55" t="inlineStr">
        <is>
          <t>Cybernetica Datasmith — 1 model (35 pts)</t>
        </is>
      </c>
      <c r="F94" s="55" t="n">
        <v>35</v>
      </c>
      <c r="G94" s="54" t="n">
        <v>4</v>
      </c>
      <c r="H94" s="54" t="inlineStr">
        <is>
          <t>Uploaded PDF: Munitorum Field Manual v2.3 / March 2025</t>
        </is>
      </c>
    </row>
    <row r="95">
      <c r="A95" s="54" t="inlineStr">
        <is>
          <t>Adeptus Mechanicus</t>
        </is>
      </c>
      <c r="B95" s="54" t="inlineStr">
        <is>
          <t>Fulgurite Electro-Priests</t>
        </is>
      </c>
      <c r="C95" s="54" t="inlineStr">
        <is>
          <t>5 models</t>
        </is>
      </c>
      <c r="D95" s="55" t="n">
        <v>70</v>
      </c>
      <c r="E95" s="55" t="inlineStr">
        <is>
          <t>Fulgurite Electro-Priests — 5 models (70 pts)</t>
        </is>
      </c>
      <c r="F95" s="55" t="n">
        <v>70</v>
      </c>
      <c r="G95" s="54" t="n">
        <v>4</v>
      </c>
      <c r="H95" s="54" t="inlineStr">
        <is>
          <t>Uploaded PDF: Munitorum Field Manual v2.3 / March 2025</t>
        </is>
      </c>
    </row>
    <row r="96">
      <c r="A96" s="54" t="inlineStr">
        <is>
          <t>Adeptus Mechanicus</t>
        </is>
      </c>
      <c r="B96" s="54" t="inlineStr">
        <is>
          <t>Fulgurite Electro-Priests</t>
        </is>
      </c>
      <c r="C96" s="54" t="inlineStr">
        <is>
          <t>10 models</t>
        </is>
      </c>
      <c r="D96" s="55" t="n">
        <v>140</v>
      </c>
      <c r="E96" s="55" t="inlineStr">
        <is>
          <t>Fulgurite Electro-Priests — 10 models (140 pts)</t>
        </is>
      </c>
      <c r="F96" s="55" t="n">
        <v>140</v>
      </c>
      <c r="G96" s="54" t="n">
        <v>4</v>
      </c>
      <c r="H96" s="54" t="inlineStr">
        <is>
          <t>Uploaded PDF: Munitorum Field Manual v2.3 / March 2025</t>
        </is>
      </c>
    </row>
    <row r="97">
      <c r="A97" s="54" t="inlineStr">
        <is>
          <t>Adeptus Mechanicus</t>
        </is>
      </c>
      <c r="B97" s="54" t="inlineStr">
        <is>
          <t>Ironstrider Ballistarii</t>
        </is>
      </c>
      <c r="C97" s="54" t="inlineStr">
        <is>
          <t>1 model</t>
        </is>
      </c>
      <c r="D97" s="55" t="n">
        <v>75</v>
      </c>
      <c r="E97" s="55" t="inlineStr">
        <is>
          <t>Ironstrider Ballistarii — 1 model (75 pts)</t>
        </is>
      </c>
      <c r="F97" s="55" t="n">
        <v>75</v>
      </c>
      <c r="G97" s="54" t="n">
        <v>4</v>
      </c>
      <c r="H97" s="54" t="inlineStr">
        <is>
          <t>Uploaded PDF: Munitorum Field Manual v2.3 / March 2025</t>
        </is>
      </c>
    </row>
    <row r="98">
      <c r="A98" s="54" t="inlineStr">
        <is>
          <t>Adeptus Mechanicus</t>
        </is>
      </c>
      <c r="B98" s="54" t="inlineStr">
        <is>
          <t>Ironstrider Ballistarii</t>
        </is>
      </c>
      <c r="C98" s="54" t="inlineStr">
        <is>
          <t>2 models</t>
        </is>
      </c>
      <c r="D98" s="55" t="n">
        <v>150</v>
      </c>
      <c r="E98" s="55" t="inlineStr">
        <is>
          <t>Ironstrider Ballistarii — 2 models (150 pts)</t>
        </is>
      </c>
      <c r="F98" s="55" t="n">
        <v>150</v>
      </c>
      <c r="G98" s="54" t="n">
        <v>4</v>
      </c>
      <c r="H98" s="54" t="inlineStr">
        <is>
          <t>Uploaded PDF: Munitorum Field Manual v2.3 / March 2025</t>
        </is>
      </c>
    </row>
    <row r="99">
      <c r="A99" s="54" t="inlineStr">
        <is>
          <t>Adeptus Mechanicus</t>
        </is>
      </c>
      <c r="B99" s="54" t="inlineStr">
        <is>
          <t>Ironstrider Ballistarii</t>
        </is>
      </c>
      <c r="C99" s="54" t="inlineStr">
        <is>
          <t>3 models</t>
        </is>
      </c>
      <c r="D99" s="55" t="n">
        <v>225</v>
      </c>
      <c r="E99" s="55" t="inlineStr">
        <is>
          <t>Ironstrider Ballistarii — 3 models (225 pts)</t>
        </is>
      </c>
      <c r="F99" s="55" t="n">
        <v>225</v>
      </c>
      <c r="G99" s="54" t="n">
        <v>4</v>
      </c>
      <c r="H99" s="54" t="inlineStr">
        <is>
          <t>Uploaded PDF: Munitorum Field Manual v2.3 / March 2025</t>
        </is>
      </c>
    </row>
    <row r="100">
      <c r="A100" s="54" t="inlineStr">
        <is>
          <t>Adeptus Mechanicus</t>
        </is>
      </c>
      <c r="B100" s="54" t="inlineStr">
        <is>
          <t>Kastelan Robots</t>
        </is>
      </c>
      <c r="C100" s="54" t="inlineStr">
        <is>
          <t>2 models</t>
        </is>
      </c>
      <c r="D100" s="55" t="n">
        <v>180</v>
      </c>
      <c r="E100" s="55" t="inlineStr">
        <is>
          <t>Kastelan Robots — 2 models (180 pts)</t>
        </is>
      </c>
      <c r="F100" s="55" t="n">
        <v>180</v>
      </c>
      <c r="G100" s="54" t="n">
        <v>4</v>
      </c>
      <c r="H100" s="54" t="inlineStr">
        <is>
          <t>Uploaded PDF: Munitorum Field Manual v2.3 / March 2025</t>
        </is>
      </c>
    </row>
    <row r="101">
      <c r="A101" s="54" t="inlineStr">
        <is>
          <t>Adeptus Mechanicus</t>
        </is>
      </c>
      <c r="B101" s="54" t="inlineStr">
        <is>
          <t>Kastelan Robots</t>
        </is>
      </c>
      <c r="C101" s="54" t="inlineStr">
        <is>
          <t>4 models</t>
        </is>
      </c>
      <c r="D101" s="55" t="n">
        <v>360</v>
      </c>
      <c r="E101" s="55" t="inlineStr">
        <is>
          <t>Kastelan Robots — 4 models (360 pts)</t>
        </is>
      </c>
      <c r="F101" s="55" t="n">
        <v>360</v>
      </c>
      <c r="G101" s="54" t="n">
        <v>4</v>
      </c>
      <c r="H101" s="54" t="inlineStr">
        <is>
          <t>Uploaded PDF: Munitorum Field Manual v2.3 / March 2025</t>
        </is>
      </c>
    </row>
    <row r="102">
      <c r="A102" s="54" t="inlineStr">
        <is>
          <t>Adeptus Mechanicus</t>
        </is>
      </c>
      <c r="B102" s="54" t="inlineStr">
        <is>
          <t>Kataphron Breachers</t>
        </is>
      </c>
      <c r="C102" s="54" t="inlineStr">
        <is>
          <t>3 models</t>
        </is>
      </c>
      <c r="D102" s="55" t="n">
        <v>160</v>
      </c>
      <c r="E102" s="55" t="inlineStr">
        <is>
          <t>Kataphron Breachers — 3 models (160 pts)</t>
        </is>
      </c>
      <c r="F102" s="55" t="n">
        <v>160</v>
      </c>
      <c r="G102" s="54" t="n">
        <v>4</v>
      </c>
      <c r="H102" s="54" t="inlineStr">
        <is>
          <t>Uploaded PDF: Munitorum Field Manual v2.3 / March 2025</t>
        </is>
      </c>
    </row>
    <row r="103">
      <c r="A103" s="54" t="inlineStr">
        <is>
          <t>Adeptus Mechanicus</t>
        </is>
      </c>
      <c r="B103" s="54" t="inlineStr">
        <is>
          <t>Kataphron Breachers</t>
        </is>
      </c>
      <c r="C103" s="54" t="inlineStr">
        <is>
          <t>6 models</t>
        </is>
      </c>
      <c r="D103" s="55" t="n">
        <v>320</v>
      </c>
      <c r="E103" s="55" t="inlineStr">
        <is>
          <t>Kataphron Breachers — 6 models (320 pts)</t>
        </is>
      </c>
      <c r="F103" s="55" t="n">
        <v>320</v>
      </c>
      <c r="G103" s="54" t="n">
        <v>4</v>
      </c>
      <c r="H103" s="54" t="inlineStr">
        <is>
          <t>Uploaded PDF: Munitorum Field Manual v2.3 / March 2025</t>
        </is>
      </c>
    </row>
    <row r="104">
      <c r="A104" s="54" t="inlineStr">
        <is>
          <t>Adeptus Mechanicus</t>
        </is>
      </c>
      <c r="B104" s="54" t="inlineStr">
        <is>
          <t>Kataphron Destroyers</t>
        </is>
      </c>
      <c r="C104" s="54" t="inlineStr">
        <is>
          <t>3 models</t>
        </is>
      </c>
      <c r="D104" s="55" t="n">
        <v>105</v>
      </c>
      <c r="E104" s="55" t="inlineStr">
        <is>
          <t>Kataphron Destroyers — 3 models (105 pts)</t>
        </is>
      </c>
      <c r="F104" s="55" t="n">
        <v>105</v>
      </c>
      <c r="G104" s="54" t="n">
        <v>4</v>
      </c>
      <c r="H104" s="54" t="inlineStr">
        <is>
          <t>Uploaded PDF: Munitorum Field Manual v2.3 / March 2025</t>
        </is>
      </c>
    </row>
    <row r="105">
      <c r="A105" s="54" t="inlineStr">
        <is>
          <t>Adeptus Mechanicus</t>
        </is>
      </c>
      <c r="B105" s="54" t="inlineStr">
        <is>
          <t>Kataphron Destroyers</t>
        </is>
      </c>
      <c r="C105" s="54" t="inlineStr">
        <is>
          <t>6 models</t>
        </is>
      </c>
      <c r="D105" s="55" t="n">
        <v>210</v>
      </c>
      <c r="E105" s="55" t="inlineStr">
        <is>
          <t>Kataphron Destroyers — 6 models (210 pts)</t>
        </is>
      </c>
      <c r="F105" s="55" t="n">
        <v>210</v>
      </c>
      <c r="G105" s="54" t="n">
        <v>4</v>
      </c>
      <c r="H105" s="54" t="inlineStr">
        <is>
          <t>Uploaded PDF: Munitorum Field Manual v2.3 / March 2025</t>
        </is>
      </c>
    </row>
    <row r="106">
      <c r="A106" s="54" t="inlineStr">
        <is>
          <t>Adeptus Mechanicus</t>
        </is>
      </c>
      <c r="B106" s="54" t="inlineStr">
        <is>
          <t>Onager Dunecrawler</t>
        </is>
      </c>
      <c r="C106" s="54" t="inlineStr">
        <is>
          <t>1 model</t>
        </is>
      </c>
      <c r="D106" s="55" t="n">
        <v>155</v>
      </c>
      <c r="E106" s="55" t="inlineStr">
        <is>
          <t>Onager Dunecrawler — 1 model (155 pts)</t>
        </is>
      </c>
      <c r="F106" s="55" t="n">
        <v>155</v>
      </c>
      <c r="G106" s="54" t="n">
        <v>4</v>
      </c>
      <c r="H106" s="54" t="inlineStr">
        <is>
          <t>Uploaded PDF: Munitorum Field Manual v2.3 / March 2025</t>
        </is>
      </c>
    </row>
    <row r="107">
      <c r="A107" s="54" t="inlineStr">
        <is>
          <t>Adeptus Mechanicus</t>
        </is>
      </c>
      <c r="B107" s="54" t="inlineStr">
        <is>
          <t>Pteraxii Skystalkers</t>
        </is>
      </c>
      <c r="C107" s="54" t="inlineStr">
        <is>
          <t>5 models</t>
        </is>
      </c>
      <c r="D107" s="55" t="n">
        <v>70</v>
      </c>
      <c r="E107" s="55" t="inlineStr">
        <is>
          <t>Pteraxii Skystalkers — 5 models (70 pts)</t>
        </is>
      </c>
      <c r="F107" s="55" t="n">
        <v>70</v>
      </c>
      <c r="G107" s="54" t="n">
        <v>4</v>
      </c>
      <c r="H107" s="54" t="inlineStr">
        <is>
          <t>Uploaded PDF: Munitorum Field Manual v2.3 / March 2025</t>
        </is>
      </c>
    </row>
    <row r="108">
      <c r="A108" s="54" t="inlineStr">
        <is>
          <t>Adeptus Mechanicus</t>
        </is>
      </c>
      <c r="B108" s="54" t="inlineStr">
        <is>
          <t>Pteraxii Skystalkers</t>
        </is>
      </c>
      <c r="C108" s="54" t="inlineStr">
        <is>
          <t>10 models</t>
        </is>
      </c>
      <c r="D108" s="55" t="n">
        <v>140</v>
      </c>
      <c r="E108" s="55" t="inlineStr">
        <is>
          <t>Pteraxii Skystalkers — 10 models (140 pts)</t>
        </is>
      </c>
      <c r="F108" s="55" t="n">
        <v>140</v>
      </c>
      <c r="G108" s="54" t="n">
        <v>4</v>
      </c>
      <c r="H108" s="54" t="inlineStr">
        <is>
          <t>Uploaded PDF: Munitorum Field Manual v2.3 / March 2025</t>
        </is>
      </c>
    </row>
    <row r="109">
      <c r="A109" s="54" t="inlineStr">
        <is>
          <t>Adeptus Mechanicus</t>
        </is>
      </c>
      <c r="B109" s="54" t="inlineStr">
        <is>
          <t>Pteraxii Sterylizors</t>
        </is>
      </c>
      <c r="C109" s="54" t="inlineStr">
        <is>
          <t>5 models</t>
        </is>
      </c>
      <c r="D109" s="55" t="n">
        <v>80</v>
      </c>
      <c r="E109" s="55" t="inlineStr">
        <is>
          <t>Pteraxii Sterylizors — 5 models (80 pts)</t>
        </is>
      </c>
      <c r="F109" s="55" t="n">
        <v>80</v>
      </c>
      <c r="G109" s="54" t="n">
        <v>4</v>
      </c>
      <c r="H109" s="54" t="inlineStr">
        <is>
          <t>Uploaded PDF: Munitorum Field Manual v2.3 / March 2025</t>
        </is>
      </c>
    </row>
    <row r="110">
      <c r="A110" s="54" t="inlineStr">
        <is>
          <t>Adeptus Mechanicus</t>
        </is>
      </c>
      <c r="B110" s="54" t="inlineStr">
        <is>
          <t>Pteraxii Sterylizors</t>
        </is>
      </c>
      <c r="C110" s="54" t="inlineStr">
        <is>
          <t>10 models</t>
        </is>
      </c>
      <c r="D110" s="55" t="n">
        <v>160</v>
      </c>
      <c r="E110" s="55" t="inlineStr">
        <is>
          <t>Pteraxii Sterylizors — 10 models (160 pts)</t>
        </is>
      </c>
      <c r="F110" s="55" t="n">
        <v>160</v>
      </c>
      <c r="G110" s="54" t="n">
        <v>4</v>
      </c>
      <c r="H110" s="54" t="inlineStr">
        <is>
          <t>Uploaded PDF: Munitorum Field Manual v2.3 / March 2025</t>
        </is>
      </c>
    </row>
    <row r="111">
      <c r="A111" s="54" t="inlineStr">
        <is>
          <t>Adeptus Mechanicus</t>
        </is>
      </c>
      <c r="B111" s="54" t="inlineStr">
        <is>
          <t>Serberys Raiders</t>
        </is>
      </c>
      <c r="C111" s="54" t="inlineStr">
        <is>
          <t>3 models</t>
        </is>
      </c>
      <c r="D111" s="55" t="n">
        <v>60</v>
      </c>
      <c r="E111" s="55" t="inlineStr">
        <is>
          <t>Serberys Raiders — 3 models (60 pts)</t>
        </is>
      </c>
      <c r="F111" s="55" t="n">
        <v>60</v>
      </c>
      <c r="G111" s="54" t="n">
        <v>4</v>
      </c>
      <c r="H111" s="54" t="inlineStr">
        <is>
          <t>Uploaded PDF: Munitorum Field Manual v2.3 / March 2025</t>
        </is>
      </c>
    </row>
    <row r="112">
      <c r="A112" s="54" t="inlineStr">
        <is>
          <t>Adeptus Mechanicus</t>
        </is>
      </c>
      <c r="B112" s="54" t="inlineStr">
        <is>
          <t>Serberys Raiders</t>
        </is>
      </c>
      <c r="C112" s="54" t="inlineStr">
        <is>
          <t>6 models</t>
        </is>
      </c>
      <c r="D112" s="55" t="n">
        <v>120</v>
      </c>
      <c r="E112" s="55" t="inlineStr">
        <is>
          <t>Serberys Raiders — 6 models (120 pts)</t>
        </is>
      </c>
      <c r="F112" s="55" t="n">
        <v>120</v>
      </c>
      <c r="G112" s="54" t="n">
        <v>4</v>
      </c>
      <c r="H112" s="54" t="inlineStr">
        <is>
          <t>Uploaded PDF: Munitorum Field Manual v2.3 / March 2025</t>
        </is>
      </c>
    </row>
    <row r="113">
      <c r="A113" s="54" t="inlineStr">
        <is>
          <t>Adeptus Mechanicus</t>
        </is>
      </c>
      <c r="B113" s="54" t="inlineStr">
        <is>
          <t>Serberys Sulphurhounds</t>
        </is>
      </c>
      <c r="C113" s="54" t="inlineStr">
        <is>
          <t>3 models</t>
        </is>
      </c>
      <c r="D113" s="55" t="n">
        <v>55</v>
      </c>
      <c r="E113" s="55" t="inlineStr">
        <is>
          <t>Serberys Sulphurhounds — 3 models (55 pts)</t>
        </is>
      </c>
      <c r="F113" s="55" t="n">
        <v>55</v>
      </c>
      <c r="G113" s="54" t="n">
        <v>4</v>
      </c>
      <c r="H113" s="54" t="inlineStr">
        <is>
          <t>Uploaded PDF: Munitorum Field Manual v2.3 / March 2025</t>
        </is>
      </c>
    </row>
    <row r="114">
      <c r="A114" s="54" t="inlineStr">
        <is>
          <t>Adeptus Mechanicus</t>
        </is>
      </c>
      <c r="B114" s="54" t="inlineStr">
        <is>
          <t>Serberys Sulphurhounds</t>
        </is>
      </c>
      <c r="C114" s="54" t="inlineStr">
        <is>
          <t>6 models</t>
        </is>
      </c>
      <c r="D114" s="55" t="n">
        <v>110</v>
      </c>
      <c r="E114" s="55" t="inlineStr">
        <is>
          <t>Serberys Sulphurhounds — 6 models (110 pts)</t>
        </is>
      </c>
      <c r="F114" s="55" t="n">
        <v>110</v>
      </c>
      <c r="G114" s="54" t="n">
        <v>4</v>
      </c>
      <c r="H114" s="54" t="inlineStr">
        <is>
          <t>Uploaded PDF: Munitorum Field Manual v2.3 / March 2025</t>
        </is>
      </c>
    </row>
    <row r="115">
      <c r="A115" s="54" t="inlineStr">
        <is>
          <t>Adeptus Mechanicus</t>
        </is>
      </c>
      <c r="B115" s="54" t="inlineStr">
        <is>
          <t>Sicarian Infiltrators</t>
        </is>
      </c>
      <c r="C115" s="54" t="inlineStr">
        <is>
          <t>5 models</t>
        </is>
      </c>
      <c r="D115" s="55" t="n">
        <v>70</v>
      </c>
      <c r="E115" s="55" t="inlineStr">
        <is>
          <t>Sicarian Infiltrators — 5 models (70 pts)</t>
        </is>
      </c>
      <c r="F115" s="55" t="n">
        <v>70</v>
      </c>
      <c r="G115" s="54" t="n">
        <v>4</v>
      </c>
      <c r="H115" s="54" t="inlineStr">
        <is>
          <t>Uploaded PDF: Munitorum Field Manual v2.3 / March 2025</t>
        </is>
      </c>
    </row>
    <row r="116">
      <c r="A116" s="54" t="inlineStr">
        <is>
          <t>Adeptus Mechanicus</t>
        </is>
      </c>
      <c r="B116" s="54" t="inlineStr">
        <is>
          <t>Sicarian Infiltrators</t>
        </is>
      </c>
      <c r="C116" s="54" t="inlineStr">
        <is>
          <t>10 models</t>
        </is>
      </c>
      <c r="D116" s="55" t="n">
        <v>140</v>
      </c>
      <c r="E116" s="55" t="inlineStr">
        <is>
          <t>Sicarian Infiltrators — 10 models (140 pts)</t>
        </is>
      </c>
      <c r="F116" s="55" t="n">
        <v>140</v>
      </c>
      <c r="G116" s="54" t="n">
        <v>4</v>
      </c>
      <c r="H116" s="54" t="inlineStr">
        <is>
          <t>Uploaded PDF: Munitorum Field Manual v2.3 / March 2025</t>
        </is>
      </c>
    </row>
    <row r="117">
      <c r="A117" s="54" t="inlineStr">
        <is>
          <t>Adeptus Mechanicus</t>
        </is>
      </c>
      <c r="B117" s="54" t="inlineStr">
        <is>
          <t>Sicarian Ruststalkers</t>
        </is>
      </c>
      <c r="C117" s="54" t="inlineStr">
        <is>
          <t>5 models</t>
        </is>
      </c>
      <c r="D117" s="55" t="n">
        <v>75</v>
      </c>
      <c r="E117" s="55" t="inlineStr">
        <is>
          <t>Sicarian Ruststalkers — 5 models (75 pts)</t>
        </is>
      </c>
      <c r="F117" s="55" t="n">
        <v>75</v>
      </c>
      <c r="G117" s="54" t="n">
        <v>4</v>
      </c>
      <c r="H117" s="54" t="inlineStr">
        <is>
          <t>Uploaded PDF: Munitorum Field Manual v2.3 / March 2025</t>
        </is>
      </c>
    </row>
    <row r="118">
      <c r="A118" s="54" t="inlineStr">
        <is>
          <t>Adeptus Mechanicus</t>
        </is>
      </c>
      <c r="B118" s="54" t="inlineStr">
        <is>
          <t>Sicarian Ruststalkers</t>
        </is>
      </c>
      <c r="C118" s="54" t="inlineStr">
        <is>
          <t>10 models</t>
        </is>
      </c>
      <c r="D118" s="55" t="n">
        <v>150</v>
      </c>
      <c r="E118" s="55" t="inlineStr">
        <is>
          <t>Sicarian Ruststalkers — 10 models (150 pts)</t>
        </is>
      </c>
      <c r="F118" s="55" t="n">
        <v>150</v>
      </c>
      <c r="G118" s="54" t="n">
        <v>4</v>
      </c>
      <c r="H118" s="54" t="inlineStr">
        <is>
          <t>Uploaded PDF: Munitorum Field Manual v2.3 / March 2025</t>
        </is>
      </c>
    </row>
    <row r="119">
      <c r="A119" s="54" t="inlineStr">
        <is>
          <t>Adeptus Mechanicus</t>
        </is>
      </c>
      <c r="B119" s="54" t="inlineStr">
        <is>
          <t>Skitarii Marshal</t>
        </is>
      </c>
      <c r="C119" s="54" t="inlineStr">
        <is>
          <t>1 model</t>
        </is>
      </c>
      <c r="D119" s="55" t="n">
        <v>35</v>
      </c>
      <c r="E119" s="55" t="inlineStr">
        <is>
          <t>Skitarii Marshal — 1 model (35 pts)</t>
        </is>
      </c>
      <c r="F119" s="55" t="n">
        <v>35</v>
      </c>
      <c r="G119" s="54" t="n">
        <v>4</v>
      </c>
      <c r="H119" s="54" t="inlineStr">
        <is>
          <t>Uploaded PDF: Munitorum Field Manual v2.3 / March 2025</t>
        </is>
      </c>
    </row>
    <row r="120">
      <c r="A120" s="54" t="inlineStr">
        <is>
          <t>Adeptus Mechanicus</t>
        </is>
      </c>
      <c r="B120" s="54" t="inlineStr">
        <is>
          <t>Skitarii Rangers</t>
        </is>
      </c>
      <c r="C120" s="54" t="inlineStr">
        <is>
          <t>10 models</t>
        </is>
      </c>
      <c r="D120" s="55" t="n">
        <v>85</v>
      </c>
      <c r="E120" s="55" t="inlineStr">
        <is>
          <t>Skitarii Rangers — 10 models (85 pts)</t>
        </is>
      </c>
      <c r="F120" s="55" t="n">
        <v>85</v>
      </c>
      <c r="G120" s="54" t="n">
        <v>4</v>
      </c>
      <c r="H120" s="54" t="inlineStr">
        <is>
          <t>Uploaded PDF: Munitorum Field Manual v2.3 / March 2025</t>
        </is>
      </c>
    </row>
    <row r="121">
      <c r="A121" s="54" t="inlineStr">
        <is>
          <t>Adeptus Mechanicus</t>
        </is>
      </c>
      <c r="B121" s="54" t="inlineStr">
        <is>
          <t>Skitarii Vanguard</t>
        </is>
      </c>
      <c r="C121" s="54" t="inlineStr">
        <is>
          <t>10 models</t>
        </is>
      </c>
      <c r="D121" s="55" t="n">
        <v>95</v>
      </c>
      <c r="E121" s="55" t="inlineStr">
        <is>
          <t>Skitarii Vanguard — 10 models (95 pts)</t>
        </is>
      </c>
      <c r="F121" s="55" t="n">
        <v>95</v>
      </c>
      <c r="G121" s="54" t="n">
        <v>4</v>
      </c>
      <c r="H121" s="54" t="inlineStr">
        <is>
          <t>Uploaded PDF: Munitorum Field Manual v2.3 / March 2025</t>
        </is>
      </c>
    </row>
    <row r="122">
      <c r="A122" s="54" t="inlineStr">
        <is>
          <t>Adeptus Mechanicus</t>
        </is>
      </c>
      <c r="B122" s="54" t="inlineStr">
        <is>
          <t>Skorpius Disintegrator</t>
        </is>
      </c>
      <c r="C122" s="54" t="inlineStr">
        <is>
          <t>1 model</t>
        </is>
      </c>
      <c r="D122" s="55" t="n">
        <v>175</v>
      </c>
      <c r="E122" s="55" t="inlineStr">
        <is>
          <t>Skorpius Disintegrator — 1 model (175 pts)</t>
        </is>
      </c>
      <c r="F122" s="55" t="n">
        <v>175</v>
      </c>
      <c r="G122" s="54" t="n">
        <v>4</v>
      </c>
      <c r="H122" s="54" t="inlineStr">
        <is>
          <t>Uploaded PDF: Munitorum Field Manual v2.3 / March 2025</t>
        </is>
      </c>
    </row>
    <row r="123">
      <c r="A123" s="54" t="inlineStr">
        <is>
          <t>Adeptus Mechanicus</t>
        </is>
      </c>
      <c r="B123" s="54" t="inlineStr">
        <is>
          <t>Skorpius Dunerider</t>
        </is>
      </c>
      <c r="C123" s="54" t="inlineStr">
        <is>
          <t>1 model</t>
        </is>
      </c>
      <c r="D123" s="55" t="n">
        <v>85</v>
      </c>
      <c r="E123" s="55" t="inlineStr">
        <is>
          <t>Skorpius Dunerider — 1 model (85 pts)</t>
        </is>
      </c>
      <c r="F123" s="55" t="n">
        <v>85</v>
      </c>
      <c r="G123" s="54" t="n">
        <v>4</v>
      </c>
      <c r="H123" s="54" t="inlineStr">
        <is>
          <t>Uploaded PDF: Munitorum Field Manual v2.3 / March 2025</t>
        </is>
      </c>
    </row>
    <row r="124">
      <c r="A124" s="54" t="inlineStr">
        <is>
          <t>Adeptus Mechanicus</t>
        </is>
      </c>
      <c r="B124" s="54" t="inlineStr">
        <is>
          <t>Sydonian Dragoons with Radium Jezzails</t>
        </is>
      </c>
      <c r="C124" s="54" t="inlineStr">
        <is>
          <t>1 model</t>
        </is>
      </c>
      <c r="D124" s="55" t="n">
        <v>55</v>
      </c>
      <c r="E124" s="55" t="inlineStr">
        <is>
          <t>Sydonian Dragoons with Radium Jezzails — 1 model (55 pts)</t>
        </is>
      </c>
      <c r="F124" s="55" t="n">
        <v>55</v>
      </c>
      <c r="G124" s="54" t="n">
        <v>4</v>
      </c>
      <c r="H124" s="54" t="inlineStr">
        <is>
          <t>Uploaded PDF: Munitorum Field Manual v2.3 / March 2025</t>
        </is>
      </c>
    </row>
    <row r="125">
      <c r="A125" s="54" t="inlineStr">
        <is>
          <t>Adeptus Mechanicus</t>
        </is>
      </c>
      <c r="B125" s="54" t="inlineStr">
        <is>
          <t>Sydonian Dragoons with Radium Jezzails</t>
        </is>
      </c>
      <c r="C125" s="54" t="inlineStr">
        <is>
          <t>2 models</t>
        </is>
      </c>
      <c r="D125" s="55" t="n">
        <v>100</v>
      </c>
      <c r="E125" s="55" t="inlineStr">
        <is>
          <t>Sydonian Dragoons with Radium Jezzails — 2 models (100 pts)</t>
        </is>
      </c>
      <c r="F125" s="55" t="n">
        <v>100</v>
      </c>
      <c r="G125" s="54" t="n">
        <v>4</v>
      </c>
      <c r="H125" s="54" t="inlineStr">
        <is>
          <t>Uploaded PDF: Munitorum Field Manual v2.3 / March 2025</t>
        </is>
      </c>
    </row>
    <row r="126">
      <c r="A126" s="54" t="inlineStr">
        <is>
          <t>Adeptus Mechanicus</t>
        </is>
      </c>
      <c r="B126" s="54" t="inlineStr">
        <is>
          <t>Sydonian Dragoons with Radium Jezzails</t>
        </is>
      </c>
      <c r="C126" s="54" t="inlineStr">
        <is>
          <t>3 models</t>
        </is>
      </c>
      <c r="D126" s="55" t="n">
        <v>150</v>
      </c>
      <c r="E126" s="55" t="inlineStr">
        <is>
          <t>Sydonian Dragoons with Radium Jezzails — 3 models (150 pts)</t>
        </is>
      </c>
      <c r="F126" s="55" t="n">
        <v>150</v>
      </c>
      <c r="G126" s="54" t="n">
        <v>4</v>
      </c>
      <c r="H126" s="54" t="inlineStr">
        <is>
          <t>Uploaded PDF: Munitorum Field Manual v2.3 / March 2025</t>
        </is>
      </c>
    </row>
    <row r="127">
      <c r="A127" s="54" t="inlineStr">
        <is>
          <t>Adeptus Mechanicus</t>
        </is>
      </c>
      <c r="B127" s="54" t="inlineStr">
        <is>
          <t>Sydonian Dragoons with Taser Lances</t>
        </is>
      </c>
      <c r="C127" s="54" t="inlineStr">
        <is>
          <t>1 model</t>
        </is>
      </c>
      <c r="D127" s="55" t="n">
        <v>70</v>
      </c>
      <c r="E127" s="55" t="inlineStr">
        <is>
          <t>Sydonian Dragoons with Taser Lances — 1 model (70 pts)</t>
        </is>
      </c>
      <c r="F127" s="55" t="n">
        <v>70</v>
      </c>
      <c r="G127" s="54" t="n">
        <v>4</v>
      </c>
      <c r="H127" s="54" t="inlineStr">
        <is>
          <t>Uploaded PDF: Munitorum Field Manual v2.3 / March 2025</t>
        </is>
      </c>
    </row>
    <row r="128">
      <c r="A128" s="54" t="inlineStr">
        <is>
          <t>Adeptus Mechanicus</t>
        </is>
      </c>
      <c r="B128" s="54" t="inlineStr">
        <is>
          <t>Sydonian Dragoons with Taser Lances</t>
        </is>
      </c>
      <c r="C128" s="54" t="inlineStr">
        <is>
          <t>2 models</t>
        </is>
      </c>
      <c r="D128" s="55" t="n">
        <v>140</v>
      </c>
      <c r="E128" s="55" t="inlineStr">
        <is>
          <t>Sydonian Dragoons with Taser Lances — 2 models (140 pts)</t>
        </is>
      </c>
      <c r="F128" s="55" t="n">
        <v>140</v>
      </c>
      <c r="G128" s="54" t="n">
        <v>4</v>
      </c>
      <c r="H128" s="54" t="inlineStr">
        <is>
          <t>Uploaded PDF: Munitorum Field Manual v2.3 / March 2025</t>
        </is>
      </c>
    </row>
    <row r="129">
      <c r="A129" s="54" t="inlineStr">
        <is>
          <t>Adeptus Mechanicus</t>
        </is>
      </c>
      <c r="B129" s="54" t="inlineStr">
        <is>
          <t>Sydonian Dragoons with Taser Lances</t>
        </is>
      </c>
      <c r="C129" s="54" t="inlineStr">
        <is>
          <t>3 models</t>
        </is>
      </c>
      <c r="D129" s="55" t="n">
        <v>210</v>
      </c>
      <c r="E129" s="55" t="inlineStr">
        <is>
          <t>Sydonian Dragoons with Taser Lances — 3 models (210 pts)</t>
        </is>
      </c>
      <c r="F129" s="55" t="n">
        <v>210</v>
      </c>
      <c r="G129" s="54" t="n">
        <v>4</v>
      </c>
      <c r="H129" s="54" t="inlineStr">
        <is>
          <t>Uploaded PDF: Munitorum Field Manual v2.3 / March 2025</t>
        </is>
      </c>
    </row>
    <row r="130">
      <c r="A130" s="54" t="inlineStr">
        <is>
          <t>Adeptus Mechanicus</t>
        </is>
      </c>
      <c r="B130" s="54" t="inlineStr">
        <is>
          <t>Sydonian Skatros</t>
        </is>
      </c>
      <c r="C130" s="54" t="inlineStr">
        <is>
          <t>1 model</t>
        </is>
      </c>
      <c r="D130" s="55" t="n">
        <v>50</v>
      </c>
      <c r="E130" s="55" t="inlineStr">
        <is>
          <t>Sydonian Skatros — 1 model (50 pts)</t>
        </is>
      </c>
      <c r="F130" s="55" t="n">
        <v>50</v>
      </c>
      <c r="G130" s="54" t="n">
        <v>4</v>
      </c>
      <c r="H130" s="54" t="inlineStr">
        <is>
          <t>Uploaded PDF: Munitorum Field Manual v2.3 / March 2025</t>
        </is>
      </c>
    </row>
    <row r="131">
      <c r="A131" s="54" t="inlineStr">
        <is>
          <t>Adeptus Mechanicus</t>
        </is>
      </c>
      <c r="B131" s="54" t="inlineStr">
        <is>
          <t>Tech-Priest Dominus</t>
        </is>
      </c>
      <c r="C131" s="54" t="inlineStr">
        <is>
          <t>1 model</t>
        </is>
      </c>
      <c r="D131" s="55" t="n">
        <v>65</v>
      </c>
      <c r="E131" s="55" t="inlineStr">
        <is>
          <t>Tech-Priest Dominus — 1 model (65 pts)</t>
        </is>
      </c>
      <c r="F131" s="55" t="n">
        <v>65</v>
      </c>
      <c r="G131" s="54" t="n">
        <v>4</v>
      </c>
      <c r="H131" s="54" t="inlineStr">
        <is>
          <t>Uploaded PDF: Munitorum Field Manual v2.3 / March 2025</t>
        </is>
      </c>
    </row>
    <row r="132">
      <c r="A132" s="54" t="inlineStr">
        <is>
          <t>Adeptus Mechanicus</t>
        </is>
      </c>
      <c r="B132" s="54" t="inlineStr">
        <is>
          <t>Tech-Priest Enginseer</t>
        </is>
      </c>
      <c r="C132" s="54" t="inlineStr">
        <is>
          <t>1 model</t>
        </is>
      </c>
      <c r="D132" s="55" t="n">
        <v>55</v>
      </c>
      <c r="E132" s="55" t="inlineStr">
        <is>
          <t>Tech-Priest Enginseer — 1 model (55 pts)</t>
        </is>
      </c>
      <c r="F132" s="55" t="n">
        <v>55</v>
      </c>
      <c r="G132" s="54" t="n">
        <v>4</v>
      </c>
      <c r="H132" s="54" t="inlineStr">
        <is>
          <t>Uploaded PDF: Munitorum Field Manual v2.3 / March 2025</t>
        </is>
      </c>
    </row>
    <row r="133">
      <c r="A133" s="54" t="inlineStr">
        <is>
          <t>Adeptus Mechanicus</t>
        </is>
      </c>
      <c r="B133" s="54" t="inlineStr">
        <is>
          <t>Tech-Priest Manipulus</t>
        </is>
      </c>
      <c r="C133" s="54" t="inlineStr">
        <is>
          <t>1 model</t>
        </is>
      </c>
      <c r="D133" s="55" t="n">
        <v>60</v>
      </c>
      <c r="E133" s="55" t="inlineStr">
        <is>
          <t>Tech-Priest Manipulus — 1 model (60 pts)</t>
        </is>
      </c>
      <c r="F133" s="55" t="n">
        <v>60</v>
      </c>
      <c r="G133" s="54" t="n">
        <v>4</v>
      </c>
      <c r="H133" s="54" t="inlineStr">
        <is>
          <t>Uploaded PDF: Munitorum Field Manual v2.3 / March 2025</t>
        </is>
      </c>
    </row>
    <row r="134">
      <c r="A134" s="54" t="inlineStr">
        <is>
          <t>Adeptus Mechanicus</t>
        </is>
      </c>
      <c r="B134" s="54" t="inlineStr">
        <is>
          <t>Technoarcheologist</t>
        </is>
      </c>
      <c r="C134" s="54" t="inlineStr">
        <is>
          <t>1 model</t>
        </is>
      </c>
      <c r="D134" s="55" t="n">
        <v>45</v>
      </c>
      <c r="E134" s="55" t="inlineStr">
        <is>
          <t>Technoarcheologist — 1 model (45 pts)</t>
        </is>
      </c>
      <c r="F134" s="55" t="n">
        <v>45</v>
      </c>
      <c r="G134" s="54" t="n">
        <v>4</v>
      </c>
      <c r="H134" s="54" t="inlineStr">
        <is>
          <t>Uploaded PDF: Munitorum Field Manual v2.3 / March 2025</t>
        </is>
      </c>
    </row>
    <row r="135">
      <c r="A135" s="54" t="inlineStr">
        <is>
          <t>Adeptus Titanicus</t>
        </is>
      </c>
      <c r="B135" s="54" t="inlineStr">
        <is>
          <t>Reaver Titan</t>
        </is>
      </c>
      <c r="C135" s="54" t="inlineStr">
        <is>
          <t>1 model</t>
        </is>
      </c>
      <c r="D135" s="55" t="n">
        <v>2200</v>
      </c>
      <c r="E135" s="55" t="inlineStr">
        <is>
          <t>Reaver Titan — 1 model (2200 pts)</t>
        </is>
      </c>
      <c r="F135" s="55" t="n">
        <v>2200</v>
      </c>
      <c r="G135" s="54" t="n">
        <v>5</v>
      </c>
      <c r="H135" s="54" t="inlineStr">
        <is>
          <t>Uploaded PDF: Munitorum Field Manual v2.3 / March 2025</t>
        </is>
      </c>
    </row>
    <row r="136">
      <c r="A136" s="54" t="inlineStr">
        <is>
          <t>Adeptus Titanicus</t>
        </is>
      </c>
      <c r="B136" s="54" t="inlineStr">
        <is>
          <t>Warbringer Nemesis Titan</t>
        </is>
      </c>
      <c r="C136" s="54" t="inlineStr">
        <is>
          <t>1 model</t>
        </is>
      </c>
      <c r="D136" s="55" t="n">
        <v>2600</v>
      </c>
      <c r="E136" s="55" t="inlineStr">
        <is>
          <t>Warbringer Nemesis Titan — 1 model (2600 pts)</t>
        </is>
      </c>
      <c r="F136" s="55" t="n">
        <v>2600</v>
      </c>
      <c r="G136" s="54" t="n">
        <v>5</v>
      </c>
      <c r="H136" s="54" t="inlineStr">
        <is>
          <t>Uploaded PDF: Munitorum Field Manual v2.3 / March 2025</t>
        </is>
      </c>
    </row>
    <row r="137">
      <c r="A137" s="54" t="inlineStr">
        <is>
          <t>Adeptus Titanicus</t>
        </is>
      </c>
      <c r="B137" s="54" t="inlineStr">
        <is>
          <t>Warhound Titan</t>
        </is>
      </c>
      <c r="C137" s="54" t="inlineStr">
        <is>
          <t>1 model</t>
        </is>
      </c>
      <c r="D137" s="55" t="n">
        <v>1100</v>
      </c>
      <c r="E137" s="55" t="inlineStr">
        <is>
          <t>Warhound Titan — 1 model (1100 pts)</t>
        </is>
      </c>
      <c r="F137" s="55" t="n">
        <v>1100</v>
      </c>
      <c r="G137" s="54" t="n">
        <v>5</v>
      </c>
      <c r="H137" s="54" t="inlineStr">
        <is>
          <t>Uploaded PDF: Munitorum Field Manual v2.3 / March 2025</t>
        </is>
      </c>
    </row>
    <row r="138">
      <c r="A138" s="54" t="inlineStr">
        <is>
          <t>Adeptus Titanicus</t>
        </is>
      </c>
      <c r="B138" s="54" t="inlineStr">
        <is>
          <t>Warlord Titan</t>
        </is>
      </c>
      <c r="C138" s="54" t="inlineStr">
        <is>
          <t>1 model</t>
        </is>
      </c>
      <c r="D138" s="55" t="n">
        <v>3500</v>
      </c>
      <c r="E138" s="55" t="inlineStr">
        <is>
          <t>Warlord Titan — 1 model (3500 pts)</t>
        </is>
      </c>
      <c r="F138" s="55" t="n">
        <v>3500</v>
      </c>
      <c r="G138" s="54" t="n">
        <v>5</v>
      </c>
      <c r="H138" s="54" t="inlineStr">
        <is>
          <t>Uploaded PDF: Munitorum Field Manual v2.3 / March 2025</t>
        </is>
      </c>
    </row>
    <row r="139">
      <c r="A139" s="54" t="inlineStr">
        <is>
          <t>Aeldari</t>
        </is>
      </c>
      <c r="B139" s="54" t="inlineStr">
        <is>
          <t>Asurmen</t>
        </is>
      </c>
      <c r="C139" s="54" t="inlineStr">
        <is>
          <t>1 model</t>
        </is>
      </c>
      <c r="D139" s="55" t="n">
        <v>135</v>
      </c>
      <c r="E139" s="55" t="inlineStr">
        <is>
          <t>Asurmen — 1 model (135 pts)</t>
        </is>
      </c>
      <c r="F139" s="55" t="n">
        <v>135</v>
      </c>
      <c r="G139" s="54" t="n">
        <v>6</v>
      </c>
      <c r="H139" s="54" t="inlineStr">
        <is>
          <t>Uploaded PDF: Munitorum Field Manual v2.3 / March 2025</t>
        </is>
      </c>
    </row>
    <row r="140">
      <c r="A140" s="54" t="inlineStr">
        <is>
          <t>Aeldari</t>
        </is>
      </c>
      <c r="B140" s="54" t="inlineStr">
        <is>
          <t>Autarch</t>
        </is>
      </c>
      <c r="C140" s="54" t="inlineStr">
        <is>
          <t>1 model</t>
        </is>
      </c>
      <c r="D140" s="55" t="n">
        <v>75</v>
      </c>
      <c r="E140" s="55" t="inlineStr">
        <is>
          <t>Autarch — 1 model (75 pts)</t>
        </is>
      </c>
      <c r="F140" s="55" t="n">
        <v>75</v>
      </c>
      <c r="G140" s="54" t="n">
        <v>6</v>
      </c>
      <c r="H140" s="54" t="inlineStr">
        <is>
          <t>Uploaded PDF: Munitorum Field Manual v2.3 / March 2025</t>
        </is>
      </c>
    </row>
    <row r="141">
      <c r="A141" s="54" t="inlineStr">
        <is>
          <t>Aeldari</t>
        </is>
      </c>
      <c r="B141" s="54" t="inlineStr">
        <is>
          <t>Autarch Wayleaper</t>
        </is>
      </c>
      <c r="C141" s="54" t="inlineStr">
        <is>
          <t>1 model</t>
        </is>
      </c>
      <c r="D141" s="55" t="n">
        <v>80</v>
      </c>
      <c r="E141" s="55" t="inlineStr">
        <is>
          <t>Autarch Wayleaper — 1 model (80 pts)</t>
        </is>
      </c>
      <c r="F141" s="55" t="n">
        <v>80</v>
      </c>
      <c r="G141" s="54" t="n">
        <v>6</v>
      </c>
      <c r="H141" s="54" t="inlineStr">
        <is>
          <t>Uploaded PDF: Munitorum Field Manual v2.3 / March 2025</t>
        </is>
      </c>
    </row>
    <row r="142">
      <c r="A142" s="54" t="inlineStr">
        <is>
          <t>Aeldari</t>
        </is>
      </c>
      <c r="B142" s="54" t="inlineStr">
        <is>
          <t>Avatar of Khaine</t>
        </is>
      </c>
      <c r="C142" s="54" t="inlineStr">
        <is>
          <t>1 model</t>
        </is>
      </c>
      <c r="D142" s="55" t="n">
        <v>300</v>
      </c>
      <c r="E142" s="55" t="inlineStr">
        <is>
          <t>Avatar of Khaine — 1 model (300 pts)</t>
        </is>
      </c>
      <c r="F142" s="55" t="n">
        <v>300</v>
      </c>
      <c r="G142" s="54" t="n">
        <v>6</v>
      </c>
      <c r="H142" s="54" t="inlineStr">
        <is>
          <t>Uploaded PDF: Munitorum Field Manual v2.3 / March 2025</t>
        </is>
      </c>
    </row>
    <row r="143">
      <c r="A143" s="54" t="inlineStr">
        <is>
          <t>Aeldari</t>
        </is>
      </c>
      <c r="B143" s="54" t="inlineStr">
        <is>
          <t>Baharroth</t>
        </is>
      </c>
      <c r="C143" s="54" t="inlineStr">
        <is>
          <t>1 model</t>
        </is>
      </c>
      <c r="D143" s="55" t="n">
        <v>115</v>
      </c>
      <c r="E143" s="55" t="inlineStr">
        <is>
          <t>Baharroth — 1 model (115 pts)</t>
        </is>
      </c>
      <c r="F143" s="55" t="n">
        <v>115</v>
      </c>
      <c r="G143" s="54" t="n">
        <v>6</v>
      </c>
      <c r="H143" s="54" t="inlineStr">
        <is>
          <t>Uploaded PDF: Munitorum Field Manual v2.3 / March 2025</t>
        </is>
      </c>
    </row>
    <row r="144">
      <c r="A144" s="54" t="inlineStr">
        <is>
          <t>Aeldari</t>
        </is>
      </c>
      <c r="B144" s="54" t="inlineStr">
        <is>
          <t>Corsair Voidreavers</t>
        </is>
      </c>
      <c r="C144" s="54" t="inlineStr">
        <is>
          <t>5 models</t>
        </is>
      </c>
      <c r="D144" s="55" t="n">
        <v>60</v>
      </c>
      <c r="E144" s="55" t="inlineStr">
        <is>
          <t>Corsair Voidreavers — 5 models (60 pts)</t>
        </is>
      </c>
      <c r="F144" s="55" t="n">
        <v>60</v>
      </c>
      <c r="G144" s="54" t="n">
        <v>6</v>
      </c>
      <c r="H144" s="54" t="inlineStr">
        <is>
          <t>Uploaded PDF: Munitorum Field Manual v2.3 / March 2025</t>
        </is>
      </c>
    </row>
    <row r="145">
      <c r="A145" s="54" t="inlineStr">
        <is>
          <t>Aeldari</t>
        </is>
      </c>
      <c r="B145" s="54" t="inlineStr">
        <is>
          <t>Corsair Voidreavers</t>
        </is>
      </c>
      <c r="C145" s="54" t="inlineStr">
        <is>
          <t>10 models</t>
        </is>
      </c>
      <c r="D145" s="55" t="n">
        <v>120</v>
      </c>
      <c r="E145" s="55" t="inlineStr">
        <is>
          <t>Corsair Voidreavers — 10 models (120 pts)</t>
        </is>
      </c>
      <c r="F145" s="55" t="n">
        <v>120</v>
      </c>
      <c r="G145" s="54" t="n">
        <v>6</v>
      </c>
      <c r="H145" s="54" t="inlineStr">
        <is>
          <t>Uploaded PDF: Munitorum Field Manual v2.3 / March 2025</t>
        </is>
      </c>
    </row>
    <row r="146">
      <c r="A146" s="54" t="inlineStr">
        <is>
          <t>Aeldari</t>
        </is>
      </c>
      <c r="B146" s="54" t="inlineStr">
        <is>
          <t>Corsair Voidscarred</t>
        </is>
      </c>
      <c r="C146" s="54" t="inlineStr">
        <is>
          <t>5 models</t>
        </is>
      </c>
      <c r="D146" s="55" t="n">
        <v>80</v>
      </c>
      <c r="E146" s="55" t="inlineStr">
        <is>
          <t>Corsair Voidscarred — 5 models (80 pts)</t>
        </is>
      </c>
      <c r="F146" s="55" t="n">
        <v>80</v>
      </c>
      <c r="G146" s="54" t="n">
        <v>6</v>
      </c>
      <c r="H146" s="54" t="inlineStr">
        <is>
          <t>Uploaded PDF: Munitorum Field Manual v2.3 / March 2025</t>
        </is>
      </c>
    </row>
    <row r="147">
      <c r="A147" s="54" t="inlineStr">
        <is>
          <t>Aeldari</t>
        </is>
      </c>
      <c r="B147" s="54" t="inlineStr">
        <is>
          <t>Corsair Voidscarred</t>
        </is>
      </c>
      <c r="C147" s="54" t="inlineStr">
        <is>
          <t>10 models</t>
        </is>
      </c>
      <c r="D147" s="55" t="n">
        <v>160</v>
      </c>
      <c r="E147" s="55" t="inlineStr">
        <is>
          <t>Corsair Voidscarred — 10 models (160 pts)</t>
        </is>
      </c>
      <c r="F147" s="55" t="n">
        <v>160</v>
      </c>
      <c r="G147" s="54" t="n">
        <v>6</v>
      </c>
      <c r="H147" s="54" t="inlineStr">
        <is>
          <t>Uploaded PDF: Munitorum Field Manual v2.3 / March 2025</t>
        </is>
      </c>
    </row>
    <row r="148">
      <c r="A148" s="54" t="inlineStr">
        <is>
          <t>Aeldari</t>
        </is>
      </c>
      <c r="B148" s="54" t="inlineStr">
        <is>
          <t>Crimson Hunter</t>
        </is>
      </c>
      <c r="C148" s="54" t="inlineStr">
        <is>
          <t>1 model</t>
        </is>
      </c>
      <c r="D148" s="55" t="n">
        <v>160</v>
      </c>
      <c r="E148" s="55" t="inlineStr">
        <is>
          <t>Crimson Hunter — 1 model (160 pts)</t>
        </is>
      </c>
      <c r="F148" s="55" t="n">
        <v>160</v>
      </c>
      <c r="G148" s="54" t="n">
        <v>6</v>
      </c>
      <c r="H148" s="54" t="inlineStr">
        <is>
          <t>Uploaded PDF: Munitorum Field Manual v2.3 / March 2025</t>
        </is>
      </c>
    </row>
    <row r="149">
      <c r="A149" s="54" t="inlineStr">
        <is>
          <t>Aeldari</t>
        </is>
      </c>
      <c r="B149" s="54" t="inlineStr">
        <is>
          <t>D-cannon Platform</t>
        </is>
      </c>
      <c r="C149" s="54" t="inlineStr">
        <is>
          <t>1 model</t>
        </is>
      </c>
      <c r="D149" s="55" t="n">
        <v>125</v>
      </c>
      <c r="E149" s="55" t="inlineStr">
        <is>
          <t>D-cannon Platform — 1 model (125 pts)</t>
        </is>
      </c>
      <c r="F149" s="55" t="n">
        <v>125</v>
      </c>
      <c r="G149" s="54" t="n">
        <v>6</v>
      </c>
      <c r="H149" s="54" t="inlineStr">
        <is>
          <t>Uploaded PDF: Munitorum Field Manual v2.3 / March 2025</t>
        </is>
      </c>
    </row>
    <row r="150">
      <c r="A150" s="54" t="inlineStr">
        <is>
          <t>Aeldari</t>
        </is>
      </c>
      <c r="B150" s="54" t="inlineStr">
        <is>
          <t>Dark Reapers</t>
        </is>
      </c>
      <c r="C150" s="54" t="inlineStr">
        <is>
          <t>5 models</t>
        </is>
      </c>
      <c r="D150" s="55" t="n">
        <v>90</v>
      </c>
      <c r="E150" s="55" t="inlineStr">
        <is>
          <t>Dark Reapers — 5 models (90 pts)</t>
        </is>
      </c>
      <c r="F150" s="55" t="n">
        <v>90</v>
      </c>
      <c r="G150" s="54" t="n">
        <v>6</v>
      </c>
      <c r="H150" s="54" t="inlineStr">
        <is>
          <t>Uploaded PDF: Munitorum Field Manual v2.3 / March 2025</t>
        </is>
      </c>
    </row>
    <row r="151">
      <c r="A151" s="54" t="inlineStr">
        <is>
          <t>Aeldari</t>
        </is>
      </c>
      <c r="B151" s="54" t="inlineStr">
        <is>
          <t>Dark Reapers</t>
        </is>
      </c>
      <c r="C151" s="54" t="inlineStr">
        <is>
          <t>10 models</t>
        </is>
      </c>
      <c r="D151" s="55" t="n">
        <v>195</v>
      </c>
      <c r="E151" s="55" t="inlineStr">
        <is>
          <t>Dark Reapers — 10 models (195 pts)</t>
        </is>
      </c>
      <c r="F151" s="55" t="n">
        <v>195</v>
      </c>
      <c r="G151" s="54" t="n">
        <v>6</v>
      </c>
      <c r="H151" s="54" t="inlineStr">
        <is>
          <t>Uploaded PDF: Munitorum Field Manual v2.3 / March 2025</t>
        </is>
      </c>
    </row>
    <row r="152">
      <c r="A152" s="54" t="inlineStr">
        <is>
          <t>Aeldari</t>
        </is>
      </c>
      <c r="B152" s="54" t="inlineStr">
        <is>
          <t>Death Jester</t>
        </is>
      </c>
      <c r="C152" s="54" t="inlineStr">
        <is>
          <t>1 model</t>
        </is>
      </c>
      <c r="D152" s="55" t="n">
        <v>90</v>
      </c>
      <c r="E152" s="55" t="inlineStr">
        <is>
          <t>Death Jester — 1 model (90 pts)</t>
        </is>
      </c>
      <c r="F152" s="55" t="n">
        <v>90</v>
      </c>
      <c r="G152" s="54" t="n">
        <v>6</v>
      </c>
      <c r="H152" s="54" t="inlineStr">
        <is>
          <t>Uploaded PDF: Munitorum Field Manual v2.3 / March 2025</t>
        </is>
      </c>
    </row>
    <row r="153">
      <c r="A153" s="54" t="inlineStr">
        <is>
          <t>Aeldari</t>
        </is>
      </c>
      <c r="B153" s="54" t="inlineStr">
        <is>
          <t>Dire Avengers</t>
        </is>
      </c>
      <c r="C153" s="54" t="inlineStr">
        <is>
          <t>5 models</t>
        </is>
      </c>
      <c r="D153" s="55" t="n">
        <v>80</v>
      </c>
      <c r="E153" s="55" t="inlineStr">
        <is>
          <t>Dire Avengers — 5 models (80 pts)</t>
        </is>
      </c>
      <c r="F153" s="55" t="n">
        <v>80</v>
      </c>
      <c r="G153" s="54" t="n">
        <v>6</v>
      </c>
      <c r="H153" s="54" t="inlineStr">
        <is>
          <t>Uploaded PDF: Munitorum Field Manual v2.3 / March 2025</t>
        </is>
      </c>
    </row>
    <row r="154">
      <c r="A154" s="54" t="inlineStr">
        <is>
          <t>Aeldari</t>
        </is>
      </c>
      <c r="B154" s="54" t="inlineStr">
        <is>
          <t>Dire Avengers</t>
        </is>
      </c>
      <c r="C154" s="54" t="inlineStr">
        <is>
          <t>10 models</t>
        </is>
      </c>
      <c r="D154" s="55" t="n">
        <v>160</v>
      </c>
      <c r="E154" s="55" t="inlineStr">
        <is>
          <t>Dire Avengers — 10 models (160 pts)</t>
        </is>
      </c>
      <c r="F154" s="55" t="n">
        <v>160</v>
      </c>
      <c r="G154" s="54" t="n">
        <v>6</v>
      </c>
      <c r="H154" s="54" t="inlineStr">
        <is>
          <t>Uploaded PDF: Munitorum Field Manual v2.3 / March 2025</t>
        </is>
      </c>
    </row>
    <row r="155">
      <c r="A155" s="54" t="inlineStr">
        <is>
          <t>Aeldari</t>
        </is>
      </c>
      <c r="B155" s="54" t="inlineStr">
        <is>
          <t>Eldrad Ulthran</t>
        </is>
      </c>
      <c r="C155" s="54" t="inlineStr">
        <is>
          <t>1 model</t>
        </is>
      </c>
      <c r="D155" s="55" t="n">
        <v>110</v>
      </c>
      <c r="E155" s="55" t="inlineStr">
        <is>
          <t>Eldrad Ulthran — 1 model (110 pts)</t>
        </is>
      </c>
      <c r="F155" s="55" t="n">
        <v>110</v>
      </c>
      <c r="G155" s="54" t="n">
        <v>6</v>
      </c>
      <c r="H155" s="54" t="inlineStr">
        <is>
          <t>Uploaded PDF: Munitorum Field Manual v2.3 / March 2025</t>
        </is>
      </c>
    </row>
    <row r="156">
      <c r="A156" s="54" t="inlineStr">
        <is>
          <t>Aeldari</t>
        </is>
      </c>
      <c r="B156" s="54" t="inlineStr">
        <is>
          <t>Falcon</t>
        </is>
      </c>
      <c r="C156" s="54" t="inlineStr">
        <is>
          <t>1 model</t>
        </is>
      </c>
      <c r="D156" s="55" t="n">
        <v>130</v>
      </c>
      <c r="E156" s="55" t="inlineStr">
        <is>
          <t>Falcon — 1 model (130 pts)</t>
        </is>
      </c>
      <c r="F156" s="55" t="n">
        <v>130</v>
      </c>
      <c r="G156" s="54" t="n">
        <v>6</v>
      </c>
      <c r="H156" s="54" t="inlineStr">
        <is>
          <t>Uploaded PDF: Munitorum Field Manual v2.3 / March 2025</t>
        </is>
      </c>
    </row>
    <row r="157">
      <c r="A157" s="54" t="inlineStr">
        <is>
          <t>Aeldari</t>
        </is>
      </c>
      <c r="B157" s="54" t="inlineStr">
        <is>
          <t>Farseer</t>
        </is>
      </c>
      <c r="C157" s="54" t="inlineStr">
        <is>
          <t>1 model</t>
        </is>
      </c>
      <c r="D157" s="55" t="n">
        <v>70</v>
      </c>
      <c r="E157" s="55" t="inlineStr">
        <is>
          <t>Farseer — 1 model (70 pts)</t>
        </is>
      </c>
      <c r="F157" s="55" t="n">
        <v>70</v>
      </c>
      <c r="G157" s="54" t="n">
        <v>6</v>
      </c>
      <c r="H157" s="54" t="inlineStr">
        <is>
          <t>Uploaded PDF: Munitorum Field Manual v2.3 / March 2025</t>
        </is>
      </c>
    </row>
    <row r="158">
      <c r="A158" s="54" t="inlineStr">
        <is>
          <t>Aeldari</t>
        </is>
      </c>
      <c r="B158" s="54" t="inlineStr">
        <is>
          <t>Farseer Skyrunner</t>
        </is>
      </c>
      <c r="C158" s="54" t="inlineStr">
        <is>
          <t>1 model</t>
        </is>
      </c>
      <c r="D158" s="55" t="n">
        <v>80</v>
      </c>
      <c r="E158" s="55" t="inlineStr">
        <is>
          <t>Farseer Skyrunner — 1 model (80 pts)</t>
        </is>
      </c>
      <c r="F158" s="55" t="n">
        <v>80</v>
      </c>
      <c r="G158" s="54" t="n">
        <v>6</v>
      </c>
      <c r="H158" s="54" t="inlineStr">
        <is>
          <t>Uploaded PDF: Munitorum Field Manual v2.3 / March 2025</t>
        </is>
      </c>
    </row>
    <row r="159">
      <c r="A159" s="54" t="inlineStr">
        <is>
          <t>Aeldari</t>
        </is>
      </c>
      <c r="B159" s="54" t="inlineStr">
        <is>
          <t>Fire Dragons</t>
        </is>
      </c>
      <c r="C159" s="54" t="inlineStr">
        <is>
          <t>5 models</t>
        </is>
      </c>
      <c r="D159" s="55" t="n">
        <v>110</v>
      </c>
      <c r="E159" s="55" t="inlineStr">
        <is>
          <t>Fire Dragons — 5 models (110 pts)</t>
        </is>
      </c>
      <c r="F159" s="55" t="n">
        <v>110</v>
      </c>
      <c r="G159" s="54" t="n">
        <v>6</v>
      </c>
      <c r="H159" s="54" t="inlineStr">
        <is>
          <t>Uploaded PDF: Munitorum Field Manual v2.3 / March 2025</t>
        </is>
      </c>
    </row>
    <row r="160">
      <c r="A160" s="54" t="inlineStr">
        <is>
          <t>Aeldari</t>
        </is>
      </c>
      <c r="B160" s="54" t="inlineStr">
        <is>
          <t>Fire Dragons</t>
        </is>
      </c>
      <c r="C160" s="54" t="inlineStr">
        <is>
          <t>10 models</t>
        </is>
      </c>
      <c r="D160" s="55" t="n">
        <v>220</v>
      </c>
      <c r="E160" s="55" t="inlineStr">
        <is>
          <t>Fire Dragons — 10 models (220 pts)</t>
        </is>
      </c>
      <c r="F160" s="55" t="n">
        <v>220</v>
      </c>
      <c r="G160" s="54" t="n">
        <v>6</v>
      </c>
      <c r="H160" s="54" t="inlineStr">
        <is>
          <t>Uploaded PDF: Munitorum Field Manual v2.3 / March 2025</t>
        </is>
      </c>
    </row>
    <row r="161">
      <c r="A161" s="54" t="inlineStr">
        <is>
          <t>Aeldari</t>
        </is>
      </c>
      <c r="B161" s="54" t="inlineStr">
        <is>
          <t>Fire Prism</t>
        </is>
      </c>
      <c r="C161" s="54" t="inlineStr">
        <is>
          <t>1 model</t>
        </is>
      </c>
      <c r="D161" s="55" t="n">
        <v>160</v>
      </c>
      <c r="E161" s="55" t="inlineStr">
        <is>
          <t>Fire Prism — 1 model (160 pts)</t>
        </is>
      </c>
      <c r="F161" s="55" t="n">
        <v>160</v>
      </c>
      <c r="G161" s="54" t="n">
        <v>6</v>
      </c>
      <c r="H161" s="54" t="inlineStr">
        <is>
          <t>Uploaded PDF: Munitorum Field Manual v2.3 / March 2025</t>
        </is>
      </c>
    </row>
    <row r="162">
      <c r="A162" s="54" t="inlineStr">
        <is>
          <t>Aeldari</t>
        </is>
      </c>
      <c r="B162" s="54" t="inlineStr">
        <is>
          <t>Fuegan</t>
        </is>
      </c>
      <c r="C162" s="54" t="inlineStr">
        <is>
          <t>1 model</t>
        </is>
      </c>
      <c r="D162" s="55" t="n">
        <v>120</v>
      </c>
      <c r="E162" s="55" t="inlineStr">
        <is>
          <t>Fuegan — 1 model (120 pts)</t>
        </is>
      </c>
      <c r="F162" s="55" t="n">
        <v>120</v>
      </c>
      <c r="G162" s="54" t="n">
        <v>6</v>
      </c>
      <c r="H162" s="54" t="inlineStr">
        <is>
          <t>Uploaded PDF: Munitorum Field Manual v2.3 / March 2025</t>
        </is>
      </c>
    </row>
    <row r="163">
      <c r="A163" s="54" t="inlineStr">
        <is>
          <t>Aeldari</t>
        </is>
      </c>
      <c r="B163" s="54" t="inlineStr">
        <is>
          <t>Guardian Defenders</t>
        </is>
      </c>
      <c r="C163" s="54" t="inlineStr">
        <is>
          <t>11 models</t>
        </is>
      </c>
      <c r="D163" s="55" t="n">
        <v>100</v>
      </c>
      <c r="E163" s="55" t="inlineStr">
        <is>
          <t>Guardian Defenders — 11 models (100 pts)</t>
        </is>
      </c>
      <c r="F163" s="55" t="n">
        <v>100</v>
      </c>
      <c r="G163" s="54" t="n">
        <v>6</v>
      </c>
      <c r="H163" s="54" t="inlineStr">
        <is>
          <t>Uploaded PDF: Munitorum Field Manual v2.3 / March 2025</t>
        </is>
      </c>
    </row>
    <row r="164">
      <c r="A164" s="54" t="inlineStr">
        <is>
          <t>Aeldari</t>
        </is>
      </c>
      <c r="B164" s="54" t="inlineStr">
        <is>
          <t>Hemlock Wraithfighter</t>
        </is>
      </c>
      <c r="C164" s="54" t="inlineStr">
        <is>
          <t>1 model</t>
        </is>
      </c>
      <c r="D164" s="55" t="n">
        <v>155</v>
      </c>
      <c r="E164" s="55" t="inlineStr">
        <is>
          <t>Hemlock Wraithfighter — 1 model (155 pts)</t>
        </is>
      </c>
      <c r="F164" s="55" t="n">
        <v>155</v>
      </c>
      <c r="G164" s="54" t="n">
        <v>6</v>
      </c>
      <c r="H164" s="54" t="inlineStr">
        <is>
          <t>Uploaded PDF: Munitorum Field Manual v2.3 / March 2025</t>
        </is>
      </c>
    </row>
    <row r="165">
      <c r="A165" s="54" t="inlineStr">
        <is>
          <t>Aeldari</t>
        </is>
      </c>
      <c r="B165" s="54" t="inlineStr">
        <is>
          <t>Howling Banshees</t>
        </is>
      </c>
      <c r="C165" s="54" t="inlineStr">
        <is>
          <t>5 models</t>
        </is>
      </c>
      <c r="D165" s="55" t="n">
        <v>90</v>
      </c>
      <c r="E165" s="55" t="inlineStr">
        <is>
          <t>Howling Banshees — 5 models (90 pts)</t>
        </is>
      </c>
      <c r="F165" s="55" t="n">
        <v>90</v>
      </c>
      <c r="G165" s="54" t="n">
        <v>6</v>
      </c>
      <c r="H165" s="54" t="inlineStr">
        <is>
          <t>Uploaded PDF: Munitorum Field Manual v2.3 / March 2025</t>
        </is>
      </c>
    </row>
    <row r="166">
      <c r="A166" s="54" t="inlineStr">
        <is>
          <t>Aeldari</t>
        </is>
      </c>
      <c r="B166" s="54" t="inlineStr">
        <is>
          <t>Howling Banshees</t>
        </is>
      </c>
      <c r="C166" s="54" t="inlineStr">
        <is>
          <t>10 models</t>
        </is>
      </c>
      <c r="D166" s="55" t="n">
        <v>180</v>
      </c>
      <c r="E166" s="55" t="inlineStr">
        <is>
          <t>Howling Banshees — 10 models (180 pts)</t>
        </is>
      </c>
      <c r="F166" s="55" t="n">
        <v>180</v>
      </c>
      <c r="G166" s="54" t="n">
        <v>6</v>
      </c>
      <c r="H166" s="54" t="inlineStr">
        <is>
          <t>Uploaded PDF: Munitorum Field Manual v2.3 / March 2025</t>
        </is>
      </c>
    </row>
    <row r="167">
      <c r="A167" s="54" t="inlineStr">
        <is>
          <t>Aeldari</t>
        </is>
      </c>
      <c r="B167" s="54" t="inlineStr">
        <is>
          <t>Jain Zar</t>
        </is>
      </c>
      <c r="C167" s="54" t="inlineStr">
        <is>
          <t>1 model</t>
        </is>
      </c>
      <c r="D167" s="55" t="n">
        <v>105</v>
      </c>
      <c r="E167" s="55" t="inlineStr">
        <is>
          <t>Jain Zar — 1 model (105 pts)</t>
        </is>
      </c>
      <c r="F167" s="55" t="n">
        <v>105</v>
      </c>
      <c r="G167" s="54" t="n">
        <v>6</v>
      </c>
      <c r="H167" s="54" t="inlineStr">
        <is>
          <t>Uploaded PDF: Munitorum Field Manual v2.3 / March 2025</t>
        </is>
      </c>
    </row>
    <row r="168">
      <c r="A168" s="54" t="inlineStr">
        <is>
          <t>Aeldari</t>
        </is>
      </c>
      <c r="B168" s="54" t="inlineStr">
        <is>
          <t>Lhykhis</t>
        </is>
      </c>
      <c r="C168" s="54" t="inlineStr">
        <is>
          <t>1 model</t>
        </is>
      </c>
      <c r="D168" s="55" t="n">
        <v>120</v>
      </c>
      <c r="E168" s="55" t="inlineStr">
        <is>
          <t>Lhykhis — 1 model (120 pts)</t>
        </is>
      </c>
      <c r="F168" s="55" t="n">
        <v>120</v>
      </c>
      <c r="G168" s="54" t="n">
        <v>6</v>
      </c>
      <c r="H168" s="54" t="inlineStr">
        <is>
          <t>Uploaded PDF: Munitorum Field Manual v2.3 / March 2025</t>
        </is>
      </c>
    </row>
    <row r="169">
      <c r="A169" s="54" t="inlineStr">
        <is>
          <t>Aeldari</t>
        </is>
      </c>
      <c r="B169" s="54" t="inlineStr">
        <is>
          <t>Maugan Ra</t>
        </is>
      </c>
      <c r="C169" s="54" t="inlineStr">
        <is>
          <t>1 model</t>
        </is>
      </c>
      <c r="D169" s="55" t="n">
        <v>100</v>
      </c>
      <c r="E169" s="55" t="inlineStr">
        <is>
          <t>Maugan Ra — 1 model (100 pts)</t>
        </is>
      </c>
      <c r="F169" s="55" t="n">
        <v>100</v>
      </c>
      <c r="G169" s="54" t="n">
        <v>6</v>
      </c>
      <c r="H169" s="54" t="inlineStr">
        <is>
          <t>Uploaded PDF: Munitorum Field Manual v2.3 / March 2025</t>
        </is>
      </c>
    </row>
    <row r="170">
      <c r="A170" s="54" t="inlineStr">
        <is>
          <t>Aeldari</t>
        </is>
      </c>
      <c r="B170" s="54" t="inlineStr">
        <is>
          <t>Night Spinner</t>
        </is>
      </c>
      <c r="C170" s="54" t="inlineStr">
        <is>
          <t>1 model</t>
        </is>
      </c>
      <c r="D170" s="55" t="n">
        <v>190</v>
      </c>
      <c r="E170" s="55" t="inlineStr">
        <is>
          <t>Night Spinner — 1 model (190 pts)</t>
        </is>
      </c>
      <c r="F170" s="55" t="n">
        <v>190</v>
      </c>
      <c r="G170" s="54" t="n">
        <v>6</v>
      </c>
      <c r="H170" s="54" t="inlineStr">
        <is>
          <t>Uploaded PDF: Munitorum Field Manual v2.3 / March 2025</t>
        </is>
      </c>
    </row>
    <row r="171">
      <c r="A171" s="54" t="inlineStr">
        <is>
          <t>Aeldari</t>
        </is>
      </c>
      <c r="B171" s="54" t="inlineStr">
        <is>
          <t>Rangers</t>
        </is>
      </c>
      <c r="C171" s="54" t="inlineStr">
        <is>
          <t>5 models</t>
        </is>
      </c>
      <c r="D171" s="55" t="n">
        <v>55</v>
      </c>
      <c r="E171" s="55" t="inlineStr">
        <is>
          <t>Rangers — 5 models (55 pts)</t>
        </is>
      </c>
      <c r="F171" s="55" t="n">
        <v>55</v>
      </c>
      <c r="G171" s="54" t="n">
        <v>6</v>
      </c>
      <c r="H171" s="54" t="inlineStr">
        <is>
          <t>Uploaded PDF: Munitorum Field Manual v2.3 / March 2025</t>
        </is>
      </c>
    </row>
    <row r="172">
      <c r="A172" s="54" t="inlineStr">
        <is>
          <t>Aeldari</t>
        </is>
      </c>
      <c r="B172" s="54" t="inlineStr">
        <is>
          <t>Rangers</t>
        </is>
      </c>
      <c r="C172" s="54" t="inlineStr">
        <is>
          <t>10 models</t>
        </is>
      </c>
      <c r="D172" s="55" t="n">
        <v>110</v>
      </c>
      <c r="E172" s="55" t="inlineStr">
        <is>
          <t>Rangers — 10 models (110 pts)</t>
        </is>
      </c>
      <c r="F172" s="55" t="n">
        <v>110</v>
      </c>
      <c r="G172" s="54" t="n">
        <v>6</v>
      </c>
      <c r="H172" s="54" t="inlineStr">
        <is>
          <t>Uploaded PDF: Munitorum Field Manual v2.3 / March 2025</t>
        </is>
      </c>
    </row>
    <row r="173">
      <c r="A173" s="54" t="inlineStr">
        <is>
          <t>Aeldari</t>
        </is>
      </c>
      <c r="B173" s="54" t="inlineStr">
        <is>
          <t>Shadow Weaver Platform</t>
        </is>
      </c>
      <c r="C173" s="54" t="inlineStr">
        <is>
          <t>1 model</t>
        </is>
      </c>
      <c r="D173" s="55" t="n">
        <v>75</v>
      </c>
      <c r="E173" s="55" t="inlineStr">
        <is>
          <t>Shadow Weaver Platform — 1 model (75 pts)</t>
        </is>
      </c>
      <c r="F173" s="55" t="n">
        <v>75</v>
      </c>
      <c r="G173" s="54" t="n">
        <v>6</v>
      </c>
      <c r="H173" s="54" t="inlineStr">
        <is>
          <t>Uploaded PDF: Munitorum Field Manual v2.3 / March 2025</t>
        </is>
      </c>
    </row>
    <row r="174">
      <c r="A174" s="54" t="inlineStr">
        <is>
          <t>Aeldari</t>
        </is>
      </c>
      <c r="B174" s="54" t="inlineStr">
        <is>
          <t>Shadowseer</t>
        </is>
      </c>
      <c r="C174" s="54" t="inlineStr">
        <is>
          <t>1 model</t>
        </is>
      </c>
      <c r="D174" s="55" t="n">
        <v>60</v>
      </c>
      <c r="E174" s="55" t="inlineStr">
        <is>
          <t>Shadowseer — 1 model (60 pts)</t>
        </is>
      </c>
      <c r="F174" s="55" t="n">
        <v>60</v>
      </c>
      <c r="G174" s="54" t="n">
        <v>6</v>
      </c>
      <c r="H174" s="54" t="inlineStr">
        <is>
          <t>Uploaded PDF: Munitorum Field Manual v2.3 / March 2025</t>
        </is>
      </c>
    </row>
    <row r="175">
      <c r="A175" s="54" t="inlineStr">
        <is>
          <t>Aeldari</t>
        </is>
      </c>
      <c r="B175" s="54" t="inlineStr">
        <is>
          <t>Shining Spears</t>
        </is>
      </c>
      <c r="C175" s="54" t="inlineStr">
        <is>
          <t>3 models</t>
        </is>
      </c>
      <c r="D175" s="55" t="n">
        <v>120</v>
      </c>
      <c r="E175" s="55" t="inlineStr">
        <is>
          <t>Shining Spears — 3 models (120 pts)</t>
        </is>
      </c>
      <c r="F175" s="55" t="n">
        <v>120</v>
      </c>
      <c r="G175" s="54" t="n">
        <v>6</v>
      </c>
      <c r="H175" s="54" t="inlineStr">
        <is>
          <t>Uploaded PDF: Munitorum Field Manual v2.3 / March 2025</t>
        </is>
      </c>
    </row>
    <row r="176">
      <c r="A176" s="54" t="inlineStr">
        <is>
          <t>Aeldari</t>
        </is>
      </c>
      <c r="B176" s="54" t="inlineStr">
        <is>
          <t>Shining Spears</t>
        </is>
      </c>
      <c r="C176" s="54" t="inlineStr">
        <is>
          <t>6 models</t>
        </is>
      </c>
      <c r="D176" s="55" t="n">
        <v>240</v>
      </c>
      <c r="E176" s="55" t="inlineStr">
        <is>
          <t>Shining Spears — 6 models (240 pts)</t>
        </is>
      </c>
      <c r="F176" s="55" t="n">
        <v>240</v>
      </c>
      <c r="G176" s="54" t="n">
        <v>6</v>
      </c>
      <c r="H176" s="54" t="inlineStr">
        <is>
          <t>Uploaded PDF: Munitorum Field Manual v2.3 / March 2025</t>
        </is>
      </c>
    </row>
    <row r="177">
      <c r="A177" s="54" t="inlineStr">
        <is>
          <t>Aeldari</t>
        </is>
      </c>
      <c r="B177" s="54" t="inlineStr">
        <is>
          <t>Shroud Runners</t>
        </is>
      </c>
      <c r="C177" s="54" t="inlineStr">
        <is>
          <t>3 models</t>
        </is>
      </c>
      <c r="D177" s="55" t="n">
        <v>80</v>
      </c>
      <c r="E177" s="55" t="inlineStr">
        <is>
          <t>Shroud Runners — 3 models (80 pts)</t>
        </is>
      </c>
      <c r="F177" s="55" t="n">
        <v>80</v>
      </c>
      <c r="G177" s="54" t="n">
        <v>6</v>
      </c>
      <c r="H177" s="54" t="inlineStr">
        <is>
          <t>Uploaded PDF: Munitorum Field Manual v2.3 / March 2025</t>
        </is>
      </c>
    </row>
    <row r="178">
      <c r="A178" s="54" t="inlineStr">
        <is>
          <t>Aeldari</t>
        </is>
      </c>
      <c r="B178" s="54" t="inlineStr">
        <is>
          <t>Shroud Runners</t>
        </is>
      </c>
      <c r="C178" s="54" t="inlineStr">
        <is>
          <t>6 models</t>
        </is>
      </c>
      <c r="D178" s="55" t="n">
        <v>160</v>
      </c>
      <c r="E178" s="55" t="inlineStr">
        <is>
          <t>Shroud Runners — 6 models (160 pts)</t>
        </is>
      </c>
      <c r="F178" s="55" t="n">
        <v>160</v>
      </c>
      <c r="G178" s="54" t="n">
        <v>6</v>
      </c>
      <c r="H178" s="54" t="inlineStr">
        <is>
          <t>Uploaded PDF: Munitorum Field Manual v2.3 / March 2025</t>
        </is>
      </c>
    </row>
    <row r="179">
      <c r="A179" s="54" t="inlineStr">
        <is>
          <t>Aeldari</t>
        </is>
      </c>
      <c r="B179" s="54" t="inlineStr">
        <is>
          <t>Skyweavers</t>
        </is>
      </c>
      <c r="C179" s="54" t="inlineStr">
        <is>
          <t>2 models</t>
        </is>
      </c>
      <c r="D179" s="55" t="n">
        <v>95</v>
      </c>
      <c r="E179" s="55" t="inlineStr">
        <is>
          <t>Skyweavers — 2 models (95 pts)</t>
        </is>
      </c>
      <c r="F179" s="55" t="n">
        <v>95</v>
      </c>
      <c r="G179" s="54" t="n">
        <v>6</v>
      </c>
      <c r="H179" s="54" t="inlineStr">
        <is>
          <t>Uploaded PDF: Munitorum Field Manual v2.3 / March 2025</t>
        </is>
      </c>
    </row>
    <row r="180">
      <c r="A180" s="54" t="inlineStr">
        <is>
          <t>Aeldari</t>
        </is>
      </c>
      <c r="B180" s="54" t="inlineStr">
        <is>
          <t>Skyweavers</t>
        </is>
      </c>
      <c r="C180" s="54" t="inlineStr">
        <is>
          <t>4 models</t>
        </is>
      </c>
      <c r="D180" s="55" t="n">
        <v>190</v>
      </c>
      <c r="E180" s="55" t="inlineStr">
        <is>
          <t>Skyweavers — 4 models (190 pts)</t>
        </is>
      </c>
      <c r="F180" s="55" t="n">
        <v>190</v>
      </c>
      <c r="G180" s="54" t="n">
        <v>6</v>
      </c>
      <c r="H180" s="54" t="inlineStr">
        <is>
          <t>Uploaded PDF: Munitorum Field Manual v2.3 / March 2025</t>
        </is>
      </c>
    </row>
    <row r="181">
      <c r="A181" s="54" t="inlineStr">
        <is>
          <t>Aeldari</t>
        </is>
      </c>
      <c r="B181" s="54" t="inlineStr">
        <is>
          <t>Solitaire</t>
        </is>
      </c>
      <c r="C181" s="54" t="inlineStr">
        <is>
          <t>1 model</t>
        </is>
      </c>
      <c r="D181" s="55" t="n">
        <v>115</v>
      </c>
      <c r="E181" s="55" t="inlineStr">
        <is>
          <t>Solitaire — 1 model (115 pts)</t>
        </is>
      </c>
      <c r="F181" s="55" t="n">
        <v>115</v>
      </c>
      <c r="G181" s="54" t="n">
        <v>6</v>
      </c>
      <c r="H181" s="54" t="inlineStr">
        <is>
          <t>Uploaded PDF: Munitorum Field Manual v2.3 / March 2025</t>
        </is>
      </c>
    </row>
    <row r="182">
      <c r="A182" s="54" t="inlineStr">
        <is>
          <t>Aeldari</t>
        </is>
      </c>
      <c r="B182" s="54" t="inlineStr">
        <is>
          <t>Spiritseer</t>
        </is>
      </c>
      <c r="C182" s="54" t="inlineStr">
        <is>
          <t>1 model</t>
        </is>
      </c>
      <c r="D182" s="55" t="n">
        <v>65</v>
      </c>
      <c r="E182" s="55" t="inlineStr">
        <is>
          <t>Spiritseer — 1 model (65 pts)</t>
        </is>
      </c>
      <c r="F182" s="55" t="n">
        <v>65</v>
      </c>
      <c r="G182" s="54" t="n">
        <v>6</v>
      </c>
      <c r="H182" s="54" t="inlineStr">
        <is>
          <t>Uploaded PDF: Munitorum Field Manual v2.3 / March 2025</t>
        </is>
      </c>
    </row>
    <row r="183">
      <c r="A183" s="54" t="inlineStr">
        <is>
          <t>Aeldari</t>
        </is>
      </c>
      <c r="B183" s="54" t="inlineStr">
        <is>
          <t>Starweaver</t>
        </is>
      </c>
      <c r="C183" s="54" t="inlineStr">
        <is>
          <t>1 model</t>
        </is>
      </c>
      <c r="D183" s="55" t="n">
        <v>80</v>
      </c>
      <c r="E183" s="55" t="inlineStr">
        <is>
          <t>Starweaver — 1 model (80 pts)</t>
        </is>
      </c>
      <c r="F183" s="55" t="n">
        <v>80</v>
      </c>
      <c r="G183" s="54" t="n">
        <v>6</v>
      </c>
      <c r="H183" s="54" t="inlineStr">
        <is>
          <t>Uploaded PDF: Munitorum Field Manual v2.3 / March 2025</t>
        </is>
      </c>
    </row>
    <row r="184">
      <c r="A184" s="54" t="inlineStr">
        <is>
          <t>Aeldari</t>
        </is>
      </c>
      <c r="B184" s="54" t="inlineStr">
        <is>
          <t>Storm Guardians</t>
        </is>
      </c>
      <c r="C184" s="54" t="inlineStr">
        <is>
          <t>11 models</t>
        </is>
      </c>
      <c r="D184" s="55" t="n">
        <v>100</v>
      </c>
      <c r="E184" s="55" t="inlineStr">
        <is>
          <t>Storm Guardians — 11 models (100 pts)</t>
        </is>
      </c>
      <c r="F184" s="55" t="n">
        <v>100</v>
      </c>
      <c r="G184" s="54" t="n">
        <v>6</v>
      </c>
      <c r="H184" s="54" t="inlineStr">
        <is>
          <t>Uploaded PDF: Munitorum Field Manual v2.3 / March 2025</t>
        </is>
      </c>
    </row>
    <row r="185">
      <c r="A185" s="54" t="inlineStr">
        <is>
          <t>Aeldari</t>
        </is>
      </c>
      <c r="B185" s="54" t="inlineStr">
        <is>
          <t>Striking Scorpions</t>
        </is>
      </c>
      <c r="C185" s="54" t="inlineStr">
        <is>
          <t>5 models</t>
        </is>
      </c>
      <c r="D185" s="55" t="n">
        <v>85</v>
      </c>
      <c r="E185" s="55" t="inlineStr">
        <is>
          <t>Striking Scorpions — 5 models (85 pts)</t>
        </is>
      </c>
      <c r="F185" s="55" t="n">
        <v>85</v>
      </c>
      <c r="G185" s="54" t="n">
        <v>6</v>
      </c>
      <c r="H185" s="54" t="inlineStr">
        <is>
          <t>Uploaded PDF: Munitorum Field Manual v2.3 / March 2025</t>
        </is>
      </c>
    </row>
    <row r="186">
      <c r="A186" s="54" t="inlineStr">
        <is>
          <t>Aeldari</t>
        </is>
      </c>
      <c r="B186" s="54" t="inlineStr">
        <is>
          <t>Striking Scorpions</t>
        </is>
      </c>
      <c r="C186" s="54" t="inlineStr">
        <is>
          <t>10 models</t>
        </is>
      </c>
      <c r="D186" s="55" t="n">
        <v>150</v>
      </c>
      <c r="E186" s="55" t="inlineStr">
        <is>
          <t>Striking Scorpions — 10 models (150 pts)</t>
        </is>
      </c>
      <c r="F186" s="55" t="n">
        <v>150</v>
      </c>
      <c r="G186" s="54" t="n">
        <v>6</v>
      </c>
      <c r="H186" s="54" t="inlineStr">
        <is>
          <t>Uploaded PDF: Munitorum Field Manual v2.3 / March 2025</t>
        </is>
      </c>
    </row>
    <row r="187">
      <c r="A187" s="54" t="inlineStr">
        <is>
          <t>Aeldari</t>
        </is>
      </c>
      <c r="B187" s="54" t="inlineStr">
        <is>
          <t>Swooping Hawks</t>
        </is>
      </c>
      <c r="C187" s="54" t="inlineStr">
        <is>
          <t>5 models</t>
        </is>
      </c>
      <c r="D187" s="55" t="n">
        <v>85</v>
      </c>
      <c r="E187" s="55" t="inlineStr">
        <is>
          <t>Swooping Hawks — 5 models (85 pts)</t>
        </is>
      </c>
      <c r="F187" s="55" t="n">
        <v>85</v>
      </c>
      <c r="G187" s="54" t="n">
        <v>6</v>
      </c>
      <c r="H187" s="54" t="inlineStr">
        <is>
          <t>Uploaded PDF: Munitorum Field Manual v2.3 / March 2025</t>
        </is>
      </c>
    </row>
    <row r="188">
      <c r="A188" s="54" t="inlineStr">
        <is>
          <t>Aeldari</t>
        </is>
      </c>
      <c r="B188" s="54" t="inlineStr">
        <is>
          <t>Swooping Hawks</t>
        </is>
      </c>
      <c r="C188" s="54" t="inlineStr">
        <is>
          <t>10 models</t>
        </is>
      </c>
      <c r="D188" s="55" t="n">
        <v>170</v>
      </c>
      <c r="E188" s="55" t="inlineStr">
        <is>
          <t>Swooping Hawks — 10 models (170 pts)</t>
        </is>
      </c>
      <c r="F188" s="55" t="n">
        <v>170</v>
      </c>
      <c r="G188" s="54" t="n">
        <v>6</v>
      </c>
      <c r="H188" s="54" t="inlineStr">
        <is>
          <t>Uploaded PDF: Munitorum Field Manual v2.3 / March 2025</t>
        </is>
      </c>
    </row>
    <row r="189">
      <c r="A189" s="54" t="inlineStr">
        <is>
          <t>Aeldari</t>
        </is>
      </c>
      <c r="B189" s="54" t="inlineStr">
        <is>
          <t>Troupe</t>
        </is>
      </c>
      <c r="C189" s="54" t="inlineStr">
        <is>
          <t>5 models</t>
        </is>
      </c>
      <c r="D189" s="55" t="n">
        <v>85</v>
      </c>
      <c r="E189" s="55" t="inlineStr">
        <is>
          <t>Troupe — 5 models (85 pts)</t>
        </is>
      </c>
      <c r="F189" s="55" t="n">
        <v>85</v>
      </c>
      <c r="G189" s="54" t="n">
        <v>6</v>
      </c>
      <c r="H189" s="54" t="inlineStr">
        <is>
          <t>Uploaded PDF: Munitorum Field Manual v2.3 / March 2025</t>
        </is>
      </c>
    </row>
    <row r="190">
      <c r="A190" s="54" t="inlineStr">
        <is>
          <t>Aeldari</t>
        </is>
      </c>
      <c r="B190" s="54" t="inlineStr">
        <is>
          <t>Troupe</t>
        </is>
      </c>
      <c r="C190" s="54" t="inlineStr">
        <is>
          <t>6 models</t>
        </is>
      </c>
      <c r="D190" s="55" t="n">
        <v>100</v>
      </c>
      <c r="E190" s="55" t="inlineStr">
        <is>
          <t>Troupe — 6 models (100 pts)</t>
        </is>
      </c>
      <c r="F190" s="55" t="n">
        <v>100</v>
      </c>
      <c r="G190" s="54" t="n">
        <v>6</v>
      </c>
      <c r="H190" s="54" t="inlineStr">
        <is>
          <t>Uploaded PDF: Munitorum Field Manual v2.3 / March 2025</t>
        </is>
      </c>
    </row>
    <row r="191">
      <c r="A191" s="54" t="inlineStr">
        <is>
          <t>Aeldari</t>
        </is>
      </c>
      <c r="B191" s="54" t="inlineStr">
        <is>
          <t>Troupe</t>
        </is>
      </c>
      <c r="C191" s="54" t="inlineStr">
        <is>
          <t>11 models</t>
        </is>
      </c>
      <c r="D191" s="55" t="n">
        <v>190</v>
      </c>
      <c r="E191" s="55" t="inlineStr">
        <is>
          <t>Troupe — 11 models (190 pts)</t>
        </is>
      </c>
      <c r="F191" s="55" t="n">
        <v>190</v>
      </c>
      <c r="G191" s="54" t="n">
        <v>6</v>
      </c>
      <c r="H191" s="54" t="inlineStr">
        <is>
          <t>Uploaded PDF: Munitorum Field Manual v2.3 / March 2025</t>
        </is>
      </c>
    </row>
    <row r="192">
      <c r="A192" s="54" t="inlineStr">
        <is>
          <t>Aeldari</t>
        </is>
      </c>
      <c r="B192" s="54" t="inlineStr">
        <is>
          <t>Troupe</t>
        </is>
      </c>
      <c r="C192" s="54" t="inlineStr">
        <is>
          <t>12 models</t>
        </is>
      </c>
      <c r="D192" s="55" t="n">
        <v>205</v>
      </c>
      <c r="E192" s="55" t="inlineStr">
        <is>
          <t>Troupe — 12 models (205 pts)</t>
        </is>
      </c>
      <c r="F192" s="55" t="n">
        <v>205</v>
      </c>
      <c r="G192" s="54" t="n">
        <v>6</v>
      </c>
      <c r="H192" s="54" t="inlineStr">
        <is>
          <t>Uploaded PDF: Munitorum Field Manual v2.3 / March 2025</t>
        </is>
      </c>
    </row>
    <row r="193">
      <c r="A193" s="54" t="inlineStr">
        <is>
          <t>Aeldari</t>
        </is>
      </c>
      <c r="B193" s="54" t="inlineStr">
        <is>
          <t>Troupe Master</t>
        </is>
      </c>
      <c r="C193" s="54" t="inlineStr">
        <is>
          <t>1 model</t>
        </is>
      </c>
      <c r="D193" s="55" t="n">
        <v>75</v>
      </c>
      <c r="E193" s="55" t="inlineStr">
        <is>
          <t>Troupe Master — 1 model (75 pts)</t>
        </is>
      </c>
      <c r="F193" s="55" t="n">
        <v>75</v>
      </c>
      <c r="G193" s="54" t="n">
        <v>6</v>
      </c>
      <c r="H193" s="54" t="inlineStr">
        <is>
          <t>Uploaded PDF: Munitorum Field Manual v2.3 / March 2025</t>
        </is>
      </c>
    </row>
    <row r="194">
      <c r="A194" s="54" t="inlineStr">
        <is>
          <t>Aeldari</t>
        </is>
      </c>
      <c r="B194" s="54" t="inlineStr">
        <is>
          <t>Vibro Cannon Platform</t>
        </is>
      </c>
      <c r="C194" s="54" t="inlineStr">
        <is>
          <t>1 model</t>
        </is>
      </c>
      <c r="D194" s="55" t="n">
        <v>60</v>
      </c>
      <c r="E194" s="55" t="inlineStr">
        <is>
          <t>Vibro Cannon Platform — 1 model (60 pts)</t>
        </is>
      </c>
      <c r="F194" s="55" t="n">
        <v>60</v>
      </c>
      <c r="G194" s="54" t="n">
        <v>6</v>
      </c>
      <c r="H194" s="54" t="inlineStr">
        <is>
          <t>Uploaded PDF: Munitorum Field Manual v2.3 / March 2025</t>
        </is>
      </c>
    </row>
    <row r="195">
      <c r="A195" s="54" t="inlineStr">
        <is>
          <t>Aeldari</t>
        </is>
      </c>
      <c r="B195" s="54" t="inlineStr">
        <is>
          <t>Voidweaver</t>
        </is>
      </c>
      <c r="C195" s="54" t="inlineStr">
        <is>
          <t>1 model</t>
        </is>
      </c>
      <c r="D195" s="55" t="n">
        <v>125</v>
      </c>
      <c r="E195" s="55" t="inlineStr">
        <is>
          <t>Voidweaver — 1 model (125 pts)</t>
        </is>
      </c>
      <c r="F195" s="55" t="n">
        <v>125</v>
      </c>
      <c r="G195" s="54" t="n">
        <v>6</v>
      </c>
      <c r="H195" s="54" t="inlineStr">
        <is>
          <t>Uploaded PDF: Munitorum Field Manual v2.3 / March 2025</t>
        </is>
      </c>
    </row>
    <row r="196">
      <c r="A196" s="54" t="inlineStr">
        <is>
          <t>Aeldari</t>
        </is>
      </c>
      <c r="B196" s="54" t="inlineStr">
        <is>
          <t>Vyper</t>
        </is>
      </c>
      <c r="C196" s="54" t="inlineStr">
        <is>
          <t>1 model</t>
        </is>
      </c>
      <c r="D196" s="55" t="n">
        <v>65</v>
      </c>
      <c r="E196" s="55" t="inlineStr">
        <is>
          <t>Vyper — 1 model (65 pts)</t>
        </is>
      </c>
      <c r="F196" s="55" t="n">
        <v>65</v>
      </c>
      <c r="G196" s="54" t="n">
        <v>6</v>
      </c>
      <c r="H196" s="54" t="inlineStr">
        <is>
          <t>Uploaded PDF: Munitorum Field Manual v2.3 / March 2025</t>
        </is>
      </c>
    </row>
    <row r="197">
      <c r="A197" s="54" t="inlineStr">
        <is>
          <t>Aeldari</t>
        </is>
      </c>
      <c r="B197" s="54" t="inlineStr">
        <is>
          <t>Vyper</t>
        </is>
      </c>
      <c r="C197" s="54" t="inlineStr">
        <is>
          <t>2 models</t>
        </is>
      </c>
      <c r="D197" s="55" t="n">
        <v>130</v>
      </c>
      <c r="E197" s="55" t="inlineStr">
        <is>
          <t>Vyper — 2 models (130 pts)</t>
        </is>
      </c>
      <c r="F197" s="55" t="n">
        <v>130</v>
      </c>
      <c r="G197" s="54" t="n">
        <v>6</v>
      </c>
      <c r="H197" s="54" t="inlineStr">
        <is>
          <t>Uploaded PDF: Munitorum Field Manual v2.3 / March 2025</t>
        </is>
      </c>
    </row>
    <row r="198">
      <c r="A198" s="54" t="inlineStr">
        <is>
          <t>Aeldari</t>
        </is>
      </c>
      <c r="B198" s="54" t="inlineStr">
        <is>
          <t>War Walker</t>
        </is>
      </c>
      <c r="C198" s="54" t="inlineStr">
        <is>
          <t>1 model</t>
        </is>
      </c>
      <c r="D198" s="55" t="n">
        <v>95</v>
      </c>
      <c r="E198" s="55" t="inlineStr">
        <is>
          <t>War Walker — 1 model (95 pts)</t>
        </is>
      </c>
      <c r="F198" s="55" t="n">
        <v>95</v>
      </c>
      <c r="G198" s="54" t="n">
        <v>6</v>
      </c>
      <c r="H198" s="54" t="inlineStr">
        <is>
          <t>Uploaded PDF: Munitorum Field Manual v2.3 / March 2025</t>
        </is>
      </c>
    </row>
    <row r="199">
      <c r="A199" s="54" t="inlineStr">
        <is>
          <t>Aeldari</t>
        </is>
      </c>
      <c r="B199" s="54" t="inlineStr">
        <is>
          <t>War Walker</t>
        </is>
      </c>
      <c r="C199" s="54" t="inlineStr">
        <is>
          <t>2 models</t>
        </is>
      </c>
      <c r="D199" s="55" t="n">
        <v>190</v>
      </c>
      <c r="E199" s="55" t="inlineStr">
        <is>
          <t>War Walker — 2 models (190 pts)</t>
        </is>
      </c>
      <c r="F199" s="55" t="n">
        <v>190</v>
      </c>
      <c r="G199" s="54" t="n">
        <v>6</v>
      </c>
      <c r="H199" s="54" t="inlineStr">
        <is>
          <t>Uploaded PDF: Munitorum Field Manual v2.3 / March 2025</t>
        </is>
      </c>
    </row>
    <row r="200">
      <c r="A200" s="54" t="inlineStr">
        <is>
          <t>Aeldari</t>
        </is>
      </c>
      <c r="B200" s="54" t="inlineStr">
        <is>
          <t>Warlock</t>
        </is>
      </c>
      <c r="C200" s="54" t="inlineStr">
        <is>
          <t>1 model</t>
        </is>
      </c>
      <c r="D200" s="55" t="n">
        <v>45</v>
      </c>
      <c r="E200" s="55" t="inlineStr">
        <is>
          <t>Warlock — 1 model (45 pts)</t>
        </is>
      </c>
      <c r="F200" s="55" t="n">
        <v>45</v>
      </c>
      <c r="G200" s="54" t="n">
        <v>6</v>
      </c>
      <c r="H200" s="54" t="inlineStr">
        <is>
          <t>Uploaded PDF: Munitorum Field Manual v2.3 / March 2025</t>
        </is>
      </c>
    </row>
    <row r="201">
      <c r="A201" s="54" t="inlineStr">
        <is>
          <t>Aeldari</t>
        </is>
      </c>
      <c r="B201" s="54" t="inlineStr">
        <is>
          <t>Warlock Conclave</t>
        </is>
      </c>
      <c r="C201" s="54" t="inlineStr">
        <is>
          <t>2 models</t>
        </is>
      </c>
      <c r="D201" s="55" t="n">
        <v>55</v>
      </c>
      <c r="E201" s="55" t="inlineStr">
        <is>
          <t>Warlock Conclave — 2 models (55 pts)</t>
        </is>
      </c>
      <c r="F201" s="55" t="n">
        <v>55</v>
      </c>
      <c r="G201" s="54" t="n">
        <v>6</v>
      </c>
      <c r="H201" s="54" t="inlineStr">
        <is>
          <t>Uploaded PDF: Munitorum Field Manual v2.3 / March 2025</t>
        </is>
      </c>
    </row>
    <row r="202">
      <c r="A202" s="54" t="inlineStr">
        <is>
          <t>Aeldari</t>
        </is>
      </c>
      <c r="B202" s="54" t="inlineStr">
        <is>
          <t>Warlock Conclave</t>
        </is>
      </c>
      <c r="C202" s="54" t="inlineStr">
        <is>
          <t>4 models</t>
        </is>
      </c>
      <c r="D202" s="55" t="n">
        <v>110</v>
      </c>
      <c r="E202" s="55" t="inlineStr">
        <is>
          <t>Warlock Conclave — 4 models (110 pts)</t>
        </is>
      </c>
      <c r="F202" s="55" t="n">
        <v>110</v>
      </c>
      <c r="G202" s="54" t="n">
        <v>6</v>
      </c>
      <c r="H202" s="54" t="inlineStr">
        <is>
          <t>Uploaded PDF: Munitorum Field Manual v2.3 / March 2025</t>
        </is>
      </c>
    </row>
    <row r="203">
      <c r="A203" s="54" t="inlineStr">
        <is>
          <t>Aeldari</t>
        </is>
      </c>
      <c r="B203" s="54" t="inlineStr">
        <is>
          <t>Warlock Skyrunners</t>
        </is>
      </c>
      <c r="C203" s="54" t="inlineStr">
        <is>
          <t>1 model</t>
        </is>
      </c>
      <c r="D203" s="55" t="n">
        <v>45</v>
      </c>
      <c r="E203" s="55" t="inlineStr">
        <is>
          <t>Warlock Skyrunners — 1 model (45 pts)</t>
        </is>
      </c>
      <c r="F203" s="55" t="n">
        <v>45</v>
      </c>
      <c r="G203" s="54" t="n">
        <v>6</v>
      </c>
      <c r="H203" s="54" t="inlineStr">
        <is>
          <t>Uploaded PDF: Munitorum Field Manual v2.3 / March 2025</t>
        </is>
      </c>
    </row>
    <row r="204">
      <c r="A204" s="54" t="inlineStr">
        <is>
          <t>Aeldari</t>
        </is>
      </c>
      <c r="B204" s="54" t="inlineStr">
        <is>
          <t>Warlock Skyrunners</t>
        </is>
      </c>
      <c r="C204" s="54" t="inlineStr">
        <is>
          <t>2 models</t>
        </is>
      </c>
      <c r="D204" s="55" t="n">
        <v>90</v>
      </c>
      <c r="E204" s="55" t="inlineStr">
        <is>
          <t>Warlock Skyrunners — 2 models (90 pts)</t>
        </is>
      </c>
      <c r="F204" s="55" t="n">
        <v>90</v>
      </c>
      <c r="G204" s="54" t="n">
        <v>6</v>
      </c>
      <c r="H204" s="54" t="inlineStr">
        <is>
          <t>Uploaded PDF: Munitorum Field Manual v2.3 / March 2025</t>
        </is>
      </c>
    </row>
    <row r="205">
      <c r="A205" s="54" t="inlineStr">
        <is>
          <t>Aeldari</t>
        </is>
      </c>
      <c r="B205" s="54" t="inlineStr">
        <is>
          <t>Warp Spiders</t>
        </is>
      </c>
      <c r="C205" s="54" t="inlineStr">
        <is>
          <t>5 models</t>
        </is>
      </c>
      <c r="D205" s="55" t="n">
        <v>95</v>
      </c>
      <c r="E205" s="55" t="inlineStr">
        <is>
          <t>Warp Spiders — 5 models (95 pts)</t>
        </is>
      </c>
      <c r="F205" s="55" t="n">
        <v>95</v>
      </c>
      <c r="G205" s="54" t="n">
        <v>6</v>
      </c>
      <c r="H205" s="54" t="inlineStr">
        <is>
          <t>Uploaded PDF: Munitorum Field Manual v2.3 / March 2025</t>
        </is>
      </c>
    </row>
    <row r="206">
      <c r="A206" s="54" t="inlineStr">
        <is>
          <t>Aeldari</t>
        </is>
      </c>
      <c r="B206" s="54" t="inlineStr">
        <is>
          <t>Warp Spiders</t>
        </is>
      </c>
      <c r="C206" s="54" t="inlineStr">
        <is>
          <t>10 models</t>
        </is>
      </c>
      <c r="D206" s="55" t="n">
        <v>190</v>
      </c>
      <c r="E206" s="55" t="inlineStr">
        <is>
          <t>Warp Spiders — 10 models (190 pts)</t>
        </is>
      </c>
      <c r="F206" s="55" t="n">
        <v>190</v>
      </c>
      <c r="G206" s="54" t="n">
        <v>6</v>
      </c>
      <c r="H206" s="54" t="inlineStr">
        <is>
          <t>Uploaded PDF: Munitorum Field Manual v2.3 / March 2025</t>
        </is>
      </c>
    </row>
    <row r="207">
      <c r="A207" s="54" t="inlineStr">
        <is>
          <t>Aeldari</t>
        </is>
      </c>
      <c r="B207" s="54" t="inlineStr">
        <is>
          <t>Wave Serpent</t>
        </is>
      </c>
      <c r="C207" s="54" t="inlineStr">
        <is>
          <t>1 model</t>
        </is>
      </c>
      <c r="D207" s="55" t="n">
        <v>125</v>
      </c>
      <c r="E207" s="55" t="inlineStr">
        <is>
          <t>Wave Serpent — 1 model (125 pts)</t>
        </is>
      </c>
      <c r="F207" s="55" t="n">
        <v>125</v>
      </c>
      <c r="G207" s="54" t="n">
        <v>6</v>
      </c>
      <c r="H207" s="54" t="inlineStr">
        <is>
          <t>Uploaded PDF: Munitorum Field Manual v2.3 / March 2025</t>
        </is>
      </c>
    </row>
    <row r="208">
      <c r="A208" s="54" t="inlineStr">
        <is>
          <t>Aeldari</t>
        </is>
      </c>
      <c r="B208" s="54" t="inlineStr">
        <is>
          <t>Windriders</t>
        </is>
      </c>
      <c r="C208" s="54" t="inlineStr">
        <is>
          <t>3 models</t>
        </is>
      </c>
      <c r="D208" s="55" t="n">
        <v>80</v>
      </c>
      <c r="E208" s="55" t="inlineStr">
        <is>
          <t>Windriders — 3 models (80 pts)</t>
        </is>
      </c>
      <c r="F208" s="55" t="n">
        <v>80</v>
      </c>
      <c r="G208" s="54" t="n">
        <v>6</v>
      </c>
      <c r="H208" s="54" t="inlineStr">
        <is>
          <t>Uploaded PDF: Munitorum Field Manual v2.3 / March 2025</t>
        </is>
      </c>
    </row>
    <row r="209">
      <c r="A209" s="54" t="inlineStr">
        <is>
          <t>Aeldari</t>
        </is>
      </c>
      <c r="B209" s="54" t="inlineStr">
        <is>
          <t>Windriders</t>
        </is>
      </c>
      <c r="C209" s="54" t="inlineStr">
        <is>
          <t>6 models</t>
        </is>
      </c>
      <c r="D209" s="55" t="n">
        <v>160</v>
      </c>
      <c r="E209" s="55" t="inlineStr">
        <is>
          <t>Windriders — 6 models (160 pts)</t>
        </is>
      </c>
      <c r="F209" s="55" t="n">
        <v>160</v>
      </c>
      <c r="G209" s="54" t="n">
        <v>6</v>
      </c>
      <c r="H209" s="54" t="inlineStr">
        <is>
          <t>Uploaded PDF: Munitorum Field Manual v2.3 / March 2025</t>
        </is>
      </c>
    </row>
    <row r="210">
      <c r="A210" s="54" t="inlineStr">
        <is>
          <t>Aeldari</t>
        </is>
      </c>
      <c r="B210" s="54" t="inlineStr">
        <is>
          <t>Wraithblades</t>
        </is>
      </c>
      <c r="C210" s="54" t="inlineStr">
        <is>
          <t>5 models</t>
        </is>
      </c>
      <c r="D210" s="55" t="n">
        <v>170</v>
      </c>
      <c r="E210" s="55" t="inlineStr">
        <is>
          <t>Wraithblades — 5 models (170 pts)</t>
        </is>
      </c>
      <c r="F210" s="55" t="n">
        <v>170</v>
      </c>
      <c r="G210" s="54" t="n">
        <v>6</v>
      </c>
      <c r="H210" s="54" t="inlineStr">
        <is>
          <t>Uploaded PDF: Munitorum Field Manual v2.3 / March 2025</t>
        </is>
      </c>
    </row>
    <row r="211">
      <c r="A211" s="54" t="inlineStr">
        <is>
          <t>Aeldari</t>
        </is>
      </c>
      <c r="B211" s="54" t="inlineStr">
        <is>
          <t>Wraithguard</t>
        </is>
      </c>
      <c r="C211" s="54" t="inlineStr">
        <is>
          <t>5 models</t>
        </is>
      </c>
      <c r="D211" s="55" t="n">
        <v>170</v>
      </c>
      <c r="E211" s="55" t="inlineStr">
        <is>
          <t>Wraithguard — 5 models (170 pts)</t>
        </is>
      </c>
      <c r="F211" s="55" t="n">
        <v>170</v>
      </c>
      <c r="G211" s="54" t="n">
        <v>6</v>
      </c>
      <c r="H211" s="54" t="inlineStr">
        <is>
          <t>Uploaded PDF: Munitorum Field Manual v2.3 / March 2025</t>
        </is>
      </c>
    </row>
    <row r="212">
      <c r="A212" s="54" t="inlineStr">
        <is>
          <t>Aeldari</t>
        </is>
      </c>
      <c r="B212" s="54" t="inlineStr">
        <is>
          <t>Wraithknight</t>
        </is>
      </c>
      <c r="C212" s="54" t="inlineStr">
        <is>
          <t>1 model</t>
        </is>
      </c>
      <c r="D212" s="55" t="n">
        <v>435</v>
      </c>
      <c r="E212" s="55" t="inlineStr">
        <is>
          <t>Wraithknight — 1 model (435 pts)</t>
        </is>
      </c>
      <c r="F212" s="55" t="n">
        <v>435</v>
      </c>
      <c r="G212" s="54" t="n">
        <v>6</v>
      </c>
      <c r="H212" s="54" t="inlineStr">
        <is>
          <t>Uploaded PDF: Munitorum Field Manual v2.3 / March 2025</t>
        </is>
      </c>
    </row>
    <row r="213">
      <c r="A213" s="54" t="inlineStr">
        <is>
          <t>Aeldari</t>
        </is>
      </c>
      <c r="B213" s="54" t="inlineStr">
        <is>
          <t>Wraithknight with Ghostglaive</t>
        </is>
      </c>
      <c r="C213" s="54" t="inlineStr">
        <is>
          <t>1 model</t>
        </is>
      </c>
      <c r="D213" s="55" t="n">
        <v>420</v>
      </c>
      <c r="E213" s="55" t="inlineStr">
        <is>
          <t>Wraithknight with Ghostglaive — 1 model (420 pts)</t>
        </is>
      </c>
      <c r="F213" s="55" t="n">
        <v>420</v>
      </c>
      <c r="G213" s="54" t="n">
        <v>6</v>
      </c>
      <c r="H213" s="54" t="inlineStr">
        <is>
          <t>Uploaded PDF: Munitorum Field Manual v2.3 / March 2025</t>
        </is>
      </c>
    </row>
    <row r="214">
      <c r="A214" s="54" t="inlineStr">
        <is>
          <t>Aeldari</t>
        </is>
      </c>
      <c r="B214" s="54" t="inlineStr">
        <is>
          <t>Wraithlord</t>
        </is>
      </c>
      <c r="C214" s="54" t="inlineStr">
        <is>
          <t>1 model</t>
        </is>
      </c>
      <c r="D214" s="55" t="n">
        <v>140</v>
      </c>
      <c r="E214" s="55" t="inlineStr">
        <is>
          <t>Wraithlord — 1 model (140 pts)</t>
        </is>
      </c>
      <c r="F214" s="55" t="n">
        <v>140</v>
      </c>
      <c r="G214" s="54" t="n">
        <v>6</v>
      </c>
      <c r="H214" s="54" t="inlineStr">
        <is>
          <t>Uploaded PDF: Munitorum Field Manual v2.3 / March 2025</t>
        </is>
      </c>
    </row>
    <row r="215">
      <c r="A215" s="54" t="inlineStr">
        <is>
          <t>Aeldari</t>
        </is>
      </c>
      <c r="B215" s="54" t="inlineStr">
        <is>
          <t>The Visarch</t>
        </is>
      </c>
      <c r="C215" s="54" t="inlineStr">
        <is>
          <t>1 model</t>
        </is>
      </c>
      <c r="D215" s="55" t="n">
        <v>90</v>
      </c>
      <c r="E215" s="55" t="inlineStr">
        <is>
          <t>The Visarch — 1 model (90 pts)</t>
        </is>
      </c>
      <c r="F215" s="55" t="n">
        <v>90</v>
      </c>
      <c r="G215" s="54" t="n">
        <v>7</v>
      </c>
      <c r="H215" s="54" t="inlineStr">
        <is>
          <t>Uploaded PDF: Munitorum Field Manual v2.3 / March 2025</t>
        </is>
      </c>
    </row>
    <row r="216">
      <c r="A216" s="54" t="inlineStr">
        <is>
          <t>Aeldari</t>
        </is>
      </c>
      <c r="B216" s="54" t="inlineStr">
        <is>
          <t>The Yncarne</t>
        </is>
      </c>
      <c r="C216" s="54" t="inlineStr">
        <is>
          <t>1 model</t>
        </is>
      </c>
      <c r="D216" s="55" t="n">
        <v>250</v>
      </c>
      <c r="E216" s="55" t="inlineStr">
        <is>
          <t>The Yncarne — 1 model (250 pts)</t>
        </is>
      </c>
      <c r="F216" s="55" t="n">
        <v>250</v>
      </c>
      <c r="G216" s="54" t="n">
        <v>7</v>
      </c>
      <c r="H216" s="54" t="inlineStr">
        <is>
          <t>Uploaded PDF: Munitorum Field Manual v2.3 / March 2025</t>
        </is>
      </c>
    </row>
    <row r="217">
      <c r="A217" s="54" t="inlineStr">
        <is>
          <t>Aeldari</t>
        </is>
      </c>
      <c r="B217" s="54" t="inlineStr">
        <is>
          <t>Ynnari Archon</t>
        </is>
      </c>
      <c r="C217" s="54" t="inlineStr">
        <is>
          <t>1 model</t>
        </is>
      </c>
      <c r="D217" s="55" t="n">
        <v>75</v>
      </c>
      <c r="E217" s="55" t="inlineStr">
        <is>
          <t>Ynnari Archon — 1 model (75 pts)</t>
        </is>
      </c>
      <c r="F217" s="55" t="n">
        <v>75</v>
      </c>
      <c r="G217" s="54" t="n">
        <v>7</v>
      </c>
      <c r="H217" s="54" t="inlineStr">
        <is>
          <t>Uploaded PDF: Munitorum Field Manual v2.3 / March 2025</t>
        </is>
      </c>
    </row>
    <row r="218">
      <c r="A218" s="54" t="inlineStr">
        <is>
          <t>Aeldari</t>
        </is>
      </c>
      <c r="B218" s="54" t="inlineStr">
        <is>
          <t>Ynnari Incubi</t>
        </is>
      </c>
      <c r="C218" s="54" t="inlineStr">
        <is>
          <t>5 models</t>
        </is>
      </c>
      <c r="D218" s="55" t="n">
        <v>75</v>
      </c>
      <c r="E218" s="55" t="inlineStr">
        <is>
          <t>Ynnari Incubi — 5 models (75 pts)</t>
        </is>
      </c>
      <c r="F218" s="55" t="n">
        <v>75</v>
      </c>
      <c r="G218" s="54" t="n">
        <v>7</v>
      </c>
      <c r="H218" s="54" t="inlineStr">
        <is>
          <t>Uploaded PDF: Munitorum Field Manual v2.3 / March 2025</t>
        </is>
      </c>
    </row>
    <row r="219">
      <c r="A219" s="54" t="inlineStr">
        <is>
          <t>Aeldari</t>
        </is>
      </c>
      <c r="B219" s="54" t="inlineStr">
        <is>
          <t>Ynnari Incubi</t>
        </is>
      </c>
      <c r="C219" s="54" t="inlineStr">
        <is>
          <t>10 models</t>
        </is>
      </c>
      <c r="D219" s="55" t="n">
        <v>150</v>
      </c>
      <c r="E219" s="55" t="inlineStr">
        <is>
          <t>Ynnari Incubi — 10 models (150 pts)</t>
        </is>
      </c>
      <c r="F219" s="55" t="n">
        <v>150</v>
      </c>
      <c r="G219" s="54" t="n">
        <v>7</v>
      </c>
      <c r="H219" s="54" t="inlineStr">
        <is>
          <t>Uploaded PDF: Munitorum Field Manual v2.3 / March 2025</t>
        </is>
      </c>
    </row>
    <row r="220">
      <c r="A220" s="54" t="inlineStr">
        <is>
          <t>Aeldari</t>
        </is>
      </c>
      <c r="B220" s="54" t="inlineStr">
        <is>
          <t>Ynnari Kabalite Warriors</t>
        </is>
      </c>
      <c r="C220" s="54" t="inlineStr">
        <is>
          <t>10 models</t>
        </is>
      </c>
      <c r="D220" s="55" t="n">
        <v>110</v>
      </c>
      <c r="E220" s="55" t="inlineStr">
        <is>
          <t>Ynnari Kabalite Warriors — 10 models (110 pts)</t>
        </is>
      </c>
      <c r="F220" s="55" t="n">
        <v>110</v>
      </c>
      <c r="G220" s="54" t="n">
        <v>7</v>
      </c>
      <c r="H220" s="54" t="inlineStr">
        <is>
          <t>Uploaded PDF: Munitorum Field Manual v2.3 / March 2025</t>
        </is>
      </c>
    </row>
    <row r="221">
      <c r="A221" s="54" t="inlineStr">
        <is>
          <t>Aeldari</t>
        </is>
      </c>
      <c r="B221" s="54" t="inlineStr">
        <is>
          <t>Ynnari Raider</t>
        </is>
      </c>
      <c r="C221" s="54" t="inlineStr">
        <is>
          <t>1 model</t>
        </is>
      </c>
      <c r="D221" s="55" t="n">
        <v>80</v>
      </c>
      <c r="E221" s="55" t="inlineStr">
        <is>
          <t>Ynnari Raider — 1 model (80 pts)</t>
        </is>
      </c>
      <c r="F221" s="55" t="n">
        <v>80</v>
      </c>
      <c r="G221" s="54" t="n">
        <v>7</v>
      </c>
      <c r="H221" s="54" t="inlineStr">
        <is>
          <t>Uploaded PDF: Munitorum Field Manual v2.3 / March 2025</t>
        </is>
      </c>
    </row>
    <row r="222">
      <c r="A222" s="54" t="inlineStr">
        <is>
          <t>Aeldari</t>
        </is>
      </c>
      <c r="B222" s="54" t="inlineStr">
        <is>
          <t>Ynnari Reavers</t>
        </is>
      </c>
      <c r="C222" s="54" t="inlineStr">
        <is>
          <t>3 models</t>
        </is>
      </c>
      <c r="D222" s="55" t="n">
        <v>65</v>
      </c>
      <c r="E222" s="55" t="inlineStr">
        <is>
          <t>Ynnari Reavers — 3 models (65 pts)</t>
        </is>
      </c>
      <c r="F222" s="55" t="n">
        <v>65</v>
      </c>
      <c r="G222" s="54" t="n">
        <v>7</v>
      </c>
      <c r="H222" s="54" t="inlineStr">
        <is>
          <t>Uploaded PDF: Munitorum Field Manual v2.3 / March 2025</t>
        </is>
      </c>
    </row>
    <row r="223">
      <c r="A223" s="54" t="inlineStr">
        <is>
          <t>Aeldari</t>
        </is>
      </c>
      <c r="B223" s="54" t="inlineStr">
        <is>
          <t>Ynnari Reavers</t>
        </is>
      </c>
      <c r="C223" s="54" t="inlineStr">
        <is>
          <t>3 models</t>
        </is>
      </c>
      <c r="D223" s="55" t="n">
        <v>120</v>
      </c>
      <c r="E223" s="55" t="inlineStr">
        <is>
          <t>Ynnari Reavers — 3 models (120 pts)</t>
        </is>
      </c>
      <c r="F223" s="55" t="n">
        <v>120</v>
      </c>
      <c r="G223" s="54" t="n">
        <v>7</v>
      </c>
      <c r="H223" s="54" t="inlineStr">
        <is>
          <t>Uploaded PDF: Munitorum Field Manual v2.3 / March 2025</t>
        </is>
      </c>
    </row>
    <row r="224">
      <c r="A224" s="54" t="inlineStr">
        <is>
          <t>Aeldari</t>
        </is>
      </c>
      <c r="B224" s="54" t="inlineStr">
        <is>
          <t>Ynnari Succubus</t>
        </is>
      </c>
      <c r="C224" s="54" t="inlineStr">
        <is>
          <t>1 model</t>
        </is>
      </c>
      <c r="D224" s="55" t="n">
        <v>45</v>
      </c>
      <c r="E224" s="55" t="inlineStr">
        <is>
          <t>Ynnari Succubus — 1 model (45 pts)</t>
        </is>
      </c>
      <c r="F224" s="55" t="n">
        <v>45</v>
      </c>
      <c r="G224" s="54" t="n">
        <v>7</v>
      </c>
      <c r="H224" s="54" t="inlineStr">
        <is>
          <t>Uploaded PDF: Munitorum Field Manual v2.3 / March 2025</t>
        </is>
      </c>
    </row>
    <row r="225">
      <c r="A225" s="54" t="inlineStr">
        <is>
          <t>Aeldari</t>
        </is>
      </c>
      <c r="B225" s="54" t="inlineStr">
        <is>
          <t>Ynnari Venom</t>
        </is>
      </c>
      <c r="C225" s="54" t="inlineStr">
        <is>
          <t>1 model</t>
        </is>
      </c>
      <c r="D225" s="55" t="n">
        <v>70</v>
      </c>
      <c r="E225" s="55" t="inlineStr">
        <is>
          <t>Ynnari Venom — 1 model (70 pts)</t>
        </is>
      </c>
      <c r="F225" s="55" t="n">
        <v>70</v>
      </c>
      <c r="G225" s="54" t="n">
        <v>7</v>
      </c>
      <c r="H225" s="54" t="inlineStr">
        <is>
          <t>Uploaded PDF: Munitorum Field Manual v2.3 / March 2025</t>
        </is>
      </c>
    </row>
    <row r="226">
      <c r="A226" s="54" t="inlineStr">
        <is>
          <t>Aeldari</t>
        </is>
      </c>
      <c r="B226" s="54" t="inlineStr">
        <is>
          <t>Ynnari Wyches</t>
        </is>
      </c>
      <c r="C226" s="54" t="inlineStr">
        <is>
          <t>10 models</t>
        </is>
      </c>
      <c r="D226" s="55" t="n">
        <v>90</v>
      </c>
      <c r="E226" s="55" t="inlineStr">
        <is>
          <t>Ynnari Wyches — 10 models (90 pts)</t>
        </is>
      </c>
      <c r="F226" s="55" t="n">
        <v>90</v>
      </c>
      <c r="G226" s="54" t="n">
        <v>7</v>
      </c>
      <c r="H226" s="54" t="inlineStr">
        <is>
          <t>Uploaded PDF: Munitorum Field Manual v2.3 / March 2025</t>
        </is>
      </c>
    </row>
    <row r="227">
      <c r="A227" s="54" t="inlineStr">
        <is>
          <t>Aeldari</t>
        </is>
      </c>
      <c r="B227" s="54" t="inlineStr">
        <is>
          <t>Yvraine</t>
        </is>
      </c>
      <c r="C227" s="54" t="inlineStr">
        <is>
          <t>1 model</t>
        </is>
      </c>
      <c r="D227" s="55" t="n">
        <v>100</v>
      </c>
      <c r="E227" s="55" t="inlineStr">
        <is>
          <t>Yvraine — 1 model (100 pts)</t>
        </is>
      </c>
      <c r="F227" s="55" t="n">
        <v>100</v>
      </c>
      <c r="G227" s="54" t="n">
        <v>7</v>
      </c>
      <c r="H227" s="54" t="inlineStr">
        <is>
          <t>Uploaded PDF: Munitorum Field Manual v2.3 / March 2025</t>
        </is>
      </c>
    </row>
    <row r="228">
      <c r="A228" s="54" t="inlineStr">
        <is>
          <t>Aeldari</t>
        </is>
      </c>
      <c r="B228" s="54" t="inlineStr">
        <is>
          <t>Phantom Titan</t>
        </is>
      </c>
      <c r="C228" s="54" t="inlineStr">
        <is>
          <t>1 model</t>
        </is>
      </c>
      <c r="D228" s="55" t="n">
        <v>2100</v>
      </c>
      <c r="E228" s="55" t="inlineStr">
        <is>
          <t>Phantom Titan — 1 model (2100 pts)</t>
        </is>
      </c>
      <c r="F228" s="55" t="n">
        <v>2100</v>
      </c>
      <c r="G228" s="54" t="n">
        <v>7</v>
      </c>
      <c r="H228" s="54" t="inlineStr">
        <is>
          <t>Uploaded PDF: Munitorum Field Manual v2.3 / March 2025</t>
        </is>
      </c>
    </row>
    <row r="229">
      <c r="A229" s="54" t="inlineStr">
        <is>
          <t>Aeldari</t>
        </is>
      </c>
      <c r="B229" s="54" t="inlineStr">
        <is>
          <t>Revenant Titan</t>
        </is>
      </c>
      <c r="C229" s="54" t="inlineStr">
        <is>
          <t>1 model</t>
        </is>
      </c>
      <c r="D229" s="55" t="n">
        <v>1100</v>
      </c>
      <c r="E229" s="55" t="inlineStr">
        <is>
          <t>Revenant Titan — 1 model (1100 pts)</t>
        </is>
      </c>
      <c r="F229" s="55" t="n">
        <v>1100</v>
      </c>
      <c r="G229" s="54" t="n">
        <v>7</v>
      </c>
      <c r="H229" s="54" t="inlineStr">
        <is>
          <t>Uploaded PDF: Munitorum Field Manual v2.3 / March 2025</t>
        </is>
      </c>
    </row>
    <row r="230">
      <c r="A230" s="54" t="inlineStr">
        <is>
          <t>Astra Militarum</t>
        </is>
      </c>
      <c r="B230" s="54" t="inlineStr">
        <is>
          <t>Aegis Defence Line</t>
        </is>
      </c>
      <c r="C230" s="54" t="inlineStr">
        <is>
          <t>1 model</t>
        </is>
      </c>
      <c r="D230" s="55" t="n">
        <v>145</v>
      </c>
      <c r="E230" s="55" t="inlineStr">
        <is>
          <t>Aegis Defence Line — 1 model (145 pts)</t>
        </is>
      </c>
      <c r="F230" s="55" t="n">
        <v>145</v>
      </c>
      <c r="G230" s="54" t="n">
        <v>8</v>
      </c>
      <c r="H230" s="54" t="inlineStr">
        <is>
          <t>Uploaded PDF: Munitorum Field Manual v2.3 / March 2025</t>
        </is>
      </c>
    </row>
    <row r="231">
      <c r="A231" s="54" t="inlineStr">
        <is>
          <t>Astra Militarum</t>
        </is>
      </c>
      <c r="B231" s="54" t="inlineStr">
        <is>
          <t>Armoured Sentinels</t>
        </is>
      </c>
      <c r="C231" s="54" t="inlineStr">
        <is>
          <t>1 model</t>
        </is>
      </c>
      <c r="D231" s="55" t="n">
        <v>65</v>
      </c>
      <c r="E231" s="55" t="inlineStr">
        <is>
          <t>Armoured Sentinels — 1 model (65 pts)</t>
        </is>
      </c>
      <c r="F231" s="55" t="n">
        <v>65</v>
      </c>
      <c r="G231" s="54" t="n">
        <v>8</v>
      </c>
      <c r="H231" s="54" t="inlineStr">
        <is>
          <t>Uploaded PDF: Munitorum Field Manual v2.3 / March 2025</t>
        </is>
      </c>
    </row>
    <row r="232">
      <c r="A232" s="54" t="inlineStr">
        <is>
          <t>Astra Militarum</t>
        </is>
      </c>
      <c r="B232" s="54" t="inlineStr">
        <is>
          <t>Armoured Sentinels</t>
        </is>
      </c>
      <c r="C232" s="54" t="inlineStr">
        <is>
          <t>2 models</t>
        </is>
      </c>
      <c r="D232" s="55" t="n">
        <v>130</v>
      </c>
      <c r="E232" s="55" t="inlineStr">
        <is>
          <t>Armoured Sentinels — 2 models (130 pts)</t>
        </is>
      </c>
      <c r="F232" s="55" t="n">
        <v>130</v>
      </c>
      <c r="G232" s="54" t="n">
        <v>8</v>
      </c>
      <c r="H232" s="54" t="inlineStr">
        <is>
          <t>Uploaded PDF: Munitorum Field Manual v2.3 / March 2025</t>
        </is>
      </c>
    </row>
    <row r="233">
      <c r="A233" s="54" t="inlineStr">
        <is>
          <t>Astra Militarum</t>
        </is>
      </c>
      <c r="B233" s="54" t="inlineStr">
        <is>
          <t>Artillery Team</t>
        </is>
      </c>
      <c r="C233" s="54" t="inlineStr">
        <is>
          <t>1 model</t>
        </is>
      </c>
      <c r="D233" s="55" t="n">
        <v>95</v>
      </c>
      <c r="E233" s="55" t="inlineStr">
        <is>
          <t>Artillery Team — 1 model (95 pts)</t>
        </is>
      </c>
      <c r="F233" s="55" t="n">
        <v>95</v>
      </c>
      <c r="G233" s="54" t="n">
        <v>8</v>
      </c>
      <c r="H233" s="54" t="inlineStr">
        <is>
          <t>Uploaded PDF: Munitorum Field Manual v2.3 / March 2025</t>
        </is>
      </c>
    </row>
    <row r="234">
      <c r="A234" s="54" t="inlineStr">
        <is>
          <t>Astra Militarum</t>
        </is>
      </c>
      <c r="B234" s="54" t="inlineStr">
        <is>
          <t>Attilan Rough Riders</t>
        </is>
      </c>
      <c r="C234" s="54" t="inlineStr">
        <is>
          <t>5 models</t>
        </is>
      </c>
      <c r="D234" s="55" t="n">
        <v>60</v>
      </c>
      <c r="E234" s="55" t="inlineStr">
        <is>
          <t>Attilan Rough Riders — 5 models (60 pts)</t>
        </is>
      </c>
      <c r="F234" s="55" t="n">
        <v>60</v>
      </c>
      <c r="G234" s="54" t="n">
        <v>8</v>
      </c>
      <c r="H234" s="54" t="inlineStr">
        <is>
          <t>Uploaded PDF: Munitorum Field Manual v2.3 / March 2025</t>
        </is>
      </c>
    </row>
    <row r="235">
      <c r="A235" s="54" t="inlineStr">
        <is>
          <t>Astra Militarum</t>
        </is>
      </c>
      <c r="B235" s="54" t="inlineStr">
        <is>
          <t>Attilan Rough Riders</t>
        </is>
      </c>
      <c r="C235" s="54" t="inlineStr">
        <is>
          <t>10 models</t>
        </is>
      </c>
      <c r="D235" s="55" t="n">
        <v>120</v>
      </c>
      <c r="E235" s="55" t="inlineStr">
        <is>
          <t>Attilan Rough Riders — 10 models (120 pts)</t>
        </is>
      </c>
      <c r="F235" s="55" t="n">
        <v>120</v>
      </c>
      <c r="G235" s="54" t="n">
        <v>8</v>
      </c>
      <c r="H235" s="54" t="inlineStr">
        <is>
          <t>Uploaded PDF: Munitorum Field Manual v2.3 / March 2025</t>
        </is>
      </c>
    </row>
    <row r="236">
      <c r="A236" s="54" t="inlineStr">
        <is>
          <t>Astra Militarum</t>
        </is>
      </c>
      <c r="B236" s="54" t="inlineStr">
        <is>
          <t>Baneblade</t>
        </is>
      </c>
      <c r="C236" s="54" t="inlineStr">
        <is>
          <t>1 model</t>
        </is>
      </c>
      <c r="D236" s="55" t="n">
        <v>480</v>
      </c>
      <c r="E236" s="55" t="inlineStr">
        <is>
          <t>Baneblade — 1 model (480 pts)</t>
        </is>
      </c>
      <c r="F236" s="55" t="n">
        <v>480</v>
      </c>
      <c r="G236" s="54" t="n">
        <v>8</v>
      </c>
      <c r="H236" s="54" t="inlineStr">
        <is>
          <t>Uploaded PDF: Munitorum Field Manual v2.3 / March 2025</t>
        </is>
      </c>
    </row>
    <row r="237">
      <c r="A237" s="54" t="inlineStr">
        <is>
          <t>Astra Militarum</t>
        </is>
      </c>
      <c r="B237" s="54" t="inlineStr">
        <is>
          <t>Banehammer</t>
        </is>
      </c>
      <c r="C237" s="54" t="inlineStr">
        <is>
          <t>1 model</t>
        </is>
      </c>
      <c r="D237" s="55" t="n">
        <v>450</v>
      </c>
      <c r="E237" s="55" t="inlineStr">
        <is>
          <t>Banehammer — 1 model (450 pts)</t>
        </is>
      </c>
      <c r="F237" s="55" t="n">
        <v>450</v>
      </c>
      <c r="G237" s="54" t="n">
        <v>8</v>
      </c>
      <c r="H237" s="54" t="inlineStr">
        <is>
          <t>Uploaded PDF: Munitorum Field Manual v2.3 / March 2025</t>
        </is>
      </c>
    </row>
    <row r="238">
      <c r="A238" s="54" t="inlineStr">
        <is>
          <t>Astra Militarum</t>
        </is>
      </c>
      <c r="B238" s="54" t="inlineStr">
        <is>
          <t>Banesword</t>
        </is>
      </c>
      <c r="C238" s="54" t="inlineStr">
        <is>
          <t>1 model</t>
        </is>
      </c>
      <c r="D238" s="55" t="n">
        <v>480</v>
      </c>
      <c r="E238" s="55" t="inlineStr">
        <is>
          <t>Banesword — 1 model (480 pts)</t>
        </is>
      </c>
      <c r="F238" s="55" t="n">
        <v>480</v>
      </c>
      <c r="G238" s="54" t="n">
        <v>8</v>
      </c>
      <c r="H238" s="54" t="inlineStr">
        <is>
          <t>Uploaded PDF: Munitorum Field Manual v2.3 / March 2025</t>
        </is>
      </c>
    </row>
    <row r="239">
      <c r="A239" s="54" t="inlineStr">
        <is>
          <t>Astra Militarum</t>
        </is>
      </c>
      <c r="B239" s="54" t="inlineStr">
        <is>
          <t>Basilisk</t>
        </is>
      </c>
      <c r="C239" s="54" t="inlineStr">
        <is>
          <t>1 model</t>
        </is>
      </c>
      <c r="D239" s="55" t="n">
        <v>140</v>
      </c>
      <c r="E239" s="55" t="inlineStr">
        <is>
          <t>Basilisk — 1 model (140 pts)</t>
        </is>
      </c>
      <c r="F239" s="55" t="n">
        <v>140</v>
      </c>
      <c r="G239" s="54" t="n">
        <v>8</v>
      </c>
      <c r="H239" s="54" t="inlineStr">
        <is>
          <t>Uploaded PDF: Munitorum Field Manual v2.3 / March 2025</t>
        </is>
      </c>
    </row>
    <row r="240">
      <c r="A240" s="54" t="inlineStr">
        <is>
          <t>Astra Militarum</t>
        </is>
      </c>
      <c r="B240" s="54" t="inlineStr">
        <is>
          <t>Bullgryn Squad</t>
        </is>
      </c>
      <c r="C240" s="54" t="inlineStr">
        <is>
          <t>3 models</t>
        </is>
      </c>
      <c r="D240" s="55" t="n">
        <v>110</v>
      </c>
      <c r="E240" s="55" t="inlineStr">
        <is>
          <t>Bullgryn Squad — 3 models (110 pts)</t>
        </is>
      </c>
      <c r="F240" s="55" t="n">
        <v>110</v>
      </c>
      <c r="G240" s="54" t="n">
        <v>8</v>
      </c>
      <c r="H240" s="54" t="inlineStr">
        <is>
          <t>Uploaded PDF: Munitorum Field Manual v2.3 / March 2025</t>
        </is>
      </c>
    </row>
    <row r="241">
      <c r="A241" s="54" t="inlineStr">
        <is>
          <t>Astra Militarum</t>
        </is>
      </c>
      <c r="B241" s="54" t="inlineStr">
        <is>
          <t>Bullgryn Squad</t>
        </is>
      </c>
      <c r="C241" s="54" t="inlineStr">
        <is>
          <t>6 models</t>
        </is>
      </c>
      <c r="D241" s="55" t="n">
        <v>220</v>
      </c>
      <c r="E241" s="55" t="inlineStr">
        <is>
          <t>Bullgryn Squad — 6 models (220 pts)</t>
        </is>
      </c>
      <c r="F241" s="55" t="n">
        <v>220</v>
      </c>
      <c r="G241" s="54" t="n">
        <v>8</v>
      </c>
      <c r="H241" s="54" t="inlineStr">
        <is>
          <t>Uploaded PDF: Munitorum Field Manual v2.3 / March 2025</t>
        </is>
      </c>
    </row>
    <row r="242">
      <c r="A242" s="54" t="inlineStr">
        <is>
          <t>Astra Militarum</t>
        </is>
      </c>
      <c r="B242" s="54" t="inlineStr">
        <is>
          <t>Cadian Castellan</t>
        </is>
      </c>
      <c r="C242" s="54" t="inlineStr">
        <is>
          <t>1 model</t>
        </is>
      </c>
      <c r="D242" s="55" t="n">
        <v>55</v>
      </c>
      <c r="E242" s="55" t="inlineStr">
        <is>
          <t>Cadian Castellan — 1 model (55 pts)</t>
        </is>
      </c>
      <c r="F242" s="55" t="n">
        <v>55</v>
      </c>
      <c r="G242" s="54" t="n">
        <v>8</v>
      </c>
      <c r="H242" s="54" t="inlineStr">
        <is>
          <t>Uploaded PDF: Munitorum Field Manual v2.3 / March 2025</t>
        </is>
      </c>
    </row>
    <row r="243">
      <c r="A243" s="54" t="inlineStr">
        <is>
          <t>Astra Militarum</t>
        </is>
      </c>
      <c r="B243" s="54" t="inlineStr">
        <is>
          <t>Cadian Command Squad</t>
        </is>
      </c>
      <c r="C243" s="54" t="inlineStr">
        <is>
          <t>5 models</t>
        </is>
      </c>
      <c r="D243" s="55" t="n">
        <v>65</v>
      </c>
      <c r="E243" s="55" t="inlineStr">
        <is>
          <t>Cadian Command Squad — 5 models (65 pts)</t>
        </is>
      </c>
      <c r="F243" s="55" t="n">
        <v>65</v>
      </c>
      <c r="G243" s="54" t="n">
        <v>8</v>
      </c>
      <c r="H243" s="54" t="inlineStr">
        <is>
          <t>Uploaded PDF: Munitorum Field Manual v2.3 / March 2025</t>
        </is>
      </c>
    </row>
    <row r="244">
      <c r="A244" s="54" t="inlineStr">
        <is>
          <t>Astra Militarum</t>
        </is>
      </c>
      <c r="B244" s="54" t="inlineStr">
        <is>
          <t>Cadian Heavy Weapons Squad</t>
        </is>
      </c>
      <c r="C244" s="54" t="inlineStr">
        <is>
          <t>3 models</t>
        </is>
      </c>
      <c r="D244" s="55" t="n">
        <v>65</v>
      </c>
      <c r="E244" s="55" t="inlineStr">
        <is>
          <t>Cadian Heavy Weapons Squad — 3 models (65 pts)</t>
        </is>
      </c>
      <c r="F244" s="55" t="n">
        <v>65</v>
      </c>
      <c r="G244" s="54" t="n">
        <v>8</v>
      </c>
      <c r="H244" s="54" t="inlineStr">
        <is>
          <t>Uploaded PDF: Munitorum Field Manual v2.3 / March 2025</t>
        </is>
      </c>
    </row>
    <row r="245">
      <c r="A245" s="54" t="inlineStr">
        <is>
          <t>Astra Militarum</t>
        </is>
      </c>
      <c r="B245" s="54" t="inlineStr">
        <is>
          <t>Cadian Shock Troops</t>
        </is>
      </c>
      <c r="C245" s="54" t="inlineStr">
        <is>
          <t>10 models</t>
        </is>
      </c>
      <c r="D245" s="55" t="n">
        <v>65</v>
      </c>
      <c r="E245" s="55" t="inlineStr">
        <is>
          <t>Cadian Shock Troops — 10 models (65 pts)</t>
        </is>
      </c>
      <c r="F245" s="55" t="n">
        <v>65</v>
      </c>
      <c r="G245" s="54" t="n">
        <v>8</v>
      </c>
      <c r="H245" s="54" t="inlineStr">
        <is>
          <t>Uploaded PDF: Munitorum Field Manual v2.3 / March 2025</t>
        </is>
      </c>
    </row>
    <row r="246">
      <c r="A246" s="54" t="inlineStr">
        <is>
          <t>Astra Militarum</t>
        </is>
      </c>
      <c r="B246" s="54" t="inlineStr">
        <is>
          <t>Cadian Shock Troops</t>
        </is>
      </c>
      <c r="C246" s="54" t="inlineStr">
        <is>
          <t>20 models</t>
        </is>
      </c>
      <c r="D246" s="55" t="n">
        <v>120</v>
      </c>
      <c r="E246" s="55" t="inlineStr">
        <is>
          <t>Cadian Shock Troops — 20 models (120 pts)</t>
        </is>
      </c>
      <c r="F246" s="55" t="n">
        <v>120</v>
      </c>
      <c r="G246" s="54" t="n">
        <v>8</v>
      </c>
      <c r="H246" s="54" t="inlineStr">
        <is>
          <t>Uploaded PDF: Munitorum Field Manual v2.3 / March 2025</t>
        </is>
      </c>
    </row>
    <row r="247">
      <c r="A247" s="54" t="inlineStr">
        <is>
          <t>Astra Militarum</t>
        </is>
      </c>
      <c r="B247" s="54" t="inlineStr">
        <is>
          <t>Catachan Command Squad</t>
        </is>
      </c>
      <c r="C247" s="54" t="inlineStr">
        <is>
          <t>5 models</t>
        </is>
      </c>
      <c r="D247" s="55" t="n">
        <v>65</v>
      </c>
      <c r="E247" s="55" t="inlineStr">
        <is>
          <t>Catachan Command Squad — 5 models (65 pts)</t>
        </is>
      </c>
      <c r="F247" s="55" t="n">
        <v>65</v>
      </c>
      <c r="G247" s="54" t="n">
        <v>8</v>
      </c>
      <c r="H247" s="54" t="inlineStr">
        <is>
          <t>Uploaded PDF: Munitorum Field Manual v2.3 / March 2025</t>
        </is>
      </c>
    </row>
    <row r="248">
      <c r="A248" s="54" t="inlineStr">
        <is>
          <t>Astra Militarum</t>
        </is>
      </c>
      <c r="B248" s="54" t="inlineStr">
        <is>
          <t>Catachan Heavy Weapons Squad</t>
        </is>
      </c>
      <c r="C248" s="54" t="inlineStr">
        <is>
          <t>3 models</t>
        </is>
      </c>
      <c r="D248" s="55" t="n">
        <v>65</v>
      </c>
      <c r="E248" s="55" t="inlineStr">
        <is>
          <t>Catachan Heavy Weapons Squad — 3 models (65 pts)</t>
        </is>
      </c>
      <c r="F248" s="55" t="n">
        <v>65</v>
      </c>
      <c r="G248" s="54" t="n">
        <v>8</v>
      </c>
      <c r="H248" s="54" t="inlineStr">
        <is>
          <t>Uploaded PDF: Munitorum Field Manual v2.3 / March 2025</t>
        </is>
      </c>
    </row>
    <row r="249">
      <c r="A249" s="54" t="inlineStr">
        <is>
          <t>Astra Militarum</t>
        </is>
      </c>
      <c r="B249" s="54" t="inlineStr">
        <is>
          <t>Catachan Jungle Fighters</t>
        </is>
      </c>
      <c r="C249" s="54" t="inlineStr">
        <is>
          <t>10 models</t>
        </is>
      </c>
      <c r="D249" s="55" t="n">
        <v>65</v>
      </c>
      <c r="E249" s="55" t="inlineStr">
        <is>
          <t>Catachan Jungle Fighters — 10 models (65 pts)</t>
        </is>
      </c>
      <c r="F249" s="55" t="n">
        <v>65</v>
      </c>
      <c r="G249" s="54" t="n">
        <v>8</v>
      </c>
      <c r="H249" s="54" t="inlineStr">
        <is>
          <t>Uploaded PDF: Munitorum Field Manual v2.3 / March 2025</t>
        </is>
      </c>
    </row>
    <row r="250">
      <c r="A250" s="54" t="inlineStr">
        <is>
          <t>Astra Militarum</t>
        </is>
      </c>
      <c r="B250" s="54" t="inlineStr">
        <is>
          <t>Catachan Jungle Fighters</t>
        </is>
      </c>
      <c r="C250" s="54" t="inlineStr">
        <is>
          <t>20 models</t>
        </is>
      </c>
      <c r="D250" s="55" t="n">
        <v>120</v>
      </c>
      <c r="E250" s="55" t="inlineStr">
        <is>
          <t>Catachan Jungle Fighters — 20 models (120 pts)</t>
        </is>
      </c>
      <c r="F250" s="55" t="n">
        <v>120</v>
      </c>
      <c r="G250" s="54" t="n">
        <v>8</v>
      </c>
      <c r="H250" s="54" t="inlineStr">
        <is>
          <t>Uploaded PDF: Munitorum Field Manual v2.3 / March 2025</t>
        </is>
      </c>
    </row>
    <row r="251">
      <c r="A251" s="54" t="inlineStr">
        <is>
          <t>Astra Militarum</t>
        </is>
      </c>
      <c r="B251" s="54" t="inlineStr">
        <is>
          <t>Chimera</t>
        </is>
      </c>
      <c r="C251" s="54" t="inlineStr">
        <is>
          <t>1 model</t>
        </is>
      </c>
      <c r="D251" s="55" t="n">
        <v>85</v>
      </c>
      <c r="E251" s="55" t="inlineStr">
        <is>
          <t>Chimera — 1 model (85 pts)</t>
        </is>
      </c>
      <c r="F251" s="55" t="n">
        <v>85</v>
      </c>
      <c r="G251" s="54" t="n">
        <v>8</v>
      </c>
      <c r="H251" s="54" t="inlineStr">
        <is>
          <t>Uploaded PDF: Munitorum Field Manual v2.3 / March 2025</t>
        </is>
      </c>
    </row>
    <row r="252">
      <c r="A252" s="54" t="inlineStr">
        <is>
          <t>Astra Militarum</t>
        </is>
      </c>
      <c r="B252" s="54" t="inlineStr">
        <is>
          <t>Commissar</t>
        </is>
      </c>
      <c r="C252" s="54" t="inlineStr">
        <is>
          <t>1 model</t>
        </is>
      </c>
      <c r="D252" s="55" t="n">
        <v>30</v>
      </c>
      <c r="E252" s="55" t="inlineStr">
        <is>
          <t>Commissar — 1 model (30 pts)</t>
        </is>
      </c>
      <c r="F252" s="55" t="n">
        <v>30</v>
      </c>
      <c r="G252" s="54" t="n">
        <v>8</v>
      </c>
      <c r="H252" s="54" t="inlineStr">
        <is>
          <t>Uploaded PDF: Munitorum Field Manual v2.3 / March 2025</t>
        </is>
      </c>
    </row>
    <row r="253">
      <c r="A253" s="54" t="inlineStr">
        <is>
          <t>Astra Militarum</t>
        </is>
      </c>
      <c r="B253" s="54" t="inlineStr">
        <is>
          <t>Death Korps of Krieg</t>
        </is>
      </c>
      <c r="C253" s="54" t="inlineStr">
        <is>
          <t>10 models</t>
        </is>
      </c>
      <c r="D253" s="55" t="n">
        <v>65</v>
      </c>
      <c r="E253" s="55" t="inlineStr">
        <is>
          <t>Death Korps of Krieg — 10 models (65 pts)</t>
        </is>
      </c>
      <c r="F253" s="55" t="n">
        <v>65</v>
      </c>
      <c r="G253" s="54" t="n">
        <v>8</v>
      </c>
      <c r="H253" s="54" t="inlineStr">
        <is>
          <t>Uploaded PDF: Munitorum Field Manual v2.3 / March 2025</t>
        </is>
      </c>
    </row>
    <row r="254">
      <c r="A254" s="54" t="inlineStr">
        <is>
          <t>Astra Militarum</t>
        </is>
      </c>
      <c r="B254" s="54" t="inlineStr">
        <is>
          <t>Death Korps of Krieg</t>
        </is>
      </c>
      <c r="C254" s="54" t="inlineStr">
        <is>
          <t>20 models</t>
        </is>
      </c>
      <c r="D254" s="55" t="n">
        <v>130</v>
      </c>
      <c r="E254" s="55" t="inlineStr">
        <is>
          <t>Death Korps of Krieg — 20 models (130 pts)</t>
        </is>
      </c>
      <c r="F254" s="55" t="n">
        <v>130</v>
      </c>
      <c r="G254" s="54" t="n">
        <v>8</v>
      </c>
      <c r="H254" s="54" t="inlineStr">
        <is>
          <t>Uploaded PDF: Munitorum Field Manual v2.3 / March 2025</t>
        </is>
      </c>
    </row>
    <row r="255">
      <c r="A255" s="54" t="inlineStr">
        <is>
          <t>Astra Militarum</t>
        </is>
      </c>
      <c r="B255" s="54" t="inlineStr">
        <is>
          <t>Death Riders</t>
        </is>
      </c>
      <c r="C255" s="54" t="inlineStr">
        <is>
          <t>5 models</t>
        </is>
      </c>
      <c r="D255" s="55" t="n">
        <v>70</v>
      </c>
      <c r="E255" s="55" t="inlineStr">
        <is>
          <t>Death Riders — 5 models (70 pts)</t>
        </is>
      </c>
      <c r="F255" s="55" t="n">
        <v>70</v>
      </c>
      <c r="G255" s="54" t="n">
        <v>8</v>
      </c>
      <c r="H255" s="54" t="inlineStr">
        <is>
          <t>Uploaded PDF: Munitorum Field Manual v2.3 / March 2025</t>
        </is>
      </c>
    </row>
    <row r="256">
      <c r="A256" s="54" t="inlineStr">
        <is>
          <t>Astra Militarum</t>
        </is>
      </c>
      <c r="B256" s="54" t="inlineStr">
        <is>
          <t>Death Riders</t>
        </is>
      </c>
      <c r="C256" s="54" t="inlineStr">
        <is>
          <t>10 models</t>
        </is>
      </c>
      <c r="D256" s="55" t="n">
        <v>140</v>
      </c>
      <c r="E256" s="55" t="inlineStr">
        <is>
          <t>Death Riders — 10 models (140 pts)</t>
        </is>
      </c>
      <c r="F256" s="55" t="n">
        <v>140</v>
      </c>
      <c r="G256" s="54" t="n">
        <v>8</v>
      </c>
      <c r="H256" s="54" t="inlineStr">
        <is>
          <t>Uploaded PDF: Munitorum Field Manual v2.3 / March 2025</t>
        </is>
      </c>
    </row>
    <row r="257">
      <c r="A257" s="54" t="inlineStr">
        <is>
          <t>Astra Militarum</t>
        </is>
      </c>
      <c r="B257" s="54" t="inlineStr">
        <is>
          <t>Deathstrike</t>
        </is>
      </c>
      <c r="C257" s="54" t="inlineStr">
        <is>
          <t>1 model</t>
        </is>
      </c>
      <c r="D257" s="55" t="n">
        <v>145</v>
      </c>
      <c r="E257" s="55" t="inlineStr">
        <is>
          <t>Deathstrike — 1 model (145 pts)</t>
        </is>
      </c>
      <c r="F257" s="55" t="n">
        <v>145</v>
      </c>
      <c r="G257" s="54" t="n">
        <v>8</v>
      </c>
      <c r="H257" s="54" t="inlineStr">
        <is>
          <t>Uploaded PDF: Munitorum Field Manual v2.3 / March 2025</t>
        </is>
      </c>
    </row>
    <row r="258">
      <c r="A258" s="54" t="inlineStr">
        <is>
          <t>Astra Militarum</t>
        </is>
      </c>
      <c r="B258" s="54" t="inlineStr">
        <is>
          <t>Doomhammer</t>
        </is>
      </c>
      <c r="C258" s="54" t="inlineStr">
        <is>
          <t>1 model</t>
        </is>
      </c>
      <c r="D258" s="55" t="n">
        <v>445</v>
      </c>
      <c r="E258" s="55" t="inlineStr">
        <is>
          <t>Doomhammer — 1 model (445 pts)</t>
        </is>
      </c>
      <c r="F258" s="55" t="n">
        <v>445</v>
      </c>
      <c r="G258" s="54" t="n">
        <v>8</v>
      </c>
      <c r="H258" s="54" t="inlineStr">
        <is>
          <t>Uploaded PDF: Munitorum Field Manual v2.3 / March 2025</t>
        </is>
      </c>
    </row>
    <row r="259">
      <c r="A259" s="54" t="inlineStr">
        <is>
          <t>Astra Militarum</t>
        </is>
      </c>
      <c r="B259" s="54" t="inlineStr">
        <is>
          <t>Field Ordnance Battery</t>
        </is>
      </c>
      <c r="C259" s="54" t="inlineStr">
        <is>
          <t>2 models</t>
        </is>
      </c>
      <c r="D259" s="55" t="n">
        <v>110</v>
      </c>
      <c r="E259" s="55" t="inlineStr">
        <is>
          <t>Field Ordnance Battery — 2 models (110 pts)</t>
        </is>
      </c>
      <c r="F259" s="55" t="n">
        <v>110</v>
      </c>
      <c r="G259" s="54" t="n">
        <v>8</v>
      </c>
      <c r="H259" s="54" t="inlineStr">
        <is>
          <t>Uploaded PDF: Munitorum Field Manual v2.3 / March 2025</t>
        </is>
      </c>
    </row>
    <row r="260">
      <c r="A260" s="54" t="inlineStr">
        <is>
          <t>Astra Militarum</t>
        </is>
      </c>
      <c r="B260" s="54" t="inlineStr">
        <is>
          <t>Gaunt’s Ghosts</t>
        </is>
      </c>
      <c r="C260" s="54" t="inlineStr">
        <is>
          <t>6 models</t>
        </is>
      </c>
      <c r="D260" s="55" t="n">
        <v>110</v>
      </c>
      <c r="E260" s="55" t="inlineStr">
        <is>
          <t>Gaunt’s Ghosts — 6 models (110 pts)</t>
        </is>
      </c>
      <c r="F260" s="55" t="n">
        <v>110</v>
      </c>
      <c r="G260" s="54" t="n">
        <v>8</v>
      </c>
      <c r="H260" s="54" t="inlineStr">
        <is>
          <t>Uploaded PDF: Munitorum Field Manual v2.3 / March 2025</t>
        </is>
      </c>
    </row>
    <row r="261">
      <c r="A261" s="54" t="inlineStr">
        <is>
          <t>Astra Militarum</t>
        </is>
      </c>
      <c r="B261" s="54" t="inlineStr">
        <is>
          <t>Hellhammer</t>
        </is>
      </c>
      <c r="C261" s="54" t="inlineStr">
        <is>
          <t>1 model</t>
        </is>
      </c>
      <c r="D261" s="55" t="n">
        <v>450</v>
      </c>
      <c r="E261" s="55" t="inlineStr">
        <is>
          <t>Hellhammer — 1 model (450 pts)</t>
        </is>
      </c>
      <c r="F261" s="55" t="n">
        <v>450</v>
      </c>
      <c r="G261" s="54" t="n">
        <v>8</v>
      </c>
      <c r="H261" s="54" t="inlineStr">
        <is>
          <t>Uploaded PDF: Munitorum Field Manual v2.3 / March 2025</t>
        </is>
      </c>
    </row>
    <row r="262">
      <c r="A262" s="54" t="inlineStr">
        <is>
          <t>Astra Militarum</t>
        </is>
      </c>
      <c r="B262" s="54" t="inlineStr">
        <is>
          <t>Hellhound</t>
        </is>
      </c>
      <c r="C262" s="54" t="inlineStr">
        <is>
          <t>1 model</t>
        </is>
      </c>
      <c r="D262" s="55" t="n">
        <v>125</v>
      </c>
      <c r="E262" s="55" t="inlineStr">
        <is>
          <t>Hellhound — 1 model (125 pts)</t>
        </is>
      </c>
      <c r="F262" s="55" t="n">
        <v>125</v>
      </c>
      <c r="G262" s="54" t="n">
        <v>8</v>
      </c>
      <c r="H262" s="54" t="inlineStr">
        <is>
          <t>Uploaded PDF: Munitorum Field Manual v2.3 / March 2025</t>
        </is>
      </c>
    </row>
    <row r="263">
      <c r="A263" s="54" t="inlineStr">
        <is>
          <t>Astra Militarum</t>
        </is>
      </c>
      <c r="B263" s="54" t="inlineStr">
        <is>
          <t>Hydra</t>
        </is>
      </c>
      <c r="C263" s="54" t="inlineStr">
        <is>
          <t>1 model</t>
        </is>
      </c>
      <c r="D263" s="55" t="n">
        <v>95</v>
      </c>
      <c r="E263" s="55" t="inlineStr">
        <is>
          <t>Hydra — 1 model (95 pts)</t>
        </is>
      </c>
      <c r="F263" s="55" t="n">
        <v>95</v>
      </c>
      <c r="G263" s="54" t="n">
        <v>8</v>
      </c>
      <c r="H263" s="54" t="inlineStr">
        <is>
          <t>Uploaded PDF: Munitorum Field Manual v2.3 / March 2025</t>
        </is>
      </c>
    </row>
    <row r="264">
      <c r="A264" s="54" t="inlineStr">
        <is>
          <t>Astra Militarum</t>
        </is>
      </c>
      <c r="B264" s="54" t="inlineStr">
        <is>
          <t>Kasrkin</t>
        </is>
      </c>
      <c r="C264" s="54" t="inlineStr">
        <is>
          <t>10 models</t>
        </is>
      </c>
      <c r="D264" s="55" t="n">
        <v>110</v>
      </c>
      <c r="E264" s="55" t="inlineStr">
        <is>
          <t>Kasrkin — 10 models (110 pts)</t>
        </is>
      </c>
      <c r="F264" s="55" t="n">
        <v>110</v>
      </c>
      <c r="G264" s="54" t="n">
        <v>8</v>
      </c>
      <c r="H264" s="54" t="inlineStr">
        <is>
          <t>Uploaded PDF: Munitorum Field Manual v2.3 / March 2025</t>
        </is>
      </c>
    </row>
    <row r="265">
      <c r="A265" s="54" t="inlineStr">
        <is>
          <t>Astra Militarum</t>
        </is>
      </c>
      <c r="B265" s="54" t="inlineStr">
        <is>
          <t>Krieg Combat Engineers</t>
        </is>
      </c>
      <c r="C265" s="54" t="inlineStr">
        <is>
          <t>5 models</t>
        </is>
      </c>
      <c r="D265" s="55" t="n">
        <v>70</v>
      </c>
      <c r="E265" s="55" t="inlineStr">
        <is>
          <t>Krieg Combat Engineers — 5 models (70 pts)</t>
        </is>
      </c>
      <c r="F265" s="55" t="n">
        <v>70</v>
      </c>
      <c r="G265" s="54" t="n">
        <v>8</v>
      </c>
      <c r="H265" s="54" t="inlineStr">
        <is>
          <t>Uploaded PDF: Munitorum Field Manual v2.3 / March 2025</t>
        </is>
      </c>
    </row>
    <row r="266">
      <c r="A266" s="54" t="inlineStr">
        <is>
          <t>Astra Militarum</t>
        </is>
      </c>
      <c r="B266" s="54" t="inlineStr">
        <is>
          <t>Krieg Combat Engineers</t>
        </is>
      </c>
      <c r="C266" s="54" t="inlineStr">
        <is>
          <t>10 models</t>
        </is>
      </c>
      <c r="D266" s="55" t="n">
        <v>95</v>
      </c>
      <c r="E266" s="55" t="inlineStr">
        <is>
          <t>Krieg Combat Engineers — 10 models (95 pts)</t>
        </is>
      </c>
      <c r="F266" s="55" t="n">
        <v>95</v>
      </c>
      <c r="G266" s="54" t="n">
        <v>8</v>
      </c>
      <c r="H266" s="54" t="inlineStr">
        <is>
          <t>Uploaded PDF: Munitorum Field Manual v2.3 / March 2025</t>
        </is>
      </c>
    </row>
    <row r="267">
      <c r="A267" s="54" t="inlineStr">
        <is>
          <t>Astra Militarum</t>
        </is>
      </c>
      <c r="B267" s="54" t="inlineStr">
        <is>
          <t>Krieg Command Squad</t>
        </is>
      </c>
      <c r="C267" s="54" t="inlineStr">
        <is>
          <t>6 models</t>
        </is>
      </c>
      <c r="D267" s="55" t="n">
        <v>65</v>
      </c>
      <c r="E267" s="55" t="inlineStr">
        <is>
          <t>Krieg Command Squad — 6 models (65 pts)</t>
        </is>
      </c>
      <c r="F267" s="55" t="n">
        <v>65</v>
      </c>
      <c r="G267" s="54" t="n">
        <v>8</v>
      </c>
      <c r="H267" s="54" t="inlineStr">
        <is>
          <t>Uploaded PDF: Munitorum Field Manual v2.3 / March 2025</t>
        </is>
      </c>
    </row>
    <row r="268">
      <c r="A268" s="54" t="inlineStr">
        <is>
          <t>Astra Militarum</t>
        </is>
      </c>
      <c r="B268" s="54" t="inlineStr">
        <is>
          <t>Krieg Heavy Weapons Squad</t>
        </is>
      </c>
      <c r="C268" s="54" t="inlineStr">
        <is>
          <t>4 models</t>
        </is>
      </c>
      <c r="D268" s="55" t="n">
        <v>75</v>
      </c>
      <c r="E268" s="55" t="inlineStr">
        <is>
          <t>Krieg Heavy Weapons Squad — 4 models (75 pts)</t>
        </is>
      </c>
      <c r="F268" s="55" t="n">
        <v>75</v>
      </c>
      <c r="G268" s="54" t="n">
        <v>8</v>
      </c>
      <c r="H268" s="54" t="inlineStr">
        <is>
          <t>Uploaded PDF: Munitorum Field Manual v2.3 / March 2025</t>
        </is>
      </c>
    </row>
    <row r="269">
      <c r="A269" s="54" t="inlineStr">
        <is>
          <t>Astra Militarum</t>
        </is>
      </c>
      <c r="B269" s="54" t="inlineStr">
        <is>
          <t>Leman Russ Battle Tank</t>
        </is>
      </c>
      <c r="C269" s="54" t="inlineStr">
        <is>
          <t>1 model</t>
        </is>
      </c>
      <c r="D269" s="55" t="n">
        <v>175</v>
      </c>
      <c r="E269" s="55" t="inlineStr">
        <is>
          <t>Leman Russ Battle Tank — 1 model (175 pts)</t>
        </is>
      </c>
      <c r="F269" s="55" t="n">
        <v>175</v>
      </c>
      <c r="G269" s="54" t="n">
        <v>8</v>
      </c>
      <c r="H269" s="54" t="inlineStr">
        <is>
          <t>Uploaded PDF: Munitorum Field Manual v2.3 / March 2025</t>
        </is>
      </c>
    </row>
    <row r="270">
      <c r="A270" s="54" t="inlineStr">
        <is>
          <t>Astra Militarum</t>
        </is>
      </c>
      <c r="B270" s="54" t="inlineStr">
        <is>
          <t>Leman Russ Commander</t>
        </is>
      </c>
      <c r="C270" s="54" t="inlineStr">
        <is>
          <t>1 model</t>
        </is>
      </c>
      <c r="D270" s="55" t="n">
        <v>235</v>
      </c>
      <c r="E270" s="55" t="inlineStr">
        <is>
          <t>Leman Russ Commander — 1 model (235 pts)</t>
        </is>
      </c>
      <c r="F270" s="55" t="n">
        <v>235</v>
      </c>
      <c r="G270" s="54" t="n">
        <v>8</v>
      </c>
      <c r="H270" s="54" t="inlineStr">
        <is>
          <t>Uploaded PDF: Munitorum Field Manual v2.3 / March 2025</t>
        </is>
      </c>
    </row>
    <row r="271">
      <c r="A271" s="54" t="inlineStr">
        <is>
          <t>Astra Militarum</t>
        </is>
      </c>
      <c r="B271" s="54" t="inlineStr">
        <is>
          <t>Leman Russ Demolisher</t>
        </is>
      </c>
      <c r="C271" s="54" t="inlineStr">
        <is>
          <t>1 model</t>
        </is>
      </c>
      <c r="D271" s="55" t="n">
        <v>190</v>
      </c>
      <c r="E271" s="55" t="inlineStr">
        <is>
          <t>Leman Russ Demolisher — 1 model (190 pts)</t>
        </is>
      </c>
      <c r="F271" s="55" t="n">
        <v>190</v>
      </c>
      <c r="G271" s="54" t="n">
        <v>8</v>
      </c>
      <c r="H271" s="54" t="inlineStr">
        <is>
          <t>Uploaded PDF: Munitorum Field Manual v2.3 / March 2025</t>
        </is>
      </c>
    </row>
    <row r="272">
      <c r="A272" s="54" t="inlineStr">
        <is>
          <t>Astra Militarum</t>
        </is>
      </c>
      <c r="B272" s="54" t="inlineStr">
        <is>
          <t>Leman Russ Eradicator</t>
        </is>
      </c>
      <c r="C272" s="54" t="inlineStr">
        <is>
          <t>1 model</t>
        </is>
      </c>
      <c r="D272" s="55" t="n">
        <v>170</v>
      </c>
      <c r="E272" s="55" t="inlineStr">
        <is>
          <t>Leman Russ Eradicator — 1 model (170 pts)</t>
        </is>
      </c>
      <c r="F272" s="55" t="n">
        <v>170</v>
      </c>
      <c r="G272" s="54" t="n">
        <v>8</v>
      </c>
      <c r="H272" s="54" t="inlineStr">
        <is>
          <t>Uploaded PDF: Munitorum Field Manual v2.3 / March 2025</t>
        </is>
      </c>
    </row>
    <row r="273">
      <c r="A273" s="54" t="inlineStr">
        <is>
          <t>Astra Militarum</t>
        </is>
      </c>
      <c r="B273" s="54" t="inlineStr">
        <is>
          <t>Leman Russ Executioner</t>
        </is>
      </c>
      <c r="C273" s="54" t="inlineStr">
        <is>
          <t>1 model</t>
        </is>
      </c>
      <c r="D273" s="55" t="n">
        <v>170</v>
      </c>
      <c r="E273" s="55" t="inlineStr">
        <is>
          <t>Leman Russ Executioner — 1 model (170 pts)</t>
        </is>
      </c>
      <c r="F273" s="55" t="n">
        <v>170</v>
      </c>
      <c r="G273" s="54" t="n">
        <v>8</v>
      </c>
      <c r="H273" s="54" t="inlineStr">
        <is>
          <t>Uploaded PDF: Munitorum Field Manual v2.3 / March 2025</t>
        </is>
      </c>
    </row>
    <row r="274">
      <c r="A274" s="54" t="inlineStr">
        <is>
          <t>Astra Militarum</t>
        </is>
      </c>
      <c r="B274" s="54" t="inlineStr">
        <is>
          <t>Leman Russ Exterminator</t>
        </is>
      </c>
      <c r="C274" s="54" t="inlineStr">
        <is>
          <t>1 model</t>
        </is>
      </c>
      <c r="D274" s="55" t="n">
        <v>180</v>
      </c>
      <c r="E274" s="55" t="inlineStr">
        <is>
          <t>Leman Russ Exterminator — 1 model (180 pts)</t>
        </is>
      </c>
      <c r="F274" s="55" t="n">
        <v>180</v>
      </c>
      <c r="G274" s="54" t="n">
        <v>8</v>
      </c>
      <c r="H274" s="54" t="inlineStr">
        <is>
          <t>Uploaded PDF: Munitorum Field Manual v2.3 / March 2025</t>
        </is>
      </c>
    </row>
    <row r="275">
      <c r="A275" s="54" t="inlineStr">
        <is>
          <t>Astra Militarum</t>
        </is>
      </c>
      <c r="B275" s="54" t="inlineStr">
        <is>
          <t>Leman Russ Punisher</t>
        </is>
      </c>
      <c r="C275" s="54" t="inlineStr">
        <is>
          <t>1 model</t>
        </is>
      </c>
      <c r="D275" s="55" t="n">
        <v>150</v>
      </c>
      <c r="E275" s="55" t="inlineStr">
        <is>
          <t>Leman Russ Punisher — 1 model (150 pts)</t>
        </is>
      </c>
      <c r="F275" s="55" t="n">
        <v>150</v>
      </c>
      <c r="G275" s="54" t="n">
        <v>8</v>
      </c>
      <c r="H275" s="54" t="inlineStr">
        <is>
          <t>Uploaded PDF: Munitorum Field Manual v2.3 / March 2025</t>
        </is>
      </c>
    </row>
    <row r="276">
      <c r="A276" s="54" t="inlineStr">
        <is>
          <t>Astra Militarum</t>
        </is>
      </c>
      <c r="B276" s="54" t="inlineStr">
        <is>
          <t>Leman Russ Vanquisher</t>
        </is>
      </c>
      <c r="C276" s="54" t="inlineStr">
        <is>
          <t>1 model</t>
        </is>
      </c>
      <c r="D276" s="55" t="n">
        <v>145</v>
      </c>
      <c r="E276" s="55" t="inlineStr">
        <is>
          <t>Leman Russ Vanquisher — 1 model (145 pts)</t>
        </is>
      </c>
      <c r="F276" s="55" t="n">
        <v>145</v>
      </c>
      <c r="G276" s="54" t="n">
        <v>8</v>
      </c>
      <c r="H276" s="54" t="inlineStr">
        <is>
          <t>Uploaded PDF: Munitorum Field Manual v2.3 / March 2025</t>
        </is>
      </c>
    </row>
    <row r="277">
      <c r="A277" s="54" t="inlineStr">
        <is>
          <t>Astra Militarum</t>
        </is>
      </c>
      <c r="B277" s="54" t="inlineStr">
        <is>
          <t>Lord Marshal Dreir</t>
        </is>
      </c>
      <c r="C277" s="54" t="inlineStr">
        <is>
          <t>1 model</t>
        </is>
      </c>
      <c r="D277" s="55" t="n">
        <v>100</v>
      </c>
      <c r="E277" s="55" t="inlineStr">
        <is>
          <t>Lord Marshal Dreir — 1 model (100 pts)</t>
        </is>
      </c>
      <c r="F277" s="55" t="n">
        <v>100</v>
      </c>
      <c r="G277" s="54" t="n">
        <v>8</v>
      </c>
      <c r="H277" s="54" t="inlineStr">
        <is>
          <t>Uploaded PDF: Munitorum Field Manual v2.3 / March 2025</t>
        </is>
      </c>
    </row>
    <row r="278">
      <c r="A278" s="54" t="inlineStr">
        <is>
          <t>Astra Militarum</t>
        </is>
      </c>
      <c r="B278" s="54" t="inlineStr">
        <is>
          <t>Lord Solar Leontus</t>
        </is>
      </c>
      <c r="C278" s="54" t="inlineStr">
        <is>
          <t>1 model</t>
        </is>
      </c>
      <c r="D278" s="55" t="n">
        <v>150</v>
      </c>
      <c r="E278" s="55" t="inlineStr">
        <is>
          <t>Lord Solar Leontus — 1 model (150 pts)</t>
        </is>
      </c>
      <c r="F278" s="55" t="n">
        <v>150</v>
      </c>
      <c r="G278" s="54" t="n">
        <v>8</v>
      </c>
      <c r="H278" s="54" t="inlineStr">
        <is>
          <t>Uploaded PDF: Munitorum Field Manual v2.3 / March 2025</t>
        </is>
      </c>
    </row>
    <row r="279">
      <c r="A279" s="54" t="inlineStr">
        <is>
          <t>Astra Militarum</t>
        </is>
      </c>
      <c r="B279" s="54" t="inlineStr">
        <is>
          <t>Manticore</t>
        </is>
      </c>
      <c r="C279" s="54" t="inlineStr">
        <is>
          <t>1 model</t>
        </is>
      </c>
      <c r="D279" s="55" t="n">
        <v>165</v>
      </c>
      <c r="E279" s="55" t="inlineStr">
        <is>
          <t>Manticore — 1 model (165 pts)</t>
        </is>
      </c>
      <c r="F279" s="55" t="n">
        <v>165</v>
      </c>
      <c r="G279" s="54" t="n">
        <v>8</v>
      </c>
      <c r="H279" s="54" t="inlineStr">
        <is>
          <t>Uploaded PDF: Munitorum Field Manual v2.3 / March 2025</t>
        </is>
      </c>
    </row>
    <row r="280">
      <c r="A280" s="54" t="inlineStr">
        <is>
          <t>Astra Militarum</t>
        </is>
      </c>
      <c r="B280" s="54" t="inlineStr">
        <is>
          <t>Militarum Tempestus Command Squad</t>
        </is>
      </c>
      <c r="C280" s="54" t="inlineStr">
        <is>
          <t>5 models</t>
        </is>
      </c>
      <c r="D280" s="55" t="n">
        <v>85</v>
      </c>
      <c r="E280" s="55" t="inlineStr">
        <is>
          <t>Militarum Tempestus Command Squad — 5 models (85 pts)</t>
        </is>
      </c>
      <c r="F280" s="55" t="n">
        <v>85</v>
      </c>
      <c r="G280" s="54" t="n">
        <v>8</v>
      </c>
      <c r="H280" s="54" t="inlineStr">
        <is>
          <t>Uploaded PDF: Munitorum Field Manual v2.3 / March 2025</t>
        </is>
      </c>
    </row>
    <row r="281">
      <c r="A281" s="54" t="inlineStr">
        <is>
          <t>Astra Militarum</t>
        </is>
      </c>
      <c r="B281" s="54" t="inlineStr">
        <is>
          <t>Ministorum Priest</t>
        </is>
      </c>
      <c r="C281" s="54" t="inlineStr">
        <is>
          <t>1 model</t>
        </is>
      </c>
      <c r="D281" s="55" t="n">
        <v>35</v>
      </c>
      <c r="E281" s="55" t="inlineStr">
        <is>
          <t>Ministorum Priest — 1 model (35 pts)</t>
        </is>
      </c>
      <c r="F281" s="55" t="n">
        <v>35</v>
      </c>
      <c r="G281" s="54" t="n">
        <v>8</v>
      </c>
      <c r="H281" s="54" t="inlineStr">
        <is>
          <t>Uploaded PDF: Munitorum Field Manual v2.3 / March 2025</t>
        </is>
      </c>
    </row>
    <row r="282">
      <c r="A282" s="54" t="inlineStr">
        <is>
          <t>Astra Militarum</t>
        </is>
      </c>
      <c r="B282" s="54" t="inlineStr">
        <is>
          <t>Nork Deddog</t>
        </is>
      </c>
      <c r="C282" s="54" t="inlineStr">
        <is>
          <t>1 model</t>
        </is>
      </c>
      <c r="D282" s="55" t="n">
        <v>60</v>
      </c>
      <c r="E282" s="55" t="inlineStr">
        <is>
          <t>Nork Deddog — 1 model (60 pts)</t>
        </is>
      </c>
      <c r="F282" s="55" t="n">
        <v>60</v>
      </c>
      <c r="G282" s="54" t="n">
        <v>8</v>
      </c>
      <c r="H282" s="54" t="inlineStr">
        <is>
          <t>Uploaded PDF: Munitorum Field Manual v2.3 / March 2025</t>
        </is>
      </c>
    </row>
    <row r="283">
      <c r="A283" s="54" t="inlineStr">
        <is>
          <t>Astra Militarum</t>
        </is>
      </c>
      <c r="B283" s="54" t="inlineStr">
        <is>
          <t>Ogryn Bodyguard</t>
        </is>
      </c>
      <c r="C283" s="54" t="inlineStr">
        <is>
          <t>1 model</t>
        </is>
      </c>
      <c r="D283" s="55" t="n">
        <v>40</v>
      </c>
      <c r="E283" s="55" t="inlineStr">
        <is>
          <t>Ogryn Bodyguard — 1 model (40 pts)</t>
        </is>
      </c>
      <c r="F283" s="55" t="n">
        <v>40</v>
      </c>
      <c r="G283" s="54" t="n">
        <v>8</v>
      </c>
      <c r="H283" s="54" t="inlineStr">
        <is>
          <t>Uploaded PDF: Munitorum Field Manual v2.3 / March 2025</t>
        </is>
      </c>
    </row>
    <row r="284">
      <c r="A284" s="54" t="inlineStr">
        <is>
          <t>Astra Militarum</t>
        </is>
      </c>
      <c r="B284" s="54" t="inlineStr">
        <is>
          <t>Ogryn Squad</t>
        </is>
      </c>
      <c r="C284" s="54" t="inlineStr">
        <is>
          <t>3 models</t>
        </is>
      </c>
      <c r="D284" s="55" t="n">
        <v>60</v>
      </c>
      <c r="E284" s="55" t="inlineStr">
        <is>
          <t>Ogryn Squad — 3 models (60 pts)</t>
        </is>
      </c>
      <c r="F284" s="55" t="n">
        <v>60</v>
      </c>
      <c r="G284" s="54" t="n">
        <v>8</v>
      </c>
      <c r="H284" s="54" t="inlineStr">
        <is>
          <t>Uploaded PDF: Munitorum Field Manual v2.3 / March 2025</t>
        </is>
      </c>
    </row>
    <row r="285">
      <c r="A285" s="54" t="inlineStr">
        <is>
          <t>Astra Militarum</t>
        </is>
      </c>
      <c r="B285" s="54" t="inlineStr">
        <is>
          <t>Ogryn Squad</t>
        </is>
      </c>
      <c r="C285" s="54" t="inlineStr">
        <is>
          <t>6 models</t>
        </is>
      </c>
      <c r="D285" s="55" t="n">
        <v>130</v>
      </c>
      <c r="E285" s="55" t="inlineStr">
        <is>
          <t>Ogryn Squad — 6 models (130 pts)</t>
        </is>
      </c>
      <c r="F285" s="55" t="n">
        <v>130</v>
      </c>
      <c r="G285" s="54" t="n">
        <v>8</v>
      </c>
      <c r="H285" s="54" t="inlineStr">
        <is>
          <t>Uploaded PDF: Munitorum Field Manual v2.3 / March 2025</t>
        </is>
      </c>
    </row>
    <row r="286">
      <c r="A286" s="54" t="inlineStr">
        <is>
          <t>Astra Militarum</t>
        </is>
      </c>
      <c r="B286" s="54" t="inlineStr">
        <is>
          <t>Primaris Psyker</t>
        </is>
      </c>
      <c r="C286" s="54" t="inlineStr">
        <is>
          <t>1 model</t>
        </is>
      </c>
      <c r="D286" s="55" t="n">
        <v>60</v>
      </c>
      <c r="E286" s="55" t="inlineStr">
        <is>
          <t>Primaris Psyker — 1 model (60 pts)</t>
        </is>
      </c>
      <c r="F286" s="55" t="n">
        <v>60</v>
      </c>
      <c r="G286" s="54" t="n">
        <v>8</v>
      </c>
      <c r="H286" s="54" t="inlineStr">
        <is>
          <t>Uploaded PDF: Munitorum Field Manual v2.3 / March 2025</t>
        </is>
      </c>
    </row>
    <row r="287">
      <c r="A287" s="54" t="inlineStr">
        <is>
          <t>Astra Militarum</t>
        </is>
      </c>
      <c r="B287" s="54" t="inlineStr">
        <is>
          <t>Ratlings</t>
        </is>
      </c>
      <c r="C287" s="54" t="inlineStr">
        <is>
          <t>5 models</t>
        </is>
      </c>
      <c r="D287" s="55" t="n">
        <v>60</v>
      </c>
      <c r="E287" s="55" t="inlineStr">
        <is>
          <t>Ratlings — 5 models (60 pts)</t>
        </is>
      </c>
      <c r="F287" s="55" t="n">
        <v>60</v>
      </c>
      <c r="G287" s="54" t="n">
        <v>8</v>
      </c>
      <c r="H287" s="54" t="inlineStr">
        <is>
          <t>Uploaded PDF: Munitorum Field Manual v2.3 / March 2025</t>
        </is>
      </c>
    </row>
    <row r="288">
      <c r="A288" s="54" t="inlineStr">
        <is>
          <t>Astra Militarum</t>
        </is>
      </c>
      <c r="B288" s="54" t="inlineStr">
        <is>
          <t>Ratlings</t>
        </is>
      </c>
      <c r="C288" s="54" t="inlineStr">
        <is>
          <t>10 models</t>
        </is>
      </c>
      <c r="D288" s="55" t="n">
        <v>100</v>
      </c>
      <c r="E288" s="55" t="inlineStr">
        <is>
          <t>Ratlings — 10 models (100 pts)</t>
        </is>
      </c>
      <c r="F288" s="55" t="n">
        <v>100</v>
      </c>
      <c r="G288" s="54" t="n">
        <v>8</v>
      </c>
      <c r="H288" s="54" t="inlineStr">
        <is>
          <t>Uploaded PDF: Munitorum Field Manual v2.3 / March 2025</t>
        </is>
      </c>
    </row>
    <row r="289">
      <c r="A289" s="54" t="inlineStr">
        <is>
          <t>Astra Militarum</t>
        </is>
      </c>
      <c r="B289" s="54" t="inlineStr">
        <is>
          <t>Rogal Dorn Battle Tank</t>
        </is>
      </c>
      <c r="C289" s="54" t="inlineStr">
        <is>
          <t>1 model</t>
        </is>
      </c>
      <c r="D289" s="55" t="n">
        <v>240</v>
      </c>
      <c r="E289" s="55" t="inlineStr">
        <is>
          <t>Rogal Dorn Battle Tank — 1 model (240 pts)</t>
        </is>
      </c>
      <c r="F289" s="55" t="n">
        <v>240</v>
      </c>
      <c r="G289" s="54" t="n">
        <v>8</v>
      </c>
      <c r="H289" s="54" t="inlineStr">
        <is>
          <t>Uploaded PDF: Munitorum Field Manual v2.3 / March 2025</t>
        </is>
      </c>
    </row>
    <row r="290">
      <c r="A290" s="54" t="inlineStr">
        <is>
          <t>Astra Militarum</t>
        </is>
      </c>
      <c r="B290" s="54" t="inlineStr">
        <is>
          <t>Rogal Dorn Commander</t>
        </is>
      </c>
      <c r="C290" s="54" t="inlineStr">
        <is>
          <t>1 model</t>
        </is>
      </c>
      <c r="D290" s="55" t="n">
        <v>265</v>
      </c>
      <c r="E290" s="55" t="inlineStr">
        <is>
          <t>Rogal Dorn Commander — 1 model (265 pts)</t>
        </is>
      </c>
      <c r="F290" s="55" t="n">
        <v>265</v>
      </c>
      <c r="G290" s="54" t="n">
        <v>8</v>
      </c>
      <c r="H290" s="54" t="inlineStr">
        <is>
          <t>Uploaded PDF: Munitorum Field Manual v2.3 / March 2025</t>
        </is>
      </c>
    </row>
    <row r="291">
      <c r="A291" s="54" t="inlineStr">
        <is>
          <t>Astra Militarum</t>
        </is>
      </c>
      <c r="B291" s="54" t="inlineStr">
        <is>
          <t>Scout Sentinels</t>
        </is>
      </c>
      <c r="C291" s="54" t="inlineStr">
        <is>
          <t>1 model</t>
        </is>
      </c>
      <c r="D291" s="55" t="n">
        <v>55</v>
      </c>
      <c r="E291" s="55" t="inlineStr">
        <is>
          <t>Scout Sentinels — 1 model (55 pts)</t>
        </is>
      </c>
      <c r="F291" s="55" t="n">
        <v>55</v>
      </c>
      <c r="G291" s="54" t="n">
        <v>8</v>
      </c>
      <c r="H291" s="54" t="inlineStr">
        <is>
          <t>Uploaded PDF: Munitorum Field Manual v2.3 / March 2025</t>
        </is>
      </c>
    </row>
    <row r="292">
      <c r="A292" s="54" t="inlineStr">
        <is>
          <t>Astra Militarum</t>
        </is>
      </c>
      <c r="B292" s="54" t="inlineStr">
        <is>
          <t>Scout Sentinels</t>
        </is>
      </c>
      <c r="C292" s="54" t="inlineStr">
        <is>
          <t>2 models</t>
        </is>
      </c>
      <c r="D292" s="55" t="n">
        <v>110</v>
      </c>
      <c r="E292" s="55" t="inlineStr">
        <is>
          <t>Scout Sentinels — 2 models (110 pts)</t>
        </is>
      </c>
      <c r="F292" s="55" t="n">
        <v>110</v>
      </c>
      <c r="G292" s="54" t="n">
        <v>8</v>
      </c>
      <c r="H292" s="54" t="inlineStr">
        <is>
          <t>Uploaded PDF: Munitorum Field Manual v2.3 / March 2025</t>
        </is>
      </c>
    </row>
    <row r="293">
      <c r="A293" s="54" t="inlineStr">
        <is>
          <t>Astra Militarum</t>
        </is>
      </c>
      <c r="B293" s="54" t="inlineStr">
        <is>
          <t>Shadowsword</t>
        </is>
      </c>
      <c r="C293" s="54" t="inlineStr">
        <is>
          <t>1 model</t>
        </is>
      </c>
      <c r="D293" s="55" t="n">
        <v>440</v>
      </c>
      <c r="E293" s="55" t="inlineStr">
        <is>
          <t>Shadowsword — 1 model (440 pts)</t>
        </is>
      </c>
      <c r="F293" s="55" t="n">
        <v>440</v>
      </c>
      <c r="G293" s="54" t="n">
        <v>8</v>
      </c>
      <c r="H293" s="54" t="inlineStr">
        <is>
          <t>Uploaded PDF: Munitorum Field Manual v2.3 / March 2025</t>
        </is>
      </c>
    </row>
    <row r="294">
      <c r="A294" s="54" t="inlineStr">
        <is>
          <t>Astra Militarum</t>
        </is>
      </c>
      <c r="B294" s="54" t="inlineStr">
        <is>
          <t>Sly Marbo</t>
        </is>
      </c>
      <c r="C294" s="54" t="inlineStr">
        <is>
          <t>1 model</t>
        </is>
      </c>
      <c r="D294" s="55" t="n">
        <v>55</v>
      </c>
      <c r="E294" s="55" t="inlineStr">
        <is>
          <t>Sly Marbo — 1 model (55 pts)</t>
        </is>
      </c>
      <c r="F294" s="55" t="n">
        <v>55</v>
      </c>
      <c r="G294" s="54" t="n">
        <v>8</v>
      </c>
      <c r="H294" s="54" t="inlineStr">
        <is>
          <t>Uploaded PDF: Munitorum Field Manual v2.3 / March 2025</t>
        </is>
      </c>
    </row>
    <row r="295">
      <c r="A295" s="54" t="inlineStr">
        <is>
          <t>Astra Militarum</t>
        </is>
      </c>
      <c r="B295" s="54" t="inlineStr">
        <is>
          <t>Stormlord</t>
        </is>
      </c>
      <c r="C295" s="54" t="inlineStr">
        <is>
          <t>1 model</t>
        </is>
      </c>
      <c r="D295" s="55" t="n">
        <v>460</v>
      </c>
      <c r="E295" s="55" t="inlineStr">
        <is>
          <t>Stormlord — 1 model (460 pts)</t>
        </is>
      </c>
      <c r="F295" s="55" t="n">
        <v>460</v>
      </c>
      <c r="G295" s="54" t="n">
        <v>8</v>
      </c>
      <c r="H295" s="54" t="inlineStr">
        <is>
          <t>Uploaded PDF: Munitorum Field Manual v2.3 / March 2025</t>
        </is>
      </c>
    </row>
    <row r="296">
      <c r="A296" s="54" t="inlineStr">
        <is>
          <t>Astra Militarum</t>
        </is>
      </c>
      <c r="B296" s="54" t="inlineStr">
        <is>
          <t>Stormsword</t>
        </is>
      </c>
      <c r="C296" s="54" t="inlineStr">
        <is>
          <t>1 model</t>
        </is>
      </c>
      <c r="D296" s="55" t="n">
        <v>495</v>
      </c>
      <c r="E296" s="55" t="inlineStr">
        <is>
          <t>Stormsword — 1 model (495 pts)</t>
        </is>
      </c>
      <c r="F296" s="55" t="n">
        <v>495</v>
      </c>
      <c r="G296" s="54" t="n">
        <v>8</v>
      </c>
      <c r="H296" s="54" t="inlineStr">
        <is>
          <t>Uploaded PDF: Munitorum Field Manual v2.3 / March 2025</t>
        </is>
      </c>
    </row>
    <row r="297">
      <c r="A297" s="54" t="inlineStr">
        <is>
          <t>Astra Militarum</t>
        </is>
      </c>
      <c r="B297" s="54" t="inlineStr">
        <is>
          <t>Taurox</t>
        </is>
      </c>
      <c r="C297" s="54" t="inlineStr">
        <is>
          <t>1 model</t>
        </is>
      </c>
      <c r="D297" s="55" t="n">
        <v>65</v>
      </c>
      <c r="E297" s="55" t="inlineStr">
        <is>
          <t>Taurox — 1 model (65 pts)</t>
        </is>
      </c>
      <c r="F297" s="55" t="n">
        <v>65</v>
      </c>
      <c r="G297" s="54" t="n">
        <v>8</v>
      </c>
      <c r="H297" s="54" t="inlineStr">
        <is>
          <t>Uploaded PDF: Munitorum Field Manual v2.3 / March 2025</t>
        </is>
      </c>
    </row>
    <row r="298">
      <c r="A298" s="54" t="inlineStr">
        <is>
          <t>Astra Militarum</t>
        </is>
      </c>
      <c r="B298" s="54" t="inlineStr">
        <is>
          <t>Taurox Prime</t>
        </is>
      </c>
      <c r="C298" s="54" t="inlineStr">
        <is>
          <t>1 model</t>
        </is>
      </c>
      <c r="D298" s="55" t="n">
        <v>90</v>
      </c>
      <c r="E298" s="55" t="inlineStr">
        <is>
          <t>Taurox Prime — 1 model (90 pts)</t>
        </is>
      </c>
      <c r="F298" s="55" t="n">
        <v>90</v>
      </c>
      <c r="G298" s="54" t="n">
        <v>8</v>
      </c>
      <c r="H298" s="54" t="inlineStr">
        <is>
          <t>Uploaded PDF: Munitorum Field Manual v2.3 / March 2025</t>
        </is>
      </c>
    </row>
    <row r="299">
      <c r="A299" s="54" t="inlineStr">
        <is>
          <t>Astra Militarum</t>
        </is>
      </c>
      <c r="B299" s="54" t="inlineStr">
        <is>
          <t>Tech-priest Enginseer</t>
        </is>
      </c>
      <c r="C299" s="54" t="inlineStr">
        <is>
          <t>1 model</t>
        </is>
      </c>
      <c r="D299" s="55" t="n">
        <v>45</v>
      </c>
      <c r="E299" s="55" t="inlineStr">
        <is>
          <t>Tech-priest Enginseer — 1 model (45 pts)</t>
        </is>
      </c>
      <c r="F299" s="55" t="n">
        <v>45</v>
      </c>
      <c r="G299" s="54" t="n">
        <v>8</v>
      </c>
      <c r="H299" s="54" t="inlineStr">
        <is>
          <t>Uploaded PDF: Munitorum Field Manual v2.3 / March 2025</t>
        </is>
      </c>
    </row>
    <row r="300">
      <c r="A300" s="54" t="inlineStr">
        <is>
          <t>Astra Militarum</t>
        </is>
      </c>
      <c r="B300" s="54" t="inlineStr">
        <is>
          <t>Tempestus Aquilons</t>
        </is>
      </c>
      <c r="C300" s="54" t="inlineStr">
        <is>
          <t>10 models</t>
        </is>
      </c>
      <c r="D300" s="55" t="n">
        <v>110</v>
      </c>
      <c r="E300" s="55" t="inlineStr">
        <is>
          <t>Tempestus Aquilons — 10 models (110 pts)</t>
        </is>
      </c>
      <c r="F300" s="55" t="n">
        <v>110</v>
      </c>
      <c r="G300" s="54" t="n">
        <v>8</v>
      </c>
      <c r="H300" s="54" t="inlineStr">
        <is>
          <t>Uploaded PDF: Munitorum Field Manual v2.3 / March 2025</t>
        </is>
      </c>
    </row>
    <row r="301">
      <c r="A301" s="54" t="inlineStr">
        <is>
          <t>Astra Militarum</t>
        </is>
      </c>
      <c r="B301" s="54" t="inlineStr">
        <is>
          <t>Tempestus Scions</t>
        </is>
      </c>
      <c r="C301" s="54" t="inlineStr">
        <is>
          <t>5 models</t>
        </is>
      </c>
      <c r="D301" s="55" t="n">
        <v>70</v>
      </c>
      <c r="E301" s="55" t="inlineStr">
        <is>
          <t>Tempestus Scions — 5 models (70 pts)</t>
        </is>
      </c>
      <c r="F301" s="55" t="n">
        <v>70</v>
      </c>
      <c r="G301" s="54" t="n">
        <v>8</v>
      </c>
      <c r="H301" s="54" t="inlineStr">
        <is>
          <t>Uploaded PDF: Munitorum Field Manual v2.3 / March 2025</t>
        </is>
      </c>
    </row>
    <row r="302">
      <c r="A302" s="54" t="inlineStr">
        <is>
          <t>Astra Militarum</t>
        </is>
      </c>
      <c r="B302" s="54" t="inlineStr">
        <is>
          <t>Tempestus Scions</t>
        </is>
      </c>
      <c r="C302" s="54" t="inlineStr">
        <is>
          <t>10 models</t>
        </is>
      </c>
      <c r="D302" s="55" t="n">
        <v>140</v>
      </c>
      <c r="E302" s="55" t="inlineStr">
        <is>
          <t>Tempestus Scions — 10 models (140 pts)</t>
        </is>
      </c>
      <c r="F302" s="55" t="n">
        <v>140</v>
      </c>
      <c r="G302" s="54" t="n">
        <v>8</v>
      </c>
      <c r="H302" s="54" t="inlineStr">
        <is>
          <t>Uploaded PDF: Munitorum Field Manual v2.3 / March 2025</t>
        </is>
      </c>
    </row>
    <row r="303">
      <c r="A303" s="54" t="inlineStr">
        <is>
          <t>Astra Militarum</t>
        </is>
      </c>
      <c r="B303" s="54" t="inlineStr">
        <is>
          <t>Ursula Creed</t>
        </is>
      </c>
      <c r="C303" s="54" t="inlineStr">
        <is>
          <t>1 model</t>
        </is>
      </c>
      <c r="D303" s="55" t="n">
        <v>65</v>
      </c>
      <c r="E303" s="55" t="inlineStr">
        <is>
          <t>Ursula Creed — 1 model (65 pts)</t>
        </is>
      </c>
      <c r="F303" s="55" t="n">
        <v>65</v>
      </c>
      <c r="G303" s="54" t="n">
        <v>8</v>
      </c>
      <c r="H303" s="54" t="inlineStr">
        <is>
          <t>Uploaded PDF: Munitorum Field Manual v2.3 / March 2025</t>
        </is>
      </c>
    </row>
    <row r="304">
      <c r="A304" s="54" t="inlineStr">
        <is>
          <t>Astra Militarum</t>
        </is>
      </c>
      <c r="B304" s="54" t="inlineStr">
        <is>
          <t>Valkyrie</t>
        </is>
      </c>
      <c r="C304" s="54" t="inlineStr">
        <is>
          <t>1 model</t>
        </is>
      </c>
      <c r="D304" s="55" t="n">
        <v>190</v>
      </c>
      <c r="E304" s="55" t="inlineStr">
        <is>
          <t>Valkyrie — 1 model (190 pts)</t>
        </is>
      </c>
      <c r="F304" s="55" t="n">
        <v>190</v>
      </c>
      <c r="G304" s="54" t="n">
        <v>8</v>
      </c>
      <c r="H304" s="54" t="inlineStr">
        <is>
          <t>Uploaded PDF: Munitorum Field Manual v2.3 / March 2025</t>
        </is>
      </c>
    </row>
    <row r="305">
      <c r="A305" s="54" t="inlineStr">
        <is>
          <t>Astra Militarum</t>
        </is>
      </c>
      <c r="B305" s="54" t="inlineStr">
        <is>
          <t>Wyvern</t>
        </is>
      </c>
      <c r="C305" s="54" t="inlineStr">
        <is>
          <t>1 model</t>
        </is>
      </c>
      <c r="D305" s="55" t="n">
        <v>110</v>
      </c>
      <c r="E305" s="55" t="inlineStr">
        <is>
          <t>Wyvern — 1 model (110 pts)</t>
        </is>
      </c>
      <c r="F305" s="55" t="n">
        <v>110</v>
      </c>
      <c r="G305" s="54" t="n">
        <v>8</v>
      </c>
      <c r="H305" s="54" t="inlineStr">
        <is>
          <t>Uploaded PDF: Munitorum Field Manual v2.3 / March 2025</t>
        </is>
      </c>
    </row>
    <row r="306">
      <c r="A306" s="54" t="inlineStr">
        <is>
          <t>Astra Militarum</t>
        </is>
      </c>
      <c r="B306" s="54" t="inlineStr">
        <is>
          <t>Avenger Strike Fighter</t>
        </is>
      </c>
      <c r="C306" s="54" t="inlineStr">
        <is>
          <t>1 model</t>
        </is>
      </c>
      <c r="D306" s="55" t="n">
        <v>130</v>
      </c>
      <c r="E306" s="55" t="inlineStr">
        <is>
          <t>Avenger Strike Fighter — 1 model (130 pts)</t>
        </is>
      </c>
      <c r="F306" s="55" t="n">
        <v>130</v>
      </c>
      <c r="G306" s="54" t="n">
        <v>8</v>
      </c>
      <c r="H306" s="54" t="inlineStr">
        <is>
          <t>Uploaded PDF: Munitorum Field Manual v2.3 / March 2025</t>
        </is>
      </c>
    </row>
    <row r="307">
      <c r="A307" s="54" t="inlineStr">
        <is>
          <t>Astra Militarum</t>
        </is>
      </c>
      <c r="B307" s="54" t="inlineStr">
        <is>
          <t>Cyclops Demolition Vehicle</t>
        </is>
      </c>
      <c r="C307" s="54" t="inlineStr">
        <is>
          <t>1 model</t>
        </is>
      </c>
      <c r="D307" s="55" t="n">
        <v>25</v>
      </c>
      <c r="E307" s="55" t="inlineStr">
        <is>
          <t>Cyclops Demolition Vehicle — 1 model (25 pts)</t>
        </is>
      </c>
      <c r="F307" s="55" t="n">
        <v>25</v>
      </c>
      <c r="G307" s="54" t="n">
        <v>8</v>
      </c>
      <c r="H307" s="54" t="inlineStr">
        <is>
          <t>Uploaded PDF: Munitorum Field Manual v2.3 / March 2025</t>
        </is>
      </c>
    </row>
    <row r="308">
      <c r="A308" s="54" t="inlineStr">
        <is>
          <t>Black Templars</t>
        </is>
      </c>
      <c r="B308" s="54" t="inlineStr">
        <is>
          <t>Black Templars Gladiator Lancer</t>
        </is>
      </c>
      <c r="C308" s="54" t="inlineStr">
        <is>
          <t>1 model</t>
        </is>
      </c>
      <c r="D308" s="55" t="n">
        <v>170</v>
      </c>
      <c r="E308" s="55" t="inlineStr">
        <is>
          <t>Black Templars Gladiator Lancer — 1 model (170 pts)</t>
        </is>
      </c>
      <c r="F308" s="55" t="n">
        <v>170</v>
      </c>
      <c r="G308" s="54" t="n">
        <v>10</v>
      </c>
      <c r="H308" s="54" t="inlineStr">
        <is>
          <t>Uploaded PDF: Munitorum Field Manual v2.3 / March 2025</t>
        </is>
      </c>
    </row>
    <row r="309">
      <c r="A309" s="54" t="inlineStr">
        <is>
          <t>Black Templars</t>
        </is>
      </c>
      <c r="B309" s="54" t="inlineStr">
        <is>
          <t>Black Templars Gladiator Reaper</t>
        </is>
      </c>
      <c r="C309" s="54" t="inlineStr">
        <is>
          <t>1 model</t>
        </is>
      </c>
      <c r="D309" s="55" t="n">
        <v>170</v>
      </c>
      <c r="E309" s="55" t="inlineStr">
        <is>
          <t>Black Templars Gladiator Reaper — 1 model (170 pts)</t>
        </is>
      </c>
      <c r="F309" s="55" t="n">
        <v>170</v>
      </c>
      <c r="G309" s="54" t="n">
        <v>10</v>
      </c>
      <c r="H309" s="54" t="inlineStr">
        <is>
          <t>Uploaded PDF: Munitorum Field Manual v2.3 / March 2025</t>
        </is>
      </c>
    </row>
    <row r="310">
      <c r="A310" s="54" t="inlineStr">
        <is>
          <t>Black Templars</t>
        </is>
      </c>
      <c r="B310" s="54" t="inlineStr">
        <is>
          <t>Black Templars Gladiator Valiant</t>
        </is>
      </c>
      <c r="C310" s="54" t="inlineStr">
        <is>
          <t>1 model</t>
        </is>
      </c>
      <c r="D310" s="55" t="n">
        <v>170</v>
      </c>
      <c r="E310" s="55" t="inlineStr">
        <is>
          <t>Black Templars Gladiator Valiant — 1 model (170 pts)</t>
        </is>
      </c>
      <c r="F310" s="55" t="n">
        <v>170</v>
      </c>
      <c r="G310" s="54" t="n">
        <v>10</v>
      </c>
      <c r="H310" s="54" t="inlineStr">
        <is>
          <t>Uploaded PDF: Munitorum Field Manual v2.3 / March 2025</t>
        </is>
      </c>
    </row>
    <row r="311">
      <c r="A311" s="54" t="inlineStr">
        <is>
          <t>Black Templars</t>
        </is>
      </c>
      <c r="B311" s="54" t="inlineStr">
        <is>
          <t>Black Templars Impulsor</t>
        </is>
      </c>
      <c r="C311" s="54" t="inlineStr">
        <is>
          <t>1 model</t>
        </is>
      </c>
      <c r="D311" s="55" t="n">
        <v>90</v>
      </c>
      <c r="E311" s="55" t="inlineStr">
        <is>
          <t>Black Templars Impulsor — 1 model (90 pts)</t>
        </is>
      </c>
      <c r="F311" s="55" t="n">
        <v>90</v>
      </c>
      <c r="G311" s="54" t="n">
        <v>10</v>
      </c>
      <c r="H311" s="54" t="inlineStr">
        <is>
          <t>Uploaded PDF: Munitorum Field Manual v2.3 / March 2025</t>
        </is>
      </c>
    </row>
    <row r="312">
      <c r="A312" s="54" t="inlineStr">
        <is>
          <t>Black Templars</t>
        </is>
      </c>
      <c r="B312" s="54" t="inlineStr">
        <is>
          <t>Black Templars Repulsor</t>
        </is>
      </c>
      <c r="C312" s="54" t="inlineStr">
        <is>
          <t>1 model</t>
        </is>
      </c>
      <c r="D312" s="55" t="n">
        <v>190</v>
      </c>
      <c r="E312" s="55" t="inlineStr">
        <is>
          <t>Black Templars Repulsor — 1 model (190 pts)</t>
        </is>
      </c>
      <c r="F312" s="55" t="n">
        <v>190</v>
      </c>
      <c r="G312" s="54" t="n">
        <v>10</v>
      </c>
      <c r="H312" s="54" t="inlineStr">
        <is>
          <t>Uploaded PDF: Munitorum Field Manual v2.3 / March 2025</t>
        </is>
      </c>
    </row>
    <row r="313">
      <c r="A313" s="54" t="inlineStr">
        <is>
          <t>Black Templars</t>
        </is>
      </c>
      <c r="B313" s="54" t="inlineStr">
        <is>
          <t>Black Templars Repulsor Executioner</t>
        </is>
      </c>
      <c r="C313" s="54" t="inlineStr">
        <is>
          <t>1 model</t>
        </is>
      </c>
      <c r="D313" s="55" t="n">
        <v>230</v>
      </c>
      <c r="E313" s="55" t="inlineStr">
        <is>
          <t>Black Templars Repulsor Executioner — 1 model (230 pts)</t>
        </is>
      </c>
      <c r="F313" s="55" t="n">
        <v>230</v>
      </c>
      <c r="G313" s="54" t="n">
        <v>10</v>
      </c>
      <c r="H313" s="54" t="inlineStr">
        <is>
          <t>Uploaded PDF: Munitorum Field Manual v2.3 / March 2025</t>
        </is>
      </c>
    </row>
    <row r="314">
      <c r="A314" s="54" t="inlineStr">
        <is>
          <t>Black Templars</t>
        </is>
      </c>
      <c r="B314" s="54" t="inlineStr">
        <is>
          <t>Castellan</t>
        </is>
      </c>
      <c r="C314" s="54" t="inlineStr">
        <is>
          <t>1 model</t>
        </is>
      </c>
      <c r="D314" s="55" t="n">
        <v>60</v>
      </c>
      <c r="E314" s="55" t="inlineStr">
        <is>
          <t>Castellan — 1 model (60 pts)</t>
        </is>
      </c>
      <c r="F314" s="55" t="n">
        <v>60</v>
      </c>
      <c r="G314" s="54" t="n">
        <v>10</v>
      </c>
      <c r="H314" s="54" t="inlineStr">
        <is>
          <t>Uploaded PDF: Munitorum Field Manual v2.3 / March 2025</t>
        </is>
      </c>
    </row>
    <row r="315">
      <c r="A315" s="54" t="inlineStr">
        <is>
          <t>Black Templars</t>
        </is>
      </c>
      <c r="B315" s="54" t="inlineStr">
        <is>
          <t>Chaplain Grimaldus</t>
        </is>
      </c>
      <c r="C315" s="54" t="inlineStr">
        <is>
          <t>4 models</t>
        </is>
      </c>
      <c r="D315" s="55" t="n">
        <v>130</v>
      </c>
      <c r="E315" s="55" t="inlineStr">
        <is>
          <t>Chaplain Grimaldus — 4 models (130 pts)</t>
        </is>
      </c>
      <c r="F315" s="55" t="n">
        <v>130</v>
      </c>
      <c r="G315" s="54" t="n">
        <v>10</v>
      </c>
      <c r="H315" s="54" t="inlineStr">
        <is>
          <t>Uploaded PDF: Munitorum Field Manual v2.3 / March 2025</t>
        </is>
      </c>
    </row>
    <row r="316">
      <c r="A316" s="54" t="inlineStr">
        <is>
          <t>Black Templars</t>
        </is>
      </c>
      <c r="B316" s="54" t="inlineStr">
        <is>
          <t>Crusader Squad</t>
        </is>
      </c>
      <c r="C316" s="54" t="inlineStr">
        <is>
          <t>1 Sword Brother and 4 Initiates</t>
        </is>
      </c>
      <c r="D316" s="55" t="n">
        <v>85</v>
      </c>
      <c r="E316" s="55" t="inlineStr">
        <is>
          <t>Crusader Squad — 1 Sword Brother and 4 Initiates (85 pts)</t>
        </is>
      </c>
      <c r="F316" s="55" t="n">
        <v>85</v>
      </c>
      <c r="G316" s="54" t="n">
        <v>10</v>
      </c>
      <c r="H316" s="54" t="inlineStr">
        <is>
          <t>Uploaded PDF: Munitorum Field Manual v2.3 / March 2025</t>
        </is>
      </c>
    </row>
    <row r="317">
      <c r="A317" s="54" t="inlineStr">
        <is>
          <t>Black Templars</t>
        </is>
      </c>
      <c r="B317" s="54" t="inlineStr">
        <is>
          <t>Crusader Squad</t>
        </is>
      </c>
      <c r="C317" s="54" t="inlineStr">
        <is>
          <t>1 Sword Brother and 9 Initiates</t>
        </is>
      </c>
      <c r="D317" s="55" t="n">
        <v>150</v>
      </c>
      <c r="E317" s="55" t="inlineStr">
        <is>
          <t>Crusader Squad — 1 Sword Brother and 9 Initiates (150 pts)</t>
        </is>
      </c>
      <c r="F317" s="55" t="n">
        <v>150</v>
      </c>
      <c r="G317" s="54" t="n">
        <v>10</v>
      </c>
      <c r="H317" s="54" t="inlineStr">
        <is>
          <t>Uploaded PDF: Munitorum Field Manual v2.3 / March 2025</t>
        </is>
      </c>
    </row>
    <row r="318">
      <c r="A318" s="54" t="inlineStr">
        <is>
          <t>Black Templars</t>
        </is>
      </c>
      <c r="B318" s="54" t="inlineStr">
        <is>
          <t>Crusader Squad</t>
        </is>
      </c>
      <c r="C318" s="54" t="inlineStr">
        <is>
          <t>1 Sword Brother, 4 Initiates and 5 Neophytes</t>
        </is>
      </c>
      <c r="D318" s="55" t="n">
        <v>135</v>
      </c>
      <c r="E318" s="55" t="inlineStr">
        <is>
          <t>Crusader Squad — 1 Sword Brother, 4 Initiates and 5 Neophytes (135 pts)</t>
        </is>
      </c>
      <c r="F318" s="55" t="n">
        <v>135</v>
      </c>
      <c r="G318" s="54" t="n">
        <v>10</v>
      </c>
      <c r="H318" s="54" t="inlineStr">
        <is>
          <t>Uploaded PDF: Munitorum Field Manual v2.3 / March 2025</t>
        </is>
      </c>
    </row>
    <row r="319">
      <c r="A319" s="54" t="inlineStr">
        <is>
          <t>Black Templars</t>
        </is>
      </c>
      <c r="B319" s="54" t="inlineStr">
        <is>
          <t>Crusader Squad</t>
        </is>
      </c>
      <c r="C319" s="54" t="inlineStr">
        <is>
          <t>1 Sword Brother, 9 Initiates and 10 Neophytes</t>
        </is>
      </c>
      <c r="D319" s="55" t="n">
        <v>290</v>
      </c>
      <c r="E319" s="55" t="inlineStr">
        <is>
          <t>Crusader Squad — 1 Sword Brother, 9 Initiates and 10 Neophytes (290 pts)</t>
        </is>
      </c>
      <c r="F319" s="55" t="n">
        <v>290</v>
      </c>
      <c r="G319" s="54" t="n">
        <v>10</v>
      </c>
      <c r="H319" s="54" t="inlineStr">
        <is>
          <t>Uploaded PDF: Munitorum Field Manual v2.3 / March 2025</t>
        </is>
      </c>
    </row>
    <row r="320">
      <c r="A320" s="54" t="inlineStr">
        <is>
          <t>Black Templars</t>
        </is>
      </c>
      <c r="B320" s="54" t="inlineStr">
        <is>
          <t>High Marshal Helbrecht</t>
        </is>
      </c>
      <c r="C320" s="54" t="inlineStr">
        <is>
          <t>1 model</t>
        </is>
      </c>
      <c r="D320" s="55" t="n">
        <v>130</v>
      </c>
      <c r="E320" s="55" t="inlineStr">
        <is>
          <t>High Marshal Helbrecht — 1 model (130 pts)</t>
        </is>
      </c>
      <c r="F320" s="55" t="n">
        <v>130</v>
      </c>
      <c r="G320" s="54" t="n">
        <v>10</v>
      </c>
      <c r="H320" s="54" t="inlineStr">
        <is>
          <t>Uploaded PDF: Munitorum Field Manual v2.3 / March 2025</t>
        </is>
      </c>
    </row>
    <row r="321">
      <c r="A321" s="54" t="inlineStr">
        <is>
          <t>Black Templars</t>
        </is>
      </c>
      <c r="B321" s="54" t="inlineStr">
        <is>
          <t>Marshal</t>
        </is>
      </c>
      <c r="C321" s="54" t="inlineStr">
        <is>
          <t>1 model</t>
        </is>
      </c>
      <c r="D321" s="55" t="n">
        <v>75</v>
      </c>
      <c r="E321" s="55" t="inlineStr">
        <is>
          <t>Marshal — 1 model (75 pts)</t>
        </is>
      </c>
      <c r="F321" s="55" t="n">
        <v>75</v>
      </c>
      <c r="G321" s="54" t="n">
        <v>10</v>
      </c>
      <c r="H321" s="54" t="inlineStr">
        <is>
          <t>Uploaded PDF: Munitorum Field Manual v2.3 / March 2025</t>
        </is>
      </c>
    </row>
    <row r="322">
      <c r="A322" s="54" t="inlineStr">
        <is>
          <t>Black Templars</t>
        </is>
      </c>
      <c r="B322" s="54" t="inlineStr">
        <is>
          <t>Primaris Crusader Squad</t>
        </is>
      </c>
      <c r="C322" s="54" t="inlineStr">
        <is>
          <t>1 Sword Brother, 5 Initiates and 4 Neophytes</t>
        </is>
      </c>
      <c r="D322" s="55" t="n">
        <v>150</v>
      </c>
      <c r="E322" s="55" t="inlineStr">
        <is>
          <t>Primaris Crusader Squad — 1 Sword Brother, 5 Initiates and 4 Neophytes (150 pts)</t>
        </is>
      </c>
      <c r="F322" s="55" t="n">
        <v>150</v>
      </c>
      <c r="G322" s="54" t="n">
        <v>10</v>
      </c>
      <c r="H322" s="54" t="inlineStr">
        <is>
          <t>Uploaded PDF: Munitorum Field Manual v2.3 / March 2025</t>
        </is>
      </c>
    </row>
    <row r="323">
      <c r="A323" s="54" t="inlineStr">
        <is>
          <t>Black Templars</t>
        </is>
      </c>
      <c r="B323" s="54" t="inlineStr">
        <is>
          <t>Primaris Crusader Squad</t>
        </is>
      </c>
      <c r="C323" s="54" t="inlineStr">
        <is>
          <t>1 Sword Brother, 11 Initiates and 8 Neophytes</t>
        </is>
      </c>
      <c r="D323" s="55" t="n">
        <v>320</v>
      </c>
      <c r="E323" s="55" t="inlineStr">
        <is>
          <t>Primaris Crusader Squad — 1 Sword Brother, 11 Initiates and 8 Neophytes (320 pts)</t>
        </is>
      </c>
      <c r="F323" s="55" t="n">
        <v>320</v>
      </c>
      <c r="G323" s="54" t="n">
        <v>10</v>
      </c>
      <c r="H323" s="54" t="inlineStr">
        <is>
          <t>Uploaded PDF: Munitorum Field Manual v2.3 / March 2025</t>
        </is>
      </c>
    </row>
    <row r="324">
      <c r="A324" s="54" t="inlineStr">
        <is>
          <t>Black Templars</t>
        </is>
      </c>
      <c r="B324" s="54" t="inlineStr">
        <is>
          <t>Primaris Sword Brethren</t>
        </is>
      </c>
      <c r="C324" s="54" t="inlineStr">
        <is>
          <t>5 models</t>
        </is>
      </c>
      <c r="D324" s="55" t="n">
        <v>150</v>
      </c>
      <c r="E324" s="55" t="inlineStr">
        <is>
          <t>Primaris Sword Brethren — 5 models (150 pts)</t>
        </is>
      </c>
      <c r="F324" s="55" t="n">
        <v>150</v>
      </c>
      <c r="G324" s="54" t="n">
        <v>10</v>
      </c>
      <c r="H324" s="54" t="inlineStr">
        <is>
          <t>Uploaded PDF: Munitorum Field Manual v2.3 / March 2025</t>
        </is>
      </c>
    </row>
    <row r="325">
      <c r="A325" s="54" t="inlineStr">
        <is>
          <t>Black Templars</t>
        </is>
      </c>
      <c r="B325" s="54" t="inlineStr">
        <is>
          <t>Primaris Sword Brethren</t>
        </is>
      </c>
      <c r="C325" s="54" t="inlineStr">
        <is>
          <t>10 models</t>
        </is>
      </c>
      <c r="D325" s="55" t="n">
        <v>300</v>
      </c>
      <c r="E325" s="55" t="inlineStr">
        <is>
          <t>Primaris Sword Brethren — 10 models (300 pts)</t>
        </is>
      </c>
      <c r="F325" s="55" t="n">
        <v>300</v>
      </c>
      <c r="G325" s="54" t="n">
        <v>10</v>
      </c>
      <c r="H325" s="54" t="inlineStr">
        <is>
          <t>Uploaded PDF: Munitorum Field Manual v2.3 / March 2025</t>
        </is>
      </c>
    </row>
    <row r="326">
      <c r="A326" s="54" t="inlineStr">
        <is>
          <t>Black Templars</t>
        </is>
      </c>
      <c r="B326" s="54" t="inlineStr">
        <is>
          <t>The Emperor’s Champion</t>
        </is>
      </c>
      <c r="C326" s="54" t="inlineStr">
        <is>
          <t>1 model</t>
        </is>
      </c>
      <c r="D326" s="55" t="n">
        <v>75</v>
      </c>
      <c r="E326" s="55" t="inlineStr">
        <is>
          <t>The Emperor’s Champion — 1 model (75 pts)</t>
        </is>
      </c>
      <c r="F326" s="55" t="n">
        <v>75</v>
      </c>
      <c r="G326" s="54" t="n">
        <v>10</v>
      </c>
      <c r="H326" s="54" t="inlineStr">
        <is>
          <t>Uploaded PDF: Munitorum Field Manual v2.3 / March 2025</t>
        </is>
      </c>
    </row>
    <row r="327">
      <c r="A327" s="54" t="inlineStr">
        <is>
          <t>Blood Angels</t>
        </is>
      </c>
      <c r="B327" s="54" t="inlineStr">
        <is>
          <t>Astorath</t>
        </is>
      </c>
      <c r="C327" s="54" t="inlineStr">
        <is>
          <t>1 model</t>
        </is>
      </c>
      <c r="D327" s="55" t="n">
        <v>105</v>
      </c>
      <c r="E327" s="55" t="inlineStr">
        <is>
          <t>Astorath — 1 model (105 pts)</t>
        </is>
      </c>
      <c r="F327" s="55" t="n">
        <v>105</v>
      </c>
      <c r="G327" s="54" t="n">
        <v>11</v>
      </c>
      <c r="H327" s="54" t="inlineStr">
        <is>
          <t>Uploaded PDF: Munitorum Field Manual v2.3 / March 2025</t>
        </is>
      </c>
    </row>
    <row r="328">
      <c r="A328" s="54" t="inlineStr">
        <is>
          <t>Blood Angels</t>
        </is>
      </c>
      <c r="B328" s="54" t="inlineStr">
        <is>
          <t>Baal Predator</t>
        </is>
      </c>
      <c r="C328" s="54" t="inlineStr">
        <is>
          <t>1 model</t>
        </is>
      </c>
      <c r="D328" s="55" t="n">
        <v>135</v>
      </c>
      <c r="E328" s="55" t="inlineStr">
        <is>
          <t>Baal Predator — 1 model (135 pts)</t>
        </is>
      </c>
      <c r="F328" s="55" t="n">
        <v>135</v>
      </c>
      <c r="G328" s="54" t="n">
        <v>11</v>
      </c>
      <c r="H328" s="54" t="inlineStr">
        <is>
          <t>Uploaded PDF: Munitorum Field Manual v2.3 / March 2025</t>
        </is>
      </c>
    </row>
    <row r="329">
      <c r="A329" s="54" t="inlineStr">
        <is>
          <t>Blood Angels</t>
        </is>
      </c>
      <c r="B329" s="54" t="inlineStr">
        <is>
          <t>Blood Angels Captain</t>
        </is>
      </c>
      <c r="C329" s="54" t="inlineStr">
        <is>
          <t>1 model</t>
        </is>
      </c>
      <c r="D329" s="55" t="n">
        <v>80</v>
      </c>
      <c r="E329" s="55" t="inlineStr">
        <is>
          <t>Blood Angels Captain — 1 model (80 pts)</t>
        </is>
      </c>
      <c r="F329" s="55" t="n">
        <v>80</v>
      </c>
      <c r="G329" s="54" t="n">
        <v>11</v>
      </c>
      <c r="H329" s="54" t="inlineStr">
        <is>
          <t>Uploaded PDF: Munitorum Field Manual v2.3 / March 2025</t>
        </is>
      </c>
    </row>
    <row r="330">
      <c r="A330" s="54" t="inlineStr">
        <is>
          <t>Blood Angels</t>
        </is>
      </c>
      <c r="B330" s="54" t="inlineStr">
        <is>
          <t>Chief Librarian Mephiston</t>
        </is>
      </c>
      <c r="C330" s="54" t="inlineStr">
        <is>
          <t>1 model</t>
        </is>
      </c>
      <c r="D330" s="55" t="n">
        <v>135</v>
      </c>
      <c r="E330" s="55" t="inlineStr">
        <is>
          <t>Chief Librarian Mephiston — 1 model (135 pts)</t>
        </is>
      </c>
      <c r="F330" s="55" t="n">
        <v>135</v>
      </c>
      <c r="G330" s="54" t="n">
        <v>11</v>
      </c>
      <c r="H330" s="54" t="inlineStr">
        <is>
          <t>Uploaded PDF: Munitorum Field Manual v2.3 / March 2025</t>
        </is>
      </c>
    </row>
    <row r="331">
      <c r="A331" s="54" t="inlineStr">
        <is>
          <t>Blood Angels</t>
        </is>
      </c>
      <c r="B331" s="54" t="inlineStr">
        <is>
          <t>Commander Dante</t>
        </is>
      </c>
      <c r="C331" s="54" t="inlineStr">
        <is>
          <t>1 model</t>
        </is>
      </c>
      <c r="D331" s="55" t="n">
        <v>130</v>
      </c>
      <c r="E331" s="55" t="inlineStr">
        <is>
          <t>Commander Dante — 1 model (130 pts)</t>
        </is>
      </c>
      <c r="F331" s="55" t="n">
        <v>130</v>
      </c>
      <c r="G331" s="54" t="n">
        <v>11</v>
      </c>
      <c r="H331" s="54" t="inlineStr">
        <is>
          <t>Uploaded PDF: Munitorum Field Manual v2.3 / March 2025</t>
        </is>
      </c>
    </row>
    <row r="332">
      <c r="A332" s="54" t="inlineStr">
        <is>
          <t>Blood Angels</t>
        </is>
      </c>
      <c r="B332" s="54" t="inlineStr">
        <is>
          <t>Death Company Captain</t>
        </is>
      </c>
      <c r="C332" s="54" t="inlineStr">
        <is>
          <t>1 model</t>
        </is>
      </c>
      <c r="D332" s="55" t="n">
        <v>70</v>
      </c>
      <c r="E332" s="55" t="inlineStr">
        <is>
          <t>Death Company Captain — 1 model (70 pts)</t>
        </is>
      </c>
      <c r="F332" s="55" t="n">
        <v>70</v>
      </c>
      <c r="G332" s="54" t="n">
        <v>11</v>
      </c>
      <c r="H332" s="54" t="inlineStr">
        <is>
          <t>Uploaded PDF: Munitorum Field Manual v2.3 / March 2025</t>
        </is>
      </c>
    </row>
    <row r="333">
      <c r="A333" s="54" t="inlineStr">
        <is>
          <t>Blood Angels</t>
        </is>
      </c>
      <c r="B333" s="54" t="inlineStr">
        <is>
          <t>Death Company Captain with Jump Pack</t>
        </is>
      </c>
      <c r="C333" s="54" t="inlineStr">
        <is>
          <t>1 model</t>
        </is>
      </c>
      <c r="D333" s="55" t="n">
        <v>75</v>
      </c>
      <c r="E333" s="55" t="inlineStr">
        <is>
          <t>Death Company Captain with Jump Pack — 1 model (75 pts)</t>
        </is>
      </c>
      <c r="F333" s="55" t="n">
        <v>75</v>
      </c>
      <c r="G333" s="54" t="n">
        <v>11</v>
      </c>
      <c r="H333" s="54" t="inlineStr">
        <is>
          <t>Uploaded PDF: Munitorum Field Manual v2.3 / March 2025</t>
        </is>
      </c>
    </row>
    <row r="334">
      <c r="A334" s="54" t="inlineStr">
        <is>
          <t>Blood Angels</t>
        </is>
      </c>
      <c r="B334" s="54" t="inlineStr">
        <is>
          <t>Death Company Dreadnought</t>
        </is>
      </c>
      <c r="C334" s="54" t="inlineStr">
        <is>
          <t>1 model</t>
        </is>
      </c>
      <c r="D334" s="55" t="n">
        <v>180</v>
      </c>
      <c r="E334" s="55" t="inlineStr">
        <is>
          <t>Death Company Dreadnought — 1 model (180 pts)</t>
        </is>
      </c>
      <c r="F334" s="55" t="n">
        <v>180</v>
      </c>
      <c r="G334" s="54" t="n">
        <v>11</v>
      </c>
      <c r="H334" s="54" t="inlineStr">
        <is>
          <t>Uploaded PDF: Munitorum Field Manual v2.3 / March 2025</t>
        </is>
      </c>
    </row>
    <row r="335">
      <c r="A335" s="54" t="inlineStr">
        <is>
          <t>Blood Angels</t>
        </is>
      </c>
      <c r="B335" s="54" t="inlineStr">
        <is>
          <t>Death Company Marines</t>
        </is>
      </c>
      <c r="C335" s="54" t="inlineStr">
        <is>
          <t>5 models</t>
        </is>
      </c>
      <c r="D335" s="55" t="n">
        <v>85</v>
      </c>
      <c r="E335" s="55" t="inlineStr">
        <is>
          <t>Death Company Marines — 5 models (85 pts)</t>
        </is>
      </c>
      <c r="F335" s="55" t="n">
        <v>85</v>
      </c>
      <c r="G335" s="54" t="n">
        <v>11</v>
      </c>
      <c r="H335" s="54" t="inlineStr">
        <is>
          <t>Uploaded PDF: Munitorum Field Manual v2.3 / March 2025</t>
        </is>
      </c>
    </row>
    <row r="336">
      <c r="A336" s="54" t="inlineStr">
        <is>
          <t>Blood Angels</t>
        </is>
      </c>
      <c r="B336" s="54" t="inlineStr">
        <is>
          <t>Death Company Marines</t>
        </is>
      </c>
      <c r="C336" s="54" t="inlineStr">
        <is>
          <t>10 models</t>
        </is>
      </c>
      <c r="D336" s="55" t="n">
        <v>160</v>
      </c>
      <c r="E336" s="55" t="inlineStr">
        <is>
          <t>Death Company Marines — 10 models (160 pts)</t>
        </is>
      </c>
      <c r="F336" s="55" t="n">
        <v>160</v>
      </c>
      <c r="G336" s="54" t="n">
        <v>11</v>
      </c>
      <c r="H336" s="54" t="inlineStr">
        <is>
          <t>Uploaded PDF: Munitorum Field Manual v2.3 / March 2025</t>
        </is>
      </c>
    </row>
    <row r="337">
      <c r="A337" s="54" t="inlineStr">
        <is>
          <t>Blood Angels</t>
        </is>
      </c>
      <c r="B337" s="54" t="inlineStr">
        <is>
          <t>Death Company Marines with Bolt Rifles</t>
        </is>
      </c>
      <c r="C337" s="54" t="inlineStr">
        <is>
          <t>5 models</t>
        </is>
      </c>
      <c r="D337" s="55" t="n">
        <v>85</v>
      </c>
      <c r="E337" s="55" t="inlineStr">
        <is>
          <t>Death Company Marines with Bolt Rifles — 5 models (85 pts)</t>
        </is>
      </c>
      <c r="F337" s="55" t="n">
        <v>85</v>
      </c>
      <c r="G337" s="54" t="n">
        <v>11</v>
      </c>
      <c r="H337" s="54" t="inlineStr">
        <is>
          <t>Uploaded PDF: Munitorum Field Manual v2.3 / March 2025</t>
        </is>
      </c>
    </row>
    <row r="338">
      <c r="A338" s="54" t="inlineStr">
        <is>
          <t>Blood Angels</t>
        </is>
      </c>
      <c r="B338" s="54" t="inlineStr">
        <is>
          <t>Death Company Marines with Bolt Rifles</t>
        </is>
      </c>
      <c r="C338" s="54" t="inlineStr">
        <is>
          <t>10 models</t>
        </is>
      </c>
      <c r="D338" s="55" t="n">
        <v>160</v>
      </c>
      <c r="E338" s="55" t="inlineStr">
        <is>
          <t>Death Company Marines with Bolt Rifles — 10 models (160 pts)</t>
        </is>
      </c>
      <c r="F338" s="55" t="n">
        <v>160</v>
      </c>
      <c r="G338" s="54" t="n">
        <v>11</v>
      </c>
      <c r="H338" s="54" t="inlineStr">
        <is>
          <t>Uploaded PDF: Munitorum Field Manual v2.3 / March 2025</t>
        </is>
      </c>
    </row>
    <row r="339">
      <c r="A339" s="54" t="inlineStr">
        <is>
          <t>Blood Angels</t>
        </is>
      </c>
      <c r="B339" s="54" t="inlineStr">
        <is>
          <t>Death Company Marines with Jump Packs</t>
        </is>
      </c>
      <c r="C339" s="54" t="inlineStr">
        <is>
          <t>5 models</t>
        </is>
      </c>
      <c r="D339" s="55" t="n">
        <v>130</v>
      </c>
      <c r="E339" s="55" t="inlineStr">
        <is>
          <t>Death Company Marines with Jump Packs — 5 models (130 pts)</t>
        </is>
      </c>
      <c r="F339" s="55" t="n">
        <v>130</v>
      </c>
      <c r="G339" s="54" t="n">
        <v>11</v>
      </c>
      <c r="H339" s="54" t="inlineStr">
        <is>
          <t>Uploaded PDF: Munitorum Field Manual v2.3 / March 2025</t>
        </is>
      </c>
    </row>
    <row r="340">
      <c r="A340" s="54" t="inlineStr">
        <is>
          <t>Blood Angels</t>
        </is>
      </c>
      <c r="B340" s="54" t="inlineStr">
        <is>
          <t>Death Company Marines with Jump Packs</t>
        </is>
      </c>
      <c r="C340" s="54" t="inlineStr">
        <is>
          <t>10 models</t>
        </is>
      </c>
      <c r="D340" s="55" t="n">
        <v>240</v>
      </c>
      <c r="E340" s="55" t="inlineStr">
        <is>
          <t>Death Company Marines with Jump Packs — 10 models (240 pts)</t>
        </is>
      </c>
      <c r="F340" s="55" t="n">
        <v>240</v>
      </c>
      <c r="G340" s="54" t="n">
        <v>11</v>
      </c>
      <c r="H340" s="54" t="inlineStr">
        <is>
          <t>Uploaded PDF: Munitorum Field Manual v2.3 / March 2025</t>
        </is>
      </c>
    </row>
    <row r="341">
      <c r="A341" s="54" t="inlineStr">
        <is>
          <t>Blood Angels</t>
        </is>
      </c>
      <c r="B341" s="54" t="inlineStr">
        <is>
          <t>Lemartes</t>
        </is>
      </c>
      <c r="C341" s="54" t="inlineStr">
        <is>
          <t>1 model</t>
        </is>
      </c>
      <c r="D341" s="55" t="n">
        <v>110</v>
      </c>
      <c r="E341" s="55" t="inlineStr">
        <is>
          <t>Lemartes — 1 model (110 pts)</t>
        </is>
      </c>
      <c r="F341" s="55" t="n">
        <v>110</v>
      </c>
      <c r="G341" s="54" t="n">
        <v>11</v>
      </c>
      <c r="H341" s="54" t="inlineStr">
        <is>
          <t>Uploaded PDF: Munitorum Field Manual v2.3 / March 2025</t>
        </is>
      </c>
    </row>
    <row r="342">
      <c r="A342" s="54" t="inlineStr">
        <is>
          <t>Blood Angels</t>
        </is>
      </c>
      <c r="B342" s="54" t="inlineStr">
        <is>
          <t>Sanguinary Guard</t>
        </is>
      </c>
      <c r="C342" s="54" t="inlineStr">
        <is>
          <t>3 models</t>
        </is>
      </c>
      <c r="D342" s="55" t="n">
        <v>130</v>
      </c>
      <c r="E342" s="55" t="inlineStr">
        <is>
          <t>Sanguinary Guard — 3 models (130 pts)</t>
        </is>
      </c>
      <c r="F342" s="55" t="n">
        <v>130</v>
      </c>
      <c r="G342" s="54" t="n">
        <v>11</v>
      </c>
      <c r="H342" s="54" t="inlineStr">
        <is>
          <t>Uploaded PDF: Munitorum Field Manual v2.3 / March 2025</t>
        </is>
      </c>
    </row>
    <row r="343">
      <c r="A343" s="54" t="inlineStr">
        <is>
          <t>Blood Angels</t>
        </is>
      </c>
      <c r="B343" s="54" t="inlineStr">
        <is>
          <t>Sanguinary Guard</t>
        </is>
      </c>
      <c r="C343" s="54" t="inlineStr">
        <is>
          <t>6 models</t>
        </is>
      </c>
      <c r="D343" s="55" t="n">
        <v>260</v>
      </c>
      <c r="E343" s="55" t="inlineStr">
        <is>
          <t>Sanguinary Guard — 6 models (260 pts)</t>
        </is>
      </c>
      <c r="F343" s="55" t="n">
        <v>260</v>
      </c>
      <c r="G343" s="54" t="n">
        <v>11</v>
      </c>
      <c r="H343" s="54" t="inlineStr">
        <is>
          <t>Uploaded PDF: Munitorum Field Manual v2.3 / March 2025</t>
        </is>
      </c>
    </row>
    <row r="344">
      <c r="A344" s="54" t="inlineStr">
        <is>
          <t>Blood Angels</t>
        </is>
      </c>
      <c r="B344" s="54" t="inlineStr">
        <is>
          <t>Sanguinary Priest</t>
        </is>
      </c>
      <c r="C344" s="54" t="inlineStr">
        <is>
          <t>1 model</t>
        </is>
      </c>
      <c r="D344" s="55" t="n">
        <v>90</v>
      </c>
      <c r="E344" s="55" t="inlineStr">
        <is>
          <t>Sanguinary Priest — 1 model (90 pts)</t>
        </is>
      </c>
      <c r="F344" s="55" t="n">
        <v>90</v>
      </c>
      <c r="G344" s="54" t="n">
        <v>11</v>
      </c>
      <c r="H344" s="54" t="inlineStr">
        <is>
          <t>Uploaded PDF: Munitorum Field Manual v2.3 / March 2025</t>
        </is>
      </c>
    </row>
    <row r="345">
      <c r="A345" s="54" t="inlineStr">
        <is>
          <t>Blood Angels</t>
        </is>
      </c>
      <c r="B345" s="54" t="inlineStr">
        <is>
          <t>The Sanguinor</t>
        </is>
      </c>
      <c r="C345" s="54" t="inlineStr">
        <is>
          <t>1 model</t>
        </is>
      </c>
      <c r="D345" s="55" t="n">
        <v>140</v>
      </c>
      <c r="E345" s="55" t="inlineStr">
        <is>
          <t>The Sanguinor — 1 model (140 pts)</t>
        </is>
      </c>
      <c r="F345" s="55" t="n">
        <v>140</v>
      </c>
      <c r="G345" s="54" t="n">
        <v>11</v>
      </c>
      <c r="H345" s="54" t="inlineStr">
        <is>
          <t>Uploaded PDF: Munitorum Field Manual v2.3 / March 2025</t>
        </is>
      </c>
    </row>
    <row r="346">
      <c r="A346" s="54" t="inlineStr">
        <is>
          <t>Chaos Daemons</t>
        </is>
      </c>
      <c r="B346" s="54" t="inlineStr">
        <is>
          <t>Beasts of Nurgle</t>
        </is>
      </c>
      <c r="C346" s="54" t="inlineStr">
        <is>
          <t>1 model</t>
        </is>
      </c>
      <c r="D346" s="55" t="n">
        <v>65</v>
      </c>
      <c r="E346" s="55" t="inlineStr">
        <is>
          <t>Beasts of Nurgle — 1 model (65 pts)</t>
        </is>
      </c>
      <c r="F346" s="55" t="n">
        <v>65</v>
      </c>
      <c r="G346" s="54" t="n">
        <v>12</v>
      </c>
      <c r="H346" s="54" t="inlineStr">
        <is>
          <t>Uploaded PDF: Munitorum Field Manual v2.3 / March 2025</t>
        </is>
      </c>
    </row>
    <row r="347">
      <c r="A347" s="54" t="inlineStr">
        <is>
          <t>Chaos Daemons</t>
        </is>
      </c>
      <c r="B347" s="54" t="inlineStr">
        <is>
          <t>Beasts of Nurgle</t>
        </is>
      </c>
      <c r="C347" s="54" t="inlineStr">
        <is>
          <t>2 models</t>
        </is>
      </c>
      <c r="D347" s="55" t="n">
        <v>130</v>
      </c>
      <c r="E347" s="55" t="inlineStr">
        <is>
          <t>Beasts of Nurgle — 2 models (130 pts)</t>
        </is>
      </c>
      <c r="F347" s="55" t="n">
        <v>130</v>
      </c>
      <c r="G347" s="54" t="n">
        <v>12</v>
      </c>
      <c r="H347" s="54" t="inlineStr">
        <is>
          <t>Uploaded PDF: Munitorum Field Manual v2.3 / March 2025</t>
        </is>
      </c>
    </row>
    <row r="348">
      <c r="A348" s="54" t="inlineStr">
        <is>
          <t>Chaos Daemons</t>
        </is>
      </c>
      <c r="B348" s="54" t="inlineStr">
        <is>
          <t>Be’lakor</t>
        </is>
      </c>
      <c r="C348" s="54" t="inlineStr">
        <is>
          <t>1 model</t>
        </is>
      </c>
      <c r="D348" s="55" t="n">
        <v>375</v>
      </c>
      <c r="E348" s="55" t="inlineStr">
        <is>
          <t>Be’lakor — 1 model (375 pts)</t>
        </is>
      </c>
      <c r="F348" s="55" t="n">
        <v>375</v>
      </c>
      <c r="G348" s="54" t="n">
        <v>12</v>
      </c>
      <c r="H348" s="54" t="inlineStr">
        <is>
          <t>Uploaded PDF: Munitorum Field Manual v2.3 / March 2025</t>
        </is>
      </c>
    </row>
    <row r="349">
      <c r="A349" s="54" t="inlineStr">
        <is>
          <t>Chaos Daemons</t>
        </is>
      </c>
      <c r="B349" s="54" t="inlineStr">
        <is>
          <t>Bloodcrushers</t>
        </is>
      </c>
      <c r="C349" s="54" t="inlineStr">
        <is>
          <t>3 models</t>
        </is>
      </c>
      <c r="D349" s="55" t="n">
        <v>110</v>
      </c>
      <c r="E349" s="55" t="inlineStr">
        <is>
          <t>Bloodcrushers — 3 models (110 pts)</t>
        </is>
      </c>
      <c r="F349" s="55" t="n">
        <v>110</v>
      </c>
      <c r="G349" s="54" t="n">
        <v>12</v>
      </c>
      <c r="H349" s="54" t="inlineStr">
        <is>
          <t>Uploaded PDF: Munitorum Field Manual v2.3 / March 2025</t>
        </is>
      </c>
    </row>
    <row r="350">
      <c r="A350" s="54" t="inlineStr">
        <is>
          <t>Chaos Daemons</t>
        </is>
      </c>
      <c r="B350" s="54" t="inlineStr">
        <is>
          <t>Bloodcrushers</t>
        </is>
      </c>
      <c r="C350" s="54" t="inlineStr">
        <is>
          <t>6 models</t>
        </is>
      </c>
      <c r="D350" s="55" t="n">
        <v>220</v>
      </c>
      <c r="E350" s="55" t="inlineStr">
        <is>
          <t>Bloodcrushers — 6 models (220 pts)</t>
        </is>
      </c>
      <c r="F350" s="55" t="n">
        <v>220</v>
      </c>
      <c r="G350" s="54" t="n">
        <v>12</v>
      </c>
      <c r="H350" s="54" t="inlineStr">
        <is>
          <t>Uploaded PDF: Munitorum Field Manual v2.3 / March 2025</t>
        </is>
      </c>
    </row>
    <row r="351">
      <c r="A351" s="54" t="inlineStr">
        <is>
          <t>Chaos Daemons</t>
        </is>
      </c>
      <c r="B351" s="54" t="inlineStr">
        <is>
          <t>Bloodletters</t>
        </is>
      </c>
      <c r="C351" s="54" t="inlineStr">
        <is>
          <t>10 models</t>
        </is>
      </c>
      <c r="D351" s="55" t="n">
        <v>110</v>
      </c>
      <c r="E351" s="55" t="inlineStr">
        <is>
          <t>Bloodletters — 10 models (110 pts)</t>
        </is>
      </c>
      <c r="F351" s="55" t="n">
        <v>110</v>
      </c>
      <c r="G351" s="54" t="n">
        <v>12</v>
      </c>
      <c r="H351" s="54" t="inlineStr">
        <is>
          <t>Uploaded PDF: Munitorum Field Manual v2.3 / March 2025</t>
        </is>
      </c>
    </row>
    <row r="352">
      <c r="A352" s="54" t="inlineStr">
        <is>
          <t>Chaos Daemons</t>
        </is>
      </c>
      <c r="B352" s="54" t="inlineStr">
        <is>
          <t>Bloodmaster</t>
        </is>
      </c>
      <c r="C352" s="54" t="inlineStr">
        <is>
          <t>1 model</t>
        </is>
      </c>
      <c r="D352" s="55" t="n">
        <v>65</v>
      </c>
      <c r="E352" s="55" t="inlineStr">
        <is>
          <t>Bloodmaster — 1 model (65 pts)</t>
        </is>
      </c>
      <c r="F352" s="55" t="n">
        <v>65</v>
      </c>
      <c r="G352" s="54" t="n">
        <v>12</v>
      </c>
      <c r="H352" s="54" t="inlineStr">
        <is>
          <t>Uploaded PDF: Munitorum Field Manual v2.3 / March 2025</t>
        </is>
      </c>
    </row>
    <row r="353">
      <c r="A353" s="54" t="inlineStr">
        <is>
          <t>Chaos Daemons</t>
        </is>
      </c>
      <c r="B353" s="54" t="inlineStr">
        <is>
          <t>Bloodthirster</t>
        </is>
      </c>
      <c r="C353" s="54" t="inlineStr">
        <is>
          <t>1 model</t>
        </is>
      </c>
      <c r="D353" s="55" t="n">
        <v>305</v>
      </c>
      <c r="E353" s="55" t="inlineStr">
        <is>
          <t>Bloodthirster — 1 model (305 pts)</t>
        </is>
      </c>
      <c r="F353" s="55" t="n">
        <v>305</v>
      </c>
      <c r="G353" s="54" t="n">
        <v>12</v>
      </c>
      <c r="H353" s="54" t="inlineStr">
        <is>
          <t>Uploaded PDF: Munitorum Field Manual v2.3 / March 2025</t>
        </is>
      </c>
    </row>
    <row r="354">
      <c r="A354" s="54" t="inlineStr">
        <is>
          <t>Chaos Daemons</t>
        </is>
      </c>
      <c r="B354" s="54" t="inlineStr">
        <is>
          <t>Blue Horrors</t>
        </is>
      </c>
      <c r="C354" s="54" t="inlineStr">
        <is>
          <t>10 models</t>
        </is>
      </c>
      <c r="D354" s="55" t="n">
        <v>125</v>
      </c>
      <c r="E354" s="55" t="inlineStr">
        <is>
          <t>Blue Horrors — 10 models (125 pts)</t>
        </is>
      </c>
      <c r="F354" s="55" t="n">
        <v>125</v>
      </c>
      <c r="G354" s="54" t="n">
        <v>12</v>
      </c>
      <c r="H354" s="54" t="inlineStr">
        <is>
          <t>Uploaded PDF: Munitorum Field Manual v2.3 / March 2025</t>
        </is>
      </c>
    </row>
    <row r="355">
      <c r="A355" s="54" t="inlineStr">
        <is>
          <t>Chaos Daemons</t>
        </is>
      </c>
      <c r="B355" s="54" t="inlineStr">
        <is>
          <t>Burning Chariot</t>
        </is>
      </c>
      <c r="C355" s="54" t="inlineStr">
        <is>
          <t>1 model</t>
        </is>
      </c>
      <c r="D355" s="55" t="n">
        <v>115</v>
      </c>
      <c r="E355" s="55" t="inlineStr">
        <is>
          <t>Burning Chariot — 1 model (115 pts)</t>
        </is>
      </c>
      <c r="F355" s="55" t="n">
        <v>115</v>
      </c>
      <c r="G355" s="54" t="n">
        <v>12</v>
      </c>
      <c r="H355" s="54" t="inlineStr">
        <is>
          <t>Uploaded PDF: Munitorum Field Manual v2.3 / March 2025</t>
        </is>
      </c>
    </row>
    <row r="356">
      <c r="A356" s="54" t="inlineStr">
        <is>
          <t>Chaos Daemons</t>
        </is>
      </c>
      <c r="B356" s="54" t="inlineStr">
        <is>
          <t>Changecaster</t>
        </is>
      </c>
      <c r="C356" s="54" t="inlineStr">
        <is>
          <t>1 model</t>
        </is>
      </c>
      <c r="D356" s="55" t="n">
        <v>60</v>
      </c>
      <c r="E356" s="55" t="inlineStr">
        <is>
          <t>Changecaster — 1 model (60 pts)</t>
        </is>
      </c>
      <c r="F356" s="55" t="n">
        <v>60</v>
      </c>
      <c r="G356" s="54" t="n">
        <v>12</v>
      </c>
      <c r="H356" s="54" t="inlineStr">
        <is>
          <t>Uploaded PDF: Munitorum Field Manual v2.3 / March 2025</t>
        </is>
      </c>
    </row>
    <row r="357">
      <c r="A357" s="54" t="inlineStr">
        <is>
          <t>Chaos Daemons</t>
        </is>
      </c>
      <c r="B357" s="54" t="inlineStr">
        <is>
          <t>Contorted Epitome</t>
        </is>
      </c>
      <c r="C357" s="54" t="inlineStr">
        <is>
          <t>1 model</t>
        </is>
      </c>
      <c r="D357" s="55" t="n">
        <v>100</v>
      </c>
      <c r="E357" s="55" t="inlineStr">
        <is>
          <t>Contorted Epitome — 1 model (100 pts)</t>
        </is>
      </c>
      <c r="F357" s="55" t="n">
        <v>100</v>
      </c>
      <c r="G357" s="54" t="n">
        <v>12</v>
      </c>
      <c r="H357" s="54" t="inlineStr">
        <is>
          <t>Uploaded PDF: Munitorum Field Manual v2.3 / March 2025</t>
        </is>
      </c>
    </row>
    <row r="358">
      <c r="A358" s="54" t="inlineStr">
        <is>
          <t>Chaos Daemons</t>
        </is>
      </c>
      <c r="B358" s="54" t="inlineStr">
        <is>
          <t>Daemon Prince of Chaos</t>
        </is>
      </c>
      <c r="C358" s="54" t="inlineStr">
        <is>
          <t>1 model</t>
        </is>
      </c>
      <c r="D358" s="55" t="n">
        <v>190</v>
      </c>
      <c r="E358" s="55" t="inlineStr">
        <is>
          <t>Daemon Prince of Chaos — 1 model (190 pts)</t>
        </is>
      </c>
      <c r="F358" s="55" t="n">
        <v>190</v>
      </c>
      <c r="G358" s="54" t="n">
        <v>12</v>
      </c>
      <c r="H358" s="54" t="inlineStr">
        <is>
          <t>Uploaded PDF: Munitorum Field Manual v2.3 / March 2025</t>
        </is>
      </c>
    </row>
    <row r="359">
      <c r="A359" s="54" t="inlineStr">
        <is>
          <t>Chaos Daemons</t>
        </is>
      </c>
      <c r="B359" s="54" t="inlineStr">
        <is>
          <t>Daemon Prince of Chaos with Wings</t>
        </is>
      </c>
      <c r="C359" s="54" t="inlineStr">
        <is>
          <t>1 model</t>
        </is>
      </c>
      <c r="D359" s="55" t="n">
        <v>180</v>
      </c>
      <c r="E359" s="55" t="inlineStr">
        <is>
          <t>Daemon Prince of Chaos with Wings — 1 model (180 pts)</t>
        </is>
      </c>
      <c r="F359" s="55" t="n">
        <v>180</v>
      </c>
      <c r="G359" s="54" t="n">
        <v>12</v>
      </c>
      <c r="H359" s="54" t="inlineStr">
        <is>
          <t>Uploaded PDF: Munitorum Field Manual v2.3 / March 2025</t>
        </is>
      </c>
    </row>
    <row r="360">
      <c r="A360" s="54" t="inlineStr">
        <is>
          <t>Chaos Daemons</t>
        </is>
      </c>
      <c r="B360" s="54" t="inlineStr">
        <is>
          <t>Daemonettes</t>
        </is>
      </c>
      <c r="C360" s="54" t="inlineStr">
        <is>
          <t>10 models</t>
        </is>
      </c>
      <c r="D360" s="55" t="n">
        <v>100</v>
      </c>
      <c r="E360" s="55" t="inlineStr">
        <is>
          <t>Daemonettes — 10 models (100 pts)</t>
        </is>
      </c>
      <c r="F360" s="55" t="n">
        <v>100</v>
      </c>
      <c r="G360" s="54" t="n">
        <v>12</v>
      </c>
      <c r="H360" s="54" t="inlineStr">
        <is>
          <t>Uploaded PDF: Munitorum Field Manual v2.3 / March 2025</t>
        </is>
      </c>
    </row>
    <row r="361">
      <c r="A361" s="54" t="inlineStr">
        <is>
          <t>Chaos Daemons</t>
        </is>
      </c>
      <c r="B361" s="54" t="inlineStr">
        <is>
          <t>Epidemius</t>
        </is>
      </c>
      <c r="C361" s="54" t="inlineStr">
        <is>
          <t>1 model</t>
        </is>
      </c>
      <c r="D361" s="55" t="n">
        <v>80</v>
      </c>
      <c r="E361" s="55" t="inlineStr">
        <is>
          <t>Epidemius — 1 model (80 pts)</t>
        </is>
      </c>
      <c r="F361" s="55" t="n">
        <v>80</v>
      </c>
      <c r="G361" s="54" t="n">
        <v>12</v>
      </c>
      <c r="H361" s="54" t="inlineStr">
        <is>
          <t>Uploaded PDF: Munitorum Field Manual v2.3 / March 2025</t>
        </is>
      </c>
    </row>
    <row r="362">
      <c r="A362" s="54" t="inlineStr">
        <is>
          <t>Chaos Daemons</t>
        </is>
      </c>
      <c r="B362" s="54" t="inlineStr">
        <is>
          <t>Exalted Flamer</t>
        </is>
      </c>
      <c r="C362" s="54" t="inlineStr">
        <is>
          <t>1 model</t>
        </is>
      </c>
      <c r="D362" s="55" t="n">
        <v>65</v>
      </c>
      <c r="E362" s="55" t="inlineStr">
        <is>
          <t>Exalted Flamer — 1 model (65 pts)</t>
        </is>
      </c>
      <c r="F362" s="55" t="n">
        <v>65</v>
      </c>
      <c r="G362" s="54" t="n">
        <v>12</v>
      </c>
      <c r="H362" s="54" t="inlineStr">
        <is>
          <t>Uploaded PDF: Munitorum Field Manual v2.3 / March 2025</t>
        </is>
      </c>
    </row>
    <row r="363">
      <c r="A363" s="54" t="inlineStr">
        <is>
          <t>Chaos Daemons</t>
        </is>
      </c>
      <c r="B363" s="54" t="inlineStr">
        <is>
          <t>Fateskimmer</t>
        </is>
      </c>
      <c r="C363" s="54" t="inlineStr">
        <is>
          <t>1 model</t>
        </is>
      </c>
      <c r="D363" s="55" t="n">
        <v>95</v>
      </c>
      <c r="E363" s="55" t="inlineStr">
        <is>
          <t>Fateskimmer — 1 model (95 pts)</t>
        </is>
      </c>
      <c r="F363" s="55" t="n">
        <v>95</v>
      </c>
      <c r="G363" s="54" t="n">
        <v>12</v>
      </c>
      <c r="H363" s="54" t="inlineStr">
        <is>
          <t>Uploaded PDF: Munitorum Field Manual v2.3 / March 2025</t>
        </is>
      </c>
    </row>
    <row r="364">
      <c r="A364" s="54" t="inlineStr">
        <is>
          <t>Chaos Daemons</t>
        </is>
      </c>
      <c r="B364" s="54" t="inlineStr">
        <is>
          <t>Feculent Gnarlmaw</t>
        </is>
      </c>
      <c r="C364" s="54" t="inlineStr">
        <is>
          <t>1 model</t>
        </is>
      </c>
      <c r="D364" s="55" t="n">
        <v>100</v>
      </c>
      <c r="E364" s="55" t="inlineStr">
        <is>
          <t>Feculent Gnarlmaw — 1 model (100 pts)</t>
        </is>
      </c>
      <c r="F364" s="55" t="n">
        <v>100</v>
      </c>
      <c r="G364" s="54" t="n">
        <v>12</v>
      </c>
      <c r="H364" s="54" t="inlineStr">
        <is>
          <t>Uploaded PDF: Munitorum Field Manual v2.3 / March 2025</t>
        </is>
      </c>
    </row>
    <row r="365">
      <c r="A365" s="54" t="inlineStr">
        <is>
          <t>Chaos Daemons</t>
        </is>
      </c>
      <c r="B365" s="54" t="inlineStr">
        <is>
          <t>Fiends</t>
        </is>
      </c>
      <c r="C365" s="54" t="inlineStr">
        <is>
          <t>3 models</t>
        </is>
      </c>
      <c r="D365" s="55" t="n">
        <v>110</v>
      </c>
      <c r="E365" s="55" t="inlineStr">
        <is>
          <t>Fiends — 3 models (110 pts)</t>
        </is>
      </c>
      <c r="F365" s="55" t="n">
        <v>110</v>
      </c>
      <c r="G365" s="54" t="n">
        <v>12</v>
      </c>
      <c r="H365" s="54" t="inlineStr">
        <is>
          <t>Uploaded PDF: Munitorum Field Manual v2.3 / March 2025</t>
        </is>
      </c>
    </row>
    <row r="366">
      <c r="A366" s="54" t="inlineStr">
        <is>
          <t>Chaos Daemons</t>
        </is>
      </c>
      <c r="B366" s="54" t="inlineStr">
        <is>
          <t>Fiends</t>
        </is>
      </c>
      <c r="C366" s="54" t="inlineStr">
        <is>
          <t>6 models</t>
        </is>
      </c>
      <c r="D366" s="55" t="n">
        <v>220</v>
      </c>
      <c r="E366" s="55" t="inlineStr">
        <is>
          <t>Fiends — 6 models (220 pts)</t>
        </is>
      </c>
      <c r="F366" s="55" t="n">
        <v>220</v>
      </c>
      <c r="G366" s="54" t="n">
        <v>12</v>
      </c>
      <c r="H366" s="54" t="inlineStr">
        <is>
          <t>Uploaded PDF: Munitorum Field Manual v2.3 / March 2025</t>
        </is>
      </c>
    </row>
    <row r="367">
      <c r="A367" s="54" t="inlineStr">
        <is>
          <t>Chaos Daemons</t>
        </is>
      </c>
      <c r="B367" s="54" t="inlineStr">
        <is>
          <t>Flamers</t>
        </is>
      </c>
      <c r="C367" s="54" t="inlineStr">
        <is>
          <t>3 models</t>
        </is>
      </c>
      <c r="D367" s="55" t="n">
        <v>65</v>
      </c>
      <c r="E367" s="55" t="inlineStr">
        <is>
          <t>Flamers — 3 models (65 pts)</t>
        </is>
      </c>
      <c r="F367" s="55" t="n">
        <v>65</v>
      </c>
      <c r="G367" s="54" t="n">
        <v>12</v>
      </c>
      <c r="H367" s="54" t="inlineStr">
        <is>
          <t>Uploaded PDF: Munitorum Field Manual v2.3 / March 2025</t>
        </is>
      </c>
    </row>
    <row r="368">
      <c r="A368" s="54" t="inlineStr">
        <is>
          <t>Chaos Daemons</t>
        </is>
      </c>
      <c r="B368" s="54" t="inlineStr">
        <is>
          <t>Flamers</t>
        </is>
      </c>
      <c r="C368" s="54" t="inlineStr">
        <is>
          <t>6 models</t>
        </is>
      </c>
      <c r="D368" s="55" t="n">
        <v>130</v>
      </c>
      <c r="E368" s="55" t="inlineStr">
        <is>
          <t>Flamers — 6 models (130 pts)</t>
        </is>
      </c>
      <c r="F368" s="55" t="n">
        <v>130</v>
      </c>
      <c r="G368" s="54" t="n">
        <v>12</v>
      </c>
      <c r="H368" s="54" t="inlineStr">
        <is>
          <t>Uploaded PDF: Munitorum Field Manual v2.3 / March 2025</t>
        </is>
      </c>
    </row>
    <row r="369">
      <c r="A369" s="54" t="inlineStr">
        <is>
          <t>Chaos Daemons</t>
        </is>
      </c>
      <c r="B369" s="54" t="inlineStr">
        <is>
          <t>Flesh Hounds</t>
        </is>
      </c>
      <c r="C369" s="54" t="inlineStr">
        <is>
          <t>5 models</t>
        </is>
      </c>
      <c r="D369" s="55" t="n">
        <v>75</v>
      </c>
      <c r="E369" s="55" t="inlineStr">
        <is>
          <t>Flesh Hounds — 5 models (75 pts)</t>
        </is>
      </c>
      <c r="F369" s="55" t="n">
        <v>75</v>
      </c>
      <c r="G369" s="54" t="n">
        <v>12</v>
      </c>
      <c r="H369" s="54" t="inlineStr">
        <is>
          <t>Uploaded PDF: Munitorum Field Manual v2.3 / March 2025</t>
        </is>
      </c>
    </row>
    <row r="370">
      <c r="A370" s="54" t="inlineStr">
        <is>
          <t>Chaos Daemons</t>
        </is>
      </c>
      <c r="B370" s="54" t="inlineStr">
        <is>
          <t>Flesh Hounds</t>
        </is>
      </c>
      <c r="C370" s="54" t="inlineStr">
        <is>
          <t>10 models</t>
        </is>
      </c>
      <c r="D370" s="55" t="n">
        <v>150</v>
      </c>
      <c r="E370" s="55" t="inlineStr">
        <is>
          <t>Flesh Hounds — 10 models (150 pts)</t>
        </is>
      </c>
      <c r="F370" s="55" t="n">
        <v>150</v>
      </c>
      <c r="G370" s="54" t="n">
        <v>12</v>
      </c>
      <c r="H370" s="54" t="inlineStr">
        <is>
          <t>Uploaded PDF: Munitorum Field Manual v2.3 / March 2025</t>
        </is>
      </c>
    </row>
    <row r="371">
      <c r="A371" s="54" t="inlineStr">
        <is>
          <t>Chaos Daemons</t>
        </is>
      </c>
      <c r="B371" s="54" t="inlineStr">
        <is>
          <t>Fluxmaster</t>
        </is>
      </c>
      <c r="C371" s="54" t="inlineStr">
        <is>
          <t>1 model</t>
        </is>
      </c>
      <c r="D371" s="55" t="n">
        <v>60</v>
      </c>
      <c r="E371" s="55" t="inlineStr">
        <is>
          <t>Fluxmaster — 1 model (60 pts)</t>
        </is>
      </c>
      <c r="F371" s="55" t="n">
        <v>60</v>
      </c>
      <c r="G371" s="54" t="n">
        <v>12</v>
      </c>
      <c r="H371" s="54" t="inlineStr">
        <is>
          <t>Uploaded PDF: Munitorum Field Manual v2.3 / March 2025</t>
        </is>
      </c>
    </row>
    <row r="372">
      <c r="A372" s="54" t="inlineStr">
        <is>
          <t>Chaos Daemons</t>
        </is>
      </c>
      <c r="B372" s="54" t="inlineStr">
        <is>
          <t>Great Unclean One</t>
        </is>
      </c>
      <c r="C372" s="54" t="inlineStr">
        <is>
          <t>1 model</t>
        </is>
      </c>
      <c r="D372" s="55" t="n">
        <v>250</v>
      </c>
      <c r="E372" s="55" t="inlineStr">
        <is>
          <t>Great Unclean One — 1 model (250 pts)</t>
        </is>
      </c>
      <c r="F372" s="55" t="n">
        <v>250</v>
      </c>
      <c r="G372" s="54" t="n">
        <v>12</v>
      </c>
      <c r="H372" s="54" t="inlineStr">
        <is>
          <t>Uploaded PDF: Munitorum Field Manual v2.3 / March 2025</t>
        </is>
      </c>
    </row>
    <row r="373">
      <c r="A373" s="54" t="inlineStr">
        <is>
          <t>Chaos Daemons</t>
        </is>
      </c>
      <c r="B373" s="54" t="inlineStr">
        <is>
          <t>Horticulous Slimux</t>
        </is>
      </c>
      <c r="C373" s="54" t="inlineStr">
        <is>
          <t>1 model</t>
        </is>
      </c>
      <c r="D373" s="55" t="n">
        <v>120</v>
      </c>
      <c r="E373" s="55" t="inlineStr">
        <is>
          <t>Horticulous Slimux — 1 model (120 pts)</t>
        </is>
      </c>
      <c r="F373" s="55" t="n">
        <v>120</v>
      </c>
      <c r="G373" s="54" t="n">
        <v>12</v>
      </c>
      <c r="H373" s="54" t="inlineStr">
        <is>
          <t>Uploaded PDF: Munitorum Field Manual v2.3 / March 2025</t>
        </is>
      </c>
    </row>
    <row r="374">
      <c r="A374" s="54" t="inlineStr">
        <is>
          <t>Chaos Daemons</t>
        </is>
      </c>
      <c r="B374" s="54" t="inlineStr">
        <is>
          <t>Infernal Enrapturess</t>
        </is>
      </c>
      <c r="C374" s="54" t="inlineStr">
        <is>
          <t>1 model</t>
        </is>
      </c>
      <c r="D374" s="55" t="n">
        <v>60</v>
      </c>
      <c r="E374" s="55" t="inlineStr">
        <is>
          <t>Infernal Enrapturess — 1 model (60 pts)</t>
        </is>
      </c>
      <c r="F374" s="55" t="n">
        <v>60</v>
      </c>
      <c r="G374" s="54" t="n">
        <v>12</v>
      </c>
      <c r="H374" s="54" t="inlineStr">
        <is>
          <t>Uploaded PDF: Munitorum Field Manual v2.3 / March 2025</t>
        </is>
      </c>
    </row>
    <row r="375">
      <c r="A375" s="54" t="inlineStr">
        <is>
          <t>Chaos Daemons</t>
        </is>
      </c>
      <c r="B375" s="54" t="inlineStr">
        <is>
          <t>Kairos Fateweaver</t>
        </is>
      </c>
      <c r="C375" s="54" t="inlineStr">
        <is>
          <t>1 model</t>
        </is>
      </c>
      <c r="D375" s="55" t="n">
        <v>270</v>
      </c>
      <c r="E375" s="55" t="inlineStr">
        <is>
          <t>Kairos Fateweaver — 1 model (270 pts)</t>
        </is>
      </c>
      <c r="F375" s="55" t="n">
        <v>270</v>
      </c>
      <c r="G375" s="54" t="n">
        <v>12</v>
      </c>
      <c r="H375" s="54" t="inlineStr">
        <is>
          <t>Uploaded PDF: Munitorum Field Manual v2.3 / March 2025</t>
        </is>
      </c>
    </row>
    <row r="376">
      <c r="A376" s="54" t="inlineStr">
        <is>
          <t>Chaos Daemons</t>
        </is>
      </c>
      <c r="B376" s="54" t="inlineStr">
        <is>
          <t>Keeper of Secrets</t>
        </is>
      </c>
      <c r="C376" s="54" t="inlineStr">
        <is>
          <t>1 model</t>
        </is>
      </c>
      <c r="D376" s="55" t="n">
        <v>290</v>
      </c>
      <c r="E376" s="55" t="inlineStr">
        <is>
          <t>Keeper of Secrets — 1 model (290 pts)</t>
        </is>
      </c>
      <c r="F376" s="55" t="n">
        <v>290</v>
      </c>
      <c r="G376" s="54" t="n">
        <v>12</v>
      </c>
      <c r="H376" s="54" t="inlineStr">
        <is>
          <t>Uploaded PDF: Munitorum Field Manual v2.3 / March 2025</t>
        </is>
      </c>
    </row>
    <row r="377">
      <c r="A377" s="54" t="inlineStr">
        <is>
          <t>Chaos Daemons</t>
        </is>
      </c>
      <c r="B377" s="54" t="inlineStr">
        <is>
          <t>Lord of Change</t>
        </is>
      </c>
      <c r="C377" s="54" t="inlineStr">
        <is>
          <t>1 model</t>
        </is>
      </c>
      <c r="D377" s="55" t="n">
        <v>260</v>
      </c>
      <c r="E377" s="55" t="inlineStr">
        <is>
          <t>Lord of Change — 1 model (260 pts)</t>
        </is>
      </c>
      <c r="F377" s="55" t="n">
        <v>260</v>
      </c>
      <c r="G377" s="54" t="n">
        <v>12</v>
      </c>
      <c r="H377" s="54" t="inlineStr">
        <is>
          <t>Uploaded PDF: Munitorum Field Manual v2.3 / March 2025</t>
        </is>
      </c>
    </row>
    <row r="378">
      <c r="A378" s="54" t="inlineStr">
        <is>
          <t>Chaos Daemons</t>
        </is>
      </c>
      <c r="B378" s="54" t="inlineStr">
        <is>
          <t>Nurglings</t>
        </is>
      </c>
      <c r="C378" s="54" t="inlineStr">
        <is>
          <t>3 models</t>
        </is>
      </c>
      <c r="D378" s="55" t="n">
        <v>35</v>
      </c>
      <c r="E378" s="55" t="inlineStr">
        <is>
          <t>Nurglings — 3 models (35 pts)</t>
        </is>
      </c>
      <c r="F378" s="55" t="n">
        <v>35</v>
      </c>
      <c r="G378" s="54" t="n">
        <v>12</v>
      </c>
      <c r="H378" s="54" t="inlineStr">
        <is>
          <t>Uploaded PDF: Munitorum Field Manual v2.3 / March 2025</t>
        </is>
      </c>
    </row>
    <row r="379">
      <c r="A379" s="54" t="inlineStr">
        <is>
          <t>Chaos Daemons</t>
        </is>
      </c>
      <c r="B379" s="54" t="inlineStr">
        <is>
          <t>Nurglings</t>
        </is>
      </c>
      <c r="C379" s="54" t="inlineStr">
        <is>
          <t>6 models</t>
        </is>
      </c>
      <c r="D379" s="55" t="n">
        <v>60</v>
      </c>
      <c r="E379" s="55" t="inlineStr">
        <is>
          <t>Nurglings — 6 models (60 pts)</t>
        </is>
      </c>
      <c r="F379" s="55" t="n">
        <v>60</v>
      </c>
      <c r="G379" s="54" t="n">
        <v>12</v>
      </c>
      <c r="H379" s="54" t="inlineStr">
        <is>
          <t>Uploaded PDF: Munitorum Field Manual v2.3 / March 2025</t>
        </is>
      </c>
    </row>
    <row r="380">
      <c r="A380" s="54" t="inlineStr">
        <is>
          <t>Chaos Daemons</t>
        </is>
      </c>
      <c r="B380" s="54" t="inlineStr">
        <is>
          <t>Nurglings</t>
        </is>
      </c>
      <c r="C380" s="54" t="inlineStr">
        <is>
          <t>9 models</t>
        </is>
      </c>
      <c r="D380" s="55" t="n">
        <v>90</v>
      </c>
      <c r="E380" s="55" t="inlineStr">
        <is>
          <t>Nurglings — 9 models (90 pts)</t>
        </is>
      </c>
      <c r="F380" s="55" t="n">
        <v>90</v>
      </c>
      <c r="G380" s="54" t="n">
        <v>12</v>
      </c>
      <c r="H380" s="54" t="inlineStr">
        <is>
          <t>Uploaded PDF: Munitorum Field Manual v2.3 / March 2025</t>
        </is>
      </c>
    </row>
    <row r="381">
      <c r="A381" s="54" t="inlineStr">
        <is>
          <t>Chaos Daemons</t>
        </is>
      </c>
      <c r="B381" s="54" t="inlineStr">
        <is>
          <t>Pink Horrors</t>
        </is>
      </c>
      <c r="C381" s="54" t="inlineStr">
        <is>
          <t>10 models</t>
        </is>
      </c>
      <c r="D381" s="55" t="n">
        <v>140</v>
      </c>
      <c r="E381" s="55" t="inlineStr">
        <is>
          <t>Pink Horrors — 10 models (140 pts)</t>
        </is>
      </c>
      <c r="F381" s="55" t="n">
        <v>140</v>
      </c>
      <c r="G381" s="54" t="n">
        <v>12</v>
      </c>
      <c r="H381" s="54" t="inlineStr">
        <is>
          <t>Uploaded PDF: Munitorum Field Manual v2.3 / March 2025</t>
        </is>
      </c>
    </row>
    <row r="382">
      <c r="A382" s="54" t="inlineStr">
        <is>
          <t>Chaos Daemons</t>
        </is>
      </c>
      <c r="B382" s="54" t="inlineStr">
        <is>
          <t>Plague Drones</t>
        </is>
      </c>
      <c r="C382" s="54" t="inlineStr">
        <is>
          <t>3 models</t>
        </is>
      </c>
      <c r="D382" s="55" t="n">
        <v>110</v>
      </c>
      <c r="E382" s="55" t="inlineStr">
        <is>
          <t>Plague Drones — 3 models (110 pts)</t>
        </is>
      </c>
      <c r="F382" s="55" t="n">
        <v>110</v>
      </c>
      <c r="G382" s="54" t="n">
        <v>12</v>
      </c>
      <c r="H382" s="54" t="inlineStr">
        <is>
          <t>Uploaded PDF: Munitorum Field Manual v2.3 / March 2025</t>
        </is>
      </c>
    </row>
    <row r="383">
      <c r="A383" s="54" t="inlineStr">
        <is>
          <t>Chaos Daemons</t>
        </is>
      </c>
      <c r="B383" s="54" t="inlineStr">
        <is>
          <t>Plague Drones</t>
        </is>
      </c>
      <c r="C383" s="54" t="inlineStr">
        <is>
          <t>6 models</t>
        </is>
      </c>
      <c r="D383" s="55" t="n">
        <v>220</v>
      </c>
      <c r="E383" s="55" t="inlineStr">
        <is>
          <t>Plague Drones — 6 models (220 pts)</t>
        </is>
      </c>
      <c r="F383" s="55" t="n">
        <v>220</v>
      </c>
      <c r="G383" s="54" t="n">
        <v>12</v>
      </c>
      <c r="H383" s="54" t="inlineStr">
        <is>
          <t>Uploaded PDF: Munitorum Field Manual v2.3 / March 2025</t>
        </is>
      </c>
    </row>
    <row r="384">
      <c r="A384" s="54" t="inlineStr">
        <is>
          <t>Chaos Daemons</t>
        </is>
      </c>
      <c r="B384" s="54" t="inlineStr">
        <is>
          <t>Plaguebearers</t>
        </is>
      </c>
      <c r="C384" s="54" t="inlineStr">
        <is>
          <t>10 models</t>
        </is>
      </c>
      <c r="D384" s="55" t="n">
        <v>110</v>
      </c>
      <c r="E384" s="55" t="inlineStr">
        <is>
          <t>Plaguebearers — 10 models (110 pts)</t>
        </is>
      </c>
      <c r="F384" s="55" t="n">
        <v>110</v>
      </c>
      <c r="G384" s="54" t="n">
        <v>12</v>
      </c>
      <c r="H384" s="54" t="inlineStr">
        <is>
          <t>Uploaded PDF: Munitorum Field Manual v2.3 / March 2025</t>
        </is>
      </c>
    </row>
    <row r="385">
      <c r="A385" s="54" t="inlineStr">
        <is>
          <t>Chaos Daemons</t>
        </is>
      </c>
      <c r="B385" s="54" t="inlineStr">
        <is>
          <t>Poxbringer</t>
        </is>
      </c>
      <c r="C385" s="54" t="inlineStr">
        <is>
          <t>1 model</t>
        </is>
      </c>
      <c r="D385" s="55" t="n">
        <v>55</v>
      </c>
      <c r="E385" s="55" t="inlineStr">
        <is>
          <t>Poxbringer — 1 model (55 pts)</t>
        </is>
      </c>
      <c r="F385" s="55" t="n">
        <v>55</v>
      </c>
      <c r="G385" s="54" t="n">
        <v>12</v>
      </c>
      <c r="H385" s="54" t="inlineStr">
        <is>
          <t>Uploaded PDF: Munitorum Field Manual v2.3 / March 2025</t>
        </is>
      </c>
    </row>
    <row r="386">
      <c r="A386" s="54" t="inlineStr">
        <is>
          <t>Chaos Daemons</t>
        </is>
      </c>
      <c r="B386" s="54" t="inlineStr">
        <is>
          <t>Rendmaster on Blood Throne</t>
        </is>
      </c>
      <c r="C386" s="54" t="inlineStr">
        <is>
          <t>1 model</t>
        </is>
      </c>
      <c r="D386" s="55" t="n">
        <v>165</v>
      </c>
      <c r="E386" s="55" t="inlineStr">
        <is>
          <t>Rendmaster on Blood Throne — 1 model (165 pts)</t>
        </is>
      </c>
      <c r="F386" s="55" t="n">
        <v>165</v>
      </c>
      <c r="G386" s="54" t="n">
        <v>12</v>
      </c>
      <c r="H386" s="54" t="inlineStr">
        <is>
          <t>Uploaded PDF: Munitorum Field Manual v2.3 / March 2025</t>
        </is>
      </c>
    </row>
    <row r="387">
      <c r="A387" s="54" t="inlineStr">
        <is>
          <t>Chaos Daemons</t>
        </is>
      </c>
      <c r="B387" s="54" t="inlineStr">
        <is>
          <t>Rotigus</t>
        </is>
      </c>
      <c r="C387" s="54" t="inlineStr">
        <is>
          <t>1 model</t>
        </is>
      </c>
      <c r="D387" s="55" t="n">
        <v>250</v>
      </c>
      <c r="E387" s="55" t="inlineStr">
        <is>
          <t>Rotigus — 1 model (250 pts)</t>
        </is>
      </c>
      <c r="F387" s="55" t="n">
        <v>250</v>
      </c>
      <c r="G387" s="54" t="n">
        <v>12</v>
      </c>
      <c r="H387" s="54" t="inlineStr">
        <is>
          <t>Uploaded PDF: Munitorum Field Manual v2.3 / March 2025</t>
        </is>
      </c>
    </row>
    <row r="388">
      <c r="A388" s="54" t="inlineStr">
        <is>
          <t>Chaos Daemons</t>
        </is>
      </c>
      <c r="B388" s="54" t="inlineStr">
        <is>
          <t>Screamers</t>
        </is>
      </c>
      <c r="C388" s="54" t="inlineStr">
        <is>
          <t>3 models</t>
        </is>
      </c>
      <c r="D388" s="55" t="n">
        <v>80</v>
      </c>
      <c r="E388" s="55" t="inlineStr">
        <is>
          <t>Screamers — 3 models (80 pts)</t>
        </is>
      </c>
      <c r="F388" s="55" t="n">
        <v>80</v>
      </c>
      <c r="G388" s="54" t="n">
        <v>12</v>
      </c>
      <c r="H388" s="54" t="inlineStr">
        <is>
          <t>Uploaded PDF: Munitorum Field Manual v2.3 / March 2025</t>
        </is>
      </c>
    </row>
    <row r="389">
      <c r="A389" s="54" t="inlineStr">
        <is>
          <t>Chaos Daemons</t>
        </is>
      </c>
      <c r="B389" s="54" t="inlineStr">
        <is>
          <t>Screamers</t>
        </is>
      </c>
      <c r="C389" s="54" t="inlineStr">
        <is>
          <t>6 models</t>
        </is>
      </c>
      <c r="D389" s="55" t="n">
        <v>160</v>
      </c>
      <c r="E389" s="55" t="inlineStr">
        <is>
          <t>Screamers — 6 models (160 pts)</t>
        </is>
      </c>
      <c r="F389" s="55" t="n">
        <v>160</v>
      </c>
      <c r="G389" s="54" t="n">
        <v>12</v>
      </c>
      <c r="H389" s="54" t="inlineStr">
        <is>
          <t>Uploaded PDF: Munitorum Field Manual v2.3 / March 2025</t>
        </is>
      </c>
    </row>
    <row r="390">
      <c r="A390" s="54" t="inlineStr">
        <is>
          <t>Chaos Daemons</t>
        </is>
      </c>
      <c r="B390" s="54" t="inlineStr">
        <is>
          <t>Seekers</t>
        </is>
      </c>
      <c r="C390" s="54" t="inlineStr">
        <is>
          <t>5 models</t>
        </is>
      </c>
      <c r="D390" s="55" t="n">
        <v>80</v>
      </c>
      <c r="E390" s="55" t="inlineStr">
        <is>
          <t>Seekers — 5 models (80 pts)</t>
        </is>
      </c>
      <c r="F390" s="55" t="n">
        <v>80</v>
      </c>
      <c r="G390" s="54" t="n">
        <v>12</v>
      </c>
      <c r="H390" s="54" t="inlineStr">
        <is>
          <t>Uploaded PDF: Munitorum Field Manual v2.3 / March 2025</t>
        </is>
      </c>
    </row>
    <row r="391">
      <c r="A391" s="54" t="inlineStr">
        <is>
          <t>Chaos Daemons</t>
        </is>
      </c>
      <c r="B391" s="54" t="inlineStr">
        <is>
          <t>Seekers</t>
        </is>
      </c>
      <c r="C391" s="54" t="inlineStr">
        <is>
          <t>10 models</t>
        </is>
      </c>
      <c r="D391" s="55" t="n">
        <v>160</v>
      </c>
      <c r="E391" s="55" t="inlineStr">
        <is>
          <t>Seekers — 10 models (160 pts)</t>
        </is>
      </c>
      <c r="F391" s="55" t="n">
        <v>160</v>
      </c>
      <c r="G391" s="54" t="n">
        <v>12</v>
      </c>
      <c r="H391" s="54" t="inlineStr">
        <is>
          <t>Uploaded PDF: Munitorum Field Manual v2.3 / March 2025</t>
        </is>
      </c>
    </row>
    <row r="392">
      <c r="A392" s="54" t="inlineStr">
        <is>
          <t>Chaos Daemons</t>
        </is>
      </c>
      <c r="B392" s="54" t="inlineStr">
        <is>
          <t>Shalaxi Helbane</t>
        </is>
      </c>
      <c r="C392" s="54" t="inlineStr">
        <is>
          <t>1 model</t>
        </is>
      </c>
      <c r="D392" s="55" t="n">
        <v>380</v>
      </c>
      <c r="E392" s="55" t="inlineStr">
        <is>
          <t>Shalaxi Helbane — 1 model (380 pts)</t>
        </is>
      </c>
      <c r="F392" s="55" t="n">
        <v>380</v>
      </c>
      <c r="G392" s="54" t="n">
        <v>12</v>
      </c>
      <c r="H392" s="54" t="inlineStr">
        <is>
          <t>Uploaded PDF: Munitorum Field Manual v2.3 / March 2025</t>
        </is>
      </c>
    </row>
    <row r="393">
      <c r="A393" s="54" t="inlineStr">
        <is>
          <t>Chaos Daemons</t>
        </is>
      </c>
      <c r="B393" s="54" t="inlineStr">
        <is>
          <t>Skarbrand</t>
        </is>
      </c>
      <c r="C393" s="54" t="inlineStr">
        <is>
          <t>1 model</t>
        </is>
      </c>
      <c r="D393" s="55" t="n">
        <v>305</v>
      </c>
      <c r="E393" s="55" t="inlineStr">
        <is>
          <t>Skarbrand — 1 model (305 pts)</t>
        </is>
      </c>
      <c r="F393" s="55" t="n">
        <v>305</v>
      </c>
      <c r="G393" s="54" t="n">
        <v>12</v>
      </c>
      <c r="H393" s="54" t="inlineStr">
        <is>
          <t>Uploaded PDF: Munitorum Field Manual v2.3 / March 2025</t>
        </is>
      </c>
    </row>
    <row r="394">
      <c r="A394" s="54" t="inlineStr">
        <is>
          <t>Chaos Daemons</t>
        </is>
      </c>
      <c r="B394" s="54" t="inlineStr">
        <is>
          <t>Skull Altar</t>
        </is>
      </c>
      <c r="C394" s="54" t="inlineStr">
        <is>
          <t>1 model</t>
        </is>
      </c>
      <c r="D394" s="55" t="n">
        <v>105</v>
      </c>
      <c r="E394" s="55" t="inlineStr">
        <is>
          <t>Skull Altar — 1 model (105 pts)</t>
        </is>
      </c>
      <c r="F394" s="55" t="n">
        <v>105</v>
      </c>
      <c r="G394" s="54" t="n">
        <v>12</v>
      </c>
      <c r="H394" s="54" t="inlineStr">
        <is>
          <t>Uploaded PDF: Munitorum Field Manual v2.3 / March 2025</t>
        </is>
      </c>
    </row>
    <row r="395">
      <c r="A395" s="54" t="inlineStr">
        <is>
          <t>Chaos Daemons</t>
        </is>
      </c>
      <c r="B395" s="54" t="inlineStr">
        <is>
          <t>Skull Cannon</t>
        </is>
      </c>
      <c r="C395" s="54" t="inlineStr">
        <is>
          <t>1 model</t>
        </is>
      </c>
      <c r="D395" s="55" t="n">
        <v>95</v>
      </c>
      <c r="E395" s="55" t="inlineStr">
        <is>
          <t>Skull Cannon — 1 model (95 pts)</t>
        </is>
      </c>
      <c r="F395" s="55" t="n">
        <v>95</v>
      </c>
      <c r="G395" s="54" t="n">
        <v>12</v>
      </c>
      <c r="H395" s="54" t="inlineStr">
        <is>
          <t>Uploaded PDF: Munitorum Field Manual v2.3 / March 2025</t>
        </is>
      </c>
    </row>
    <row r="396">
      <c r="A396" s="54" t="inlineStr">
        <is>
          <t>Chaos Daemons</t>
        </is>
      </c>
      <c r="B396" s="54" t="inlineStr">
        <is>
          <t>Skullmaster</t>
        </is>
      </c>
      <c r="C396" s="54" t="inlineStr">
        <is>
          <t>1 model</t>
        </is>
      </c>
      <c r="D396" s="55" t="n">
        <v>100</v>
      </c>
      <c r="E396" s="55" t="inlineStr">
        <is>
          <t>Skullmaster — 1 model (100 pts)</t>
        </is>
      </c>
      <c r="F396" s="55" t="n">
        <v>100</v>
      </c>
      <c r="G396" s="54" t="n">
        <v>12</v>
      </c>
      <c r="H396" s="54" t="inlineStr">
        <is>
          <t>Uploaded PDF: Munitorum Field Manual v2.3 / March 2025</t>
        </is>
      </c>
    </row>
    <row r="397">
      <c r="A397" s="54" t="inlineStr">
        <is>
          <t>Chaos Daemons</t>
        </is>
      </c>
      <c r="B397" s="54" t="inlineStr">
        <is>
          <t>Skulltaker</t>
        </is>
      </c>
      <c r="C397" s="54" t="inlineStr">
        <is>
          <t>1 model</t>
        </is>
      </c>
      <c r="D397" s="55" t="n">
        <v>85</v>
      </c>
      <c r="E397" s="55" t="inlineStr">
        <is>
          <t>Skulltaker — 1 model (85 pts)</t>
        </is>
      </c>
      <c r="F397" s="55" t="n">
        <v>85</v>
      </c>
      <c r="G397" s="54" t="n">
        <v>12</v>
      </c>
      <c r="H397" s="54" t="inlineStr">
        <is>
          <t>Uploaded PDF: Munitorum Field Manual v2.3 / March 2025</t>
        </is>
      </c>
    </row>
    <row r="398">
      <c r="A398" s="54" t="inlineStr">
        <is>
          <t>Chaos Daemons</t>
        </is>
      </c>
      <c r="B398" s="54" t="inlineStr">
        <is>
          <t>Sloppity Bilepiper</t>
        </is>
      </c>
      <c r="C398" s="54" t="inlineStr">
        <is>
          <t>1 model</t>
        </is>
      </c>
      <c r="D398" s="55" t="n">
        <v>55</v>
      </c>
      <c r="E398" s="55" t="inlineStr">
        <is>
          <t>Sloppity Bilepiper — 1 model (55 pts)</t>
        </is>
      </c>
      <c r="F398" s="55" t="n">
        <v>55</v>
      </c>
      <c r="G398" s="54" t="n">
        <v>12</v>
      </c>
      <c r="H398" s="54" t="inlineStr">
        <is>
          <t>Uploaded PDF: Munitorum Field Manual v2.3 / March 2025</t>
        </is>
      </c>
    </row>
    <row r="399">
      <c r="A399" s="54" t="inlineStr">
        <is>
          <t>Chaos Daemons</t>
        </is>
      </c>
      <c r="B399" s="54" t="inlineStr">
        <is>
          <t>Soul Grinder</t>
        </is>
      </c>
      <c r="C399" s="54" t="inlineStr">
        <is>
          <t>1 model</t>
        </is>
      </c>
      <c r="D399" s="55" t="n">
        <v>180</v>
      </c>
      <c r="E399" s="55" t="inlineStr">
        <is>
          <t>Soul Grinder — 1 model (180 pts)</t>
        </is>
      </c>
      <c r="F399" s="55" t="n">
        <v>180</v>
      </c>
      <c r="G399" s="54" t="n">
        <v>12</v>
      </c>
      <c r="H399" s="54" t="inlineStr">
        <is>
          <t>Uploaded PDF: Munitorum Field Manual v2.3 / March 2025</t>
        </is>
      </c>
    </row>
    <row r="400">
      <c r="A400" s="54" t="inlineStr">
        <is>
          <t>Chaos Daemons</t>
        </is>
      </c>
      <c r="B400" s="54" t="inlineStr">
        <is>
          <t>Spoilpox Scrivener</t>
        </is>
      </c>
      <c r="C400" s="54" t="inlineStr">
        <is>
          <t>1 model</t>
        </is>
      </c>
      <c r="D400" s="55" t="n">
        <v>60</v>
      </c>
      <c r="E400" s="55" t="inlineStr">
        <is>
          <t>Spoilpox Scrivener — 1 model (60 pts)</t>
        </is>
      </c>
      <c r="F400" s="55" t="n">
        <v>60</v>
      </c>
      <c r="G400" s="54" t="n">
        <v>12</v>
      </c>
      <c r="H400" s="54" t="inlineStr">
        <is>
          <t>Uploaded PDF: Munitorum Field Manual v2.3 / March 2025</t>
        </is>
      </c>
    </row>
    <row r="401">
      <c r="A401" s="54" t="inlineStr">
        <is>
          <t>Chaos Daemons</t>
        </is>
      </c>
      <c r="B401" s="54" t="inlineStr">
        <is>
          <t>Syll’esske</t>
        </is>
      </c>
      <c r="C401" s="54" t="inlineStr">
        <is>
          <t>1 model</t>
        </is>
      </c>
      <c r="D401" s="55" t="n">
        <v>120</v>
      </c>
      <c r="E401" s="55" t="inlineStr">
        <is>
          <t>Syll’esske — 1 model (120 pts)</t>
        </is>
      </c>
      <c r="F401" s="55" t="n">
        <v>120</v>
      </c>
      <c r="G401" s="54" t="n">
        <v>12</v>
      </c>
      <c r="H401" s="54" t="inlineStr">
        <is>
          <t>Uploaded PDF: Munitorum Field Manual v2.3 / March 2025</t>
        </is>
      </c>
    </row>
    <row r="402">
      <c r="A402" s="54" t="inlineStr">
        <is>
          <t>Chaos Daemons</t>
        </is>
      </c>
      <c r="B402" s="54" t="inlineStr">
        <is>
          <t>The Blue Scribes</t>
        </is>
      </c>
      <c r="C402" s="54" t="inlineStr">
        <is>
          <t>1 model</t>
        </is>
      </c>
      <c r="D402" s="55" t="n">
        <v>75</v>
      </c>
      <c r="E402" s="55" t="inlineStr">
        <is>
          <t>The Blue Scribes — 1 model (75 pts)</t>
        </is>
      </c>
      <c r="F402" s="55" t="n">
        <v>75</v>
      </c>
      <c r="G402" s="54" t="n">
        <v>12</v>
      </c>
      <c r="H402" s="54" t="inlineStr">
        <is>
          <t>Uploaded PDF: Munitorum Field Manual v2.3 / March 2025</t>
        </is>
      </c>
    </row>
    <row r="403">
      <c r="A403" s="54" t="inlineStr">
        <is>
          <t>Chaos Daemons</t>
        </is>
      </c>
      <c r="B403" s="54" t="inlineStr">
        <is>
          <t>The Changeling</t>
        </is>
      </c>
      <c r="C403" s="54" t="inlineStr">
        <is>
          <t>1 model</t>
        </is>
      </c>
      <c r="D403" s="55" t="n">
        <v>90</v>
      </c>
      <c r="E403" s="55" t="inlineStr">
        <is>
          <t>The Changeling — 1 model (90 pts)</t>
        </is>
      </c>
      <c r="F403" s="55" t="n">
        <v>90</v>
      </c>
      <c r="G403" s="54" t="n">
        <v>12</v>
      </c>
      <c r="H403" s="54" t="inlineStr">
        <is>
          <t>Uploaded PDF: Munitorum Field Manual v2.3 / March 2025</t>
        </is>
      </c>
    </row>
    <row r="404">
      <c r="A404" s="54" t="inlineStr">
        <is>
          <t>Chaos Daemons</t>
        </is>
      </c>
      <c r="B404" s="54" t="inlineStr">
        <is>
          <t>The Masque of Slaanesh</t>
        </is>
      </c>
      <c r="C404" s="54" t="inlineStr">
        <is>
          <t>1 model</t>
        </is>
      </c>
      <c r="D404" s="55" t="n">
        <v>95</v>
      </c>
      <c r="E404" s="55" t="inlineStr">
        <is>
          <t>The Masque of Slaanesh — 1 model (95 pts)</t>
        </is>
      </c>
      <c r="F404" s="55" t="n">
        <v>95</v>
      </c>
      <c r="G404" s="54" t="n">
        <v>12</v>
      </c>
      <c r="H404" s="54" t="inlineStr">
        <is>
          <t>Uploaded PDF: Munitorum Field Manual v2.3 / March 2025</t>
        </is>
      </c>
    </row>
    <row r="405">
      <c r="A405" s="54" t="inlineStr">
        <is>
          <t>Chaos Daemons</t>
        </is>
      </c>
      <c r="B405" s="54" t="inlineStr">
        <is>
          <t>Tranceweaver</t>
        </is>
      </c>
      <c r="C405" s="54" t="inlineStr">
        <is>
          <t>1 model</t>
        </is>
      </c>
      <c r="D405" s="55" t="n">
        <v>60</v>
      </c>
      <c r="E405" s="55" t="inlineStr">
        <is>
          <t>Tranceweaver — 1 model (60 pts)</t>
        </is>
      </c>
      <c r="F405" s="55" t="n">
        <v>60</v>
      </c>
      <c r="G405" s="54" t="n">
        <v>12</v>
      </c>
      <c r="H405" s="54" t="inlineStr">
        <is>
          <t>Uploaded PDF: Munitorum Field Manual v2.3 / March 2025</t>
        </is>
      </c>
    </row>
    <row r="406">
      <c r="A406" s="54" t="inlineStr">
        <is>
          <t>Chaos Knights</t>
        </is>
      </c>
      <c r="B406" s="54" t="inlineStr">
        <is>
          <t>Knight Abominant</t>
        </is>
      </c>
      <c r="C406" s="54" t="inlineStr">
        <is>
          <t>1 model</t>
        </is>
      </c>
      <c r="D406" s="55" t="n">
        <v>365</v>
      </c>
      <c r="E406" s="55" t="inlineStr">
        <is>
          <t>Knight Abominant — 1 model (365 pts)</t>
        </is>
      </c>
      <c r="F406" s="55" t="n">
        <v>365</v>
      </c>
      <c r="G406" s="54" t="n">
        <v>14</v>
      </c>
      <c r="H406" s="54" t="inlineStr">
        <is>
          <t>Uploaded PDF: Munitorum Field Manual v2.3 / March 2025</t>
        </is>
      </c>
    </row>
    <row r="407">
      <c r="A407" s="54" t="inlineStr">
        <is>
          <t>Chaos Knights</t>
        </is>
      </c>
      <c r="B407" s="54" t="inlineStr">
        <is>
          <t>Knight Desecrator</t>
        </is>
      </c>
      <c r="C407" s="54" t="inlineStr">
        <is>
          <t>1 model</t>
        </is>
      </c>
      <c r="D407" s="55" t="n">
        <v>400</v>
      </c>
      <c r="E407" s="55" t="inlineStr">
        <is>
          <t>Knight Desecrator — 1 model (400 pts)</t>
        </is>
      </c>
      <c r="F407" s="55" t="n">
        <v>400</v>
      </c>
      <c r="G407" s="54" t="n">
        <v>14</v>
      </c>
      <c r="H407" s="54" t="inlineStr">
        <is>
          <t>Uploaded PDF: Munitorum Field Manual v2.3 / March 2025</t>
        </is>
      </c>
    </row>
    <row r="408">
      <c r="A408" s="54" t="inlineStr">
        <is>
          <t>Chaos Knights</t>
        </is>
      </c>
      <c r="B408" s="54" t="inlineStr">
        <is>
          <t>Knight Despoiler</t>
        </is>
      </c>
      <c r="C408" s="54" t="inlineStr">
        <is>
          <t>1 model</t>
        </is>
      </c>
      <c r="D408" s="55" t="n">
        <v>400</v>
      </c>
      <c r="E408" s="55" t="inlineStr">
        <is>
          <t>Knight Despoiler — 1 model (400 pts)</t>
        </is>
      </c>
      <c r="F408" s="55" t="n">
        <v>400</v>
      </c>
      <c r="G408" s="54" t="n">
        <v>14</v>
      </c>
      <c r="H408" s="54" t="inlineStr">
        <is>
          <t>Uploaded PDF: Munitorum Field Manual v2.3 / March 2025</t>
        </is>
      </c>
    </row>
    <row r="409">
      <c r="A409" s="54" t="inlineStr">
        <is>
          <t>Chaos Knights</t>
        </is>
      </c>
      <c r="B409" s="54" t="inlineStr">
        <is>
          <t>Knight Rampager</t>
        </is>
      </c>
      <c r="C409" s="54" t="inlineStr">
        <is>
          <t>1 model</t>
        </is>
      </c>
      <c r="D409" s="55" t="n">
        <v>380</v>
      </c>
      <c r="E409" s="55" t="inlineStr">
        <is>
          <t>Knight Rampager — 1 model (380 pts)</t>
        </is>
      </c>
      <c r="F409" s="55" t="n">
        <v>380</v>
      </c>
      <c r="G409" s="54" t="n">
        <v>14</v>
      </c>
      <c r="H409" s="54" t="inlineStr">
        <is>
          <t>Uploaded PDF: Munitorum Field Manual v2.3 / March 2025</t>
        </is>
      </c>
    </row>
    <row r="410">
      <c r="A410" s="54" t="inlineStr">
        <is>
          <t>Chaos Knights</t>
        </is>
      </c>
      <c r="B410" s="54" t="inlineStr">
        <is>
          <t>Knight Tyrant</t>
        </is>
      </c>
      <c r="C410" s="54" t="inlineStr">
        <is>
          <t>1 model</t>
        </is>
      </c>
      <c r="D410" s="55" t="n">
        <v>480</v>
      </c>
      <c r="E410" s="55" t="inlineStr">
        <is>
          <t>Knight Tyrant — 1 model (480 pts)</t>
        </is>
      </c>
      <c r="F410" s="55" t="n">
        <v>480</v>
      </c>
      <c r="G410" s="54" t="n">
        <v>14</v>
      </c>
      <c r="H410" s="54" t="inlineStr">
        <is>
          <t>Uploaded PDF: Munitorum Field Manual v2.3 / March 2025</t>
        </is>
      </c>
    </row>
    <row r="411">
      <c r="A411" s="54" t="inlineStr">
        <is>
          <t>Chaos Knights</t>
        </is>
      </c>
      <c r="B411" s="54" t="inlineStr">
        <is>
          <t>War Dog Brigand</t>
        </is>
      </c>
      <c r="C411" s="54" t="inlineStr">
        <is>
          <t>1 model</t>
        </is>
      </c>
      <c r="D411" s="55" t="n">
        <v>165</v>
      </c>
      <c r="E411" s="55" t="inlineStr">
        <is>
          <t>War Dog Brigand — 1 model (165 pts)</t>
        </is>
      </c>
      <c r="F411" s="55" t="n">
        <v>165</v>
      </c>
      <c r="G411" s="54" t="n">
        <v>14</v>
      </c>
      <c r="H411" s="54" t="inlineStr">
        <is>
          <t>Uploaded PDF: Munitorum Field Manual v2.3 / March 2025</t>
        </is>
      </c>
    </row>
    <row r="412">
      <c r="A412" s="54" t="inlineStr">
        <is>
          <t>Chaos Knights</t>
        </is>
      </c>
      <c r="B412" s="54" t="inlineStr">
        <is>
          <t>War Dog Executioner</t>
        </is>
      </c>
      <c r="C412" s="54" t="inlineStr">
        <is>
          <t>1 model</t>
        </is>
      </c>
      <c r="D412" s="55" t="n">
        <v>130</v>
      </c>
      <c r="E412" s="55" t="inlineStr">
        <is>
          <t>War Dog Executioner — 1 model (130 pts)</t>
        </is>
      </c>
      <c r="F412" s="55" t="n">
        <v>130</v>
      </c>
      <c r="G412" s="54" t="n">
        <v>14</v>
      </c>
      <c r="H412" s="54" t="inlineStr">
        <is>
          <t>Uploaded PDF: Munitorum Field Manual v2.3 / March 2025</t>
        </is>
      </c>
    </row>
    <row r="413">
      <c r="A413" s="54" t="inlineStr">
        <is>
          <t>Chaos Knights</t>
        </is>
      </c>
      <c r="B413" s="54" t="inlineStr">
        <is>
          <t>War Dog Huntsman</t>
        </is>
      </c>
      <c r="C413" s="54" t="inlineStr">
        <is>
          <t>1 model</t>
        </is>
      </c>
      <c r="D413" s="55" t="n">
        <v>140</v>
      </c>
      <c r="E413" s="55" t="inlineStr">
        <is>
          <t>War Dog Huntsman — 1 model (140 pts)</t>
        </is>
      </c>
      <c r="F413" s="55" t="n">
        <v>140</v>
      </c>
      <c r="G413" s="54" t="n">
        <v>14</v>
      </c>
      <c r="H413" s="54" t="inlineStr">
        <is>
          <t>Uploaded PDF: Munitorum Field Manual v2.3 / March 2025</t>
        </is>
      </c>
    </row>
    <row r="414">
      <c r="A414" s="54" t="inlineStr">
        <is>
          <t>Chaos Knights</t>
        </is>
      </c>
      <c r="B414" s="54" t="inlineStr">
        <is>
          <t>War Dog Karnivore</t>
        </is>
      </c>
      <c r="C414" s="54" t="inlineStr">
        <is>
          <t>1 model</t>
        </is>
      </c>
      <c r="D414" s="55" t="n">
        <v>140</v>
      </c>
      <c r="E414" s="55" t="inlineStr">
        <is>
          <t>War Dog Karnivore — 1 model (140 pts)</t>
        </is>
      </c>
      <c r="F414" s="55" t="n">
        <v>140</v>
      </c>
      <c r="G414" s="54" t="n">
        <v>14</v>
      </c>
      <c r="H414" s="54" t="inlineStr">
        <is>
          <t>Uploaded PDF: Munitorum Field Manual v2.3 / March 2025</t>
        </is>
      </c>
    </row>
    <row r="415">
      <c r="A415" s="54" t="inlineStr">
        <is>
          <t>Chaos Knights</t>
        </is>
      </c>
      <c r="B415" s="54" t="inlineStr">
        <is>
          <t>War Dog Stalker</t>
        </is>
      </c>
      <c r="C415" s="54" t="inlineStr">
        <is>
          <t>1 model</t>
        </is>
      </c>
      <c r="D415" s="55" t="n">
        <v>140</v>
      </c>
      <c r="E415" s="55" t="inlineStr">
        <is>
          <t>War Dog Stalker — 1 model (140 pts)</t>
        </is>
      </c>
      <c r="F415" s="55" t="n">
        <v>140</v>
      </c>
      <c r="G415" s="54" t="n">
        <v>14</v>
      </c>
      <c r="H415" s="54" t="inlineStr">
        <is>
          <t>Uploaded PDF: Munitorum Field Manual v2.3 / March 2025</t>
        </is>
      </c>
    </row>
    <row r="416">
      <c r="A416" s="54" t="inlineStr">
        <is>
          <t>Chaos Knights</t>
        </is>
      </c>
      <c r="B416" s="54" t="inlineStr">
        <is>
          <t>Chaos Acastus Knight Asterius</t>
        </is>
      </c>
      <c r="C416" s="54" t="inlineStr">
        <is>
          <t>1 model</t>
        </is>
      </c>
      <c r="D416" s="55" t="n">
        <v>765</v>
      </c>
      <c r="E416" s="55" t="inlineStr">
        <is>
          <t>Chaos Acastus Knight Asterius — 1 model (765 pts)</t>
        </is>
      </c>
      <c r="F416" s="55" t="n">
        <v>765</v>
      </c>
      <c r="G416" s="54" t="n">
        <v>14</v>
      </c>
      <c r="H416" s="54" t="inlineStr">
        <is>
          <t>Uploaded PDF: Munitorum Field Manual v2.3 / March 2025</t>
        </is>
      </c>
    </row>
    <row r="417">
      <c r="A417" s="54" t="inlineStr">
        <is>
          <t>Chaos Knights</t>
        </is>
      </c>
      <c r="B417" s="54" t="inlineStr">
        <is>
          <t>Chaos Acastus Knight Porphyrion</t>
        </is>
      </c>
      <c r="C417" s="54" t="inlineStr">
        <is>
          <t>1 model</t>
        </is>
      </c>
      <c r="D417" s="55" t="n">
        <v>700</v>
      </c>
      <c r="E417" s="55" t="inlineStr">
        <is>
          <t>Chaos Acastus Knight Porphyrion — 1 model (700 pts)</t>
        </is>
      </c>
      <c r="F417" s="55" t="n">
        <v>700</v>
      </c>
      <c r="G417" s="54" t="n">
        <v>14</v>
      </c>
      <c r="H417" s="54" t="inlineStr">
        <is>
          <t>Uploaded PDF: Munitorum Field Manual v2.3 / March 2025</t>
        </is>
      </c>
    </row>
    <row r="418">
      <c r="A418" s="54" t="inlineStr">
        <is>
          <t>Chaos Knights</t>
        </is>
      </c>
      <c r="B418" s="54" t="inlineStr">
        <is>
          <t>Chaos Cerastus Knight Acheron</t>
        </is>
      </c>
      <c r="C418" s="54" t="inlineStr">
        <is>
          <t>1 model</t>
        </is>
      </c>
      <c r="D418" s="55" t="n">
        <v>420</v>
      </c>
      <c r="E418" s="55" t="inlineStr">
        <is>
          <t>Chaos Cerastus Knight Acheron — 1 model (420 pts)</t>
        </is>
      </c>
      <c r="F418" s="55" t="n">
        <v>420</v>
      </c>
      <c r="G418" s="54" t="n">
        <v>14</v>
      </c>
      <c r="H418" s="54" t="inlineStr">
        <is>
          <t>Uploaded PDF: Munitorum Field Manual v2.3 / March 2025</t>
        </is>
      </c>
    </row>
    <row r="419">
      <c r="A419" s="54" t="inlineStr">
        <is>
          <t>Chaos Knights</t>
        </is>
      </c>
      <c r="B419" s="54" t="inlineStr">
        <is>
          <t>Chaos Cerastus Knight Atrapos</t>
        </is>
      </c>
      <c r="C419" s="54" t="inlineStr">
        <is>
          <t>1 model</t>
        </is>
      </c>
      <c r="D419" s="55" t="n">
        <v>420</v>
      </c>
      <c r="E419" s="55" t="inlineStr">
        <is>
          <t>Chaos Cerastus Knight Atrapos — 1 model (420 pts)</t>
        </is>
      </c>
      <c r="F419" s="55" t="n">
        <v>420</v>
      </c>
      <c r="G419" s="54" t="n">
        <v>14</v>
      </c>
      <c r="H419" s="54" t="inlineStr">
        <is>
          <t>Uploaded PDF: Munitorum Field Manual v2.3 / March 2025</t>
        </is>
      </c>
    </row>
    <row r="420">
      <c r="A420" s="54" t="inlineStr">
        <is>
          <t>Chaos Knights</t>
        </is>
      </c>
      <c r="B420" s="54" t="inlineStr">
        <is>
          <t>Chaos Cerastus Knight Castigator</t>
        </is>
      </c>
      <c r="C420" s="54" t="inlineStr">
        <is>
          <t>1 model</t>
        </is>
      </c>
      <c r="D420" s="55" t="n">
        <v>445</v>
      </c>
      <c r="E420" s="55" t="inlineStr">
        <is>
          <t>Chaos Cerastus Knight Castigator — 1 model (445 pts)</t>
        </is>
      </c>
      <c r="F420" s="55" t="n">
        <v>445</v>
      </c>
      <c r="G420" s="54" t="n">
        <v>14</v>
      </c>
      <c r="H420" s="54" t="inlineStr">
        <is>
          <t>Uploaded PDF: Munitorum Field Manual v2.3 / March 2025</t>
        </is>
      </c>
    </row>
    <row r="421">
      <c r="A421" s="54" t="inlineStr">
        <is>
          <t>Chaos Knights</t>
        </is>
      </c>
      <c r="B421" s="54" t="inlineStr">
        <is>
          <t>Chaos Cerastus Knight Lancer</t>
        </is>
      </c>
      <c r="C421" s="54" t="inlineStr">
        <is>
          <t>1 model</t>
        </is>
      </c>
      <c r="D421" s="55" t="n">
        <v>420</v>
      </c>
      <c r="E421" s="55" t="inlineStr">
        <is>
          <t>Chaos Cerastus Knight Lancer — 1 model (420 pts)</t>
        </is>
      </c>
      <c r="F421" s="55" t="n">
        <v>420</v>
      </c>
      <c r="G421" s="54" t="n">
        <v>14</v>
      </c>
      <c r="H421" s="54" t="inlineStr">
        <is>
          <t>Uploaded PDF: Munitorum Field Manual v2.3 / March 2025</t>
        </is>
      </c>
    </row>
    <row r="422">
      <c r="A422" s="54" t="inlineStr">
        <is>
          <t>Chaos Knights</t>
        </is>
      </c>
      <c r="B422" s="54" t="inlineStr">
        <is>
          <t>Chaos Questoris Knight Magaera</t>
        </is>
      </c>
      <c r="C422" s="54" t="inlineStr">
        <is>
          <t>1 model</t>
        </is>
      </c>
      <c r="D422" s="55" t="n">
        <v>435</v>
      </c>
      <c r="E422" s="55" t="inlineStr">
        <is>
          <t>Chaos Questoris Knight Magaera — 1 model (435 pts)</t>
        </is>
      </c>
      <c r="F422" s="55" t="n">
        <v>435</v>
      </c>
      <c r="G422" s="54" t="n">
        <v>14</v>
      </c>
      <c r="H422" s="54" t="inlineStr">
        <is>
          <t>Uploaded PDF: Munitorum Field Manual v2.3 / March 2025</t>
        </is>
      </c>
    </row>
    <row r="423">
      <c r="A423" s="54" t="inlineStr">
        <is>
          <t>Chaos Knights</t>
        </is>
      </c>
      <c r="B423" s="54" t="inlineStr">
        <is>
          <t>Chaos Questoris Knight Styrix</t>
        </is>
      </c>
      <c r="C423" s="54" t="inlineStr">
        <is>
          <t>1 model</t>
        </is>
      </c>
      <c r="D423" s="55" t="n">
        <v>430</v>
      </c>
      <c r="E423" s="55" t="inlineStr">
        <is>
          <t>Chaos Questoris Knight Styrix — 1 model (430 pts)</t>
        </is>
      </c>
      <c r="F423" s="55" t="n">
        <v>430</v>
      </c>
      <c r="G423" s="54" t="n">
        <v>14</v>
      </c>
      <c r="H423" s="54" t="inlineStr">
        <is>
          <t>Uploaded PDF: Munitorum Field Manual v2.3 / March 2025</t>
        </is>
      </c>
    </row>
    <row r="424">
      <c r="A424" s="54" t="inlineStr">
        <is>
          <t>Chaos Knights</t>
        </is>
      </c>
      <c r="B424" s="54" t="inlineStr">
        <is>
          <t>War Dog Moirax</t>
        </is>
      </c>
      <c r="C424" s="54" t="inlineStr">
        <is>
          <t>1 model</t>
        </is>
      </c>
      <c r="D424" s="55" t="n">
        <v>160</v>
      </c>
      <c r="E424" s="55" t="inlineStr">
        <is>
          <t>War Dog Moirax — 1 model (160 pts)</t>
        </is>
      </c>
      <c r="F424" s="55" t="n">
        <v>160</v>
      </c>
      <c r="G424" s="54" t="n">
        <v>14</v>
      </c>
      <c r="H424" s="54" t="inlineStr">
        <is>
          <t>Uploaded PDF: Munitorum Field Manual v2.3 / March 2025</t>
        </is>
      </c>
    </row>
    <row r="425">
      <c r="A425" s="54" t="inlineStr">
        <is>
          <t>Chaos Space Marines</t>
        </is>
      </c>
      <c r="B425" s="54" t="inlineStr">
        <is>
          <t>Abaddon the Despoiler</t>
        </is>
      </c>
      <c r="C425" s="54" t="inlineStr">
        <is>
          <t>1 model</t>
        </is>
      </c>
      <c r="D425" s="55" t="n">
        <v>280</v>
      </c>
      <c r="E425" s="55" t="inlineStr">
        <is>
          <t>Abaddon the Despoiler — 1 model (280 pts)</t>
        </is>
      </c>
      <c r="F425" s="55" t="n">
        <v>280</v>
      </c>
      <c r="G425" s="54" t="n">
        <v>15</v>
      </c>
      <c r="H425" s="54" t="inlineStr">
        <is>
          <t>Uploaded PDF: Munitorum Field Manual v2.3 / March 2025</t>
        </is>
      </c>
    </row>
    <row r="426">
      <c r="A426" s="54" t="inlineStr">
        <is>
          <t>Chaos Space Marines</t>
        </is>
      </c>
      <c r="B426" s="54" t="inlineStr">
        <is>
          <t>Accursed Cultists</t>
        </is>
      </c>
      <c r="C426" s="54" t="inlineStr">
        <is>
          <t>8 models</t>
        </is>
      </c>
      <c r="D426" s="55" t="n">
        <v>90</v>
      </c>
      <c r="E426" s="55" t="inlineStr">
        <is>
          <t>Accursed Cultists — 8 models (90 pts)</t>
        </is>
      </c>
      <c r="F426" s="55" t="n">
        <v>90</v>
      </c>
      <c r="G426" s="54" t="n">
        <v>15</v>
      </c>
      <c r="H426" s="54" t="inlineStr">
        <is>
          <t>Uploaded PDF: Munitorum Field Manual v2.3 / March 2025</t>
        </is>
      </c>
    </row>
    <row r="427">
      <c r="A427" s="54" t="inlineStr">
        <is>
          <t>Chaos Space Marines</t>
        </is>
      </c>
      <c r="B427" s="54" t="inlineStr">
        <is>
          <t>Accursed Cultists</t>
        </is>
      </c>
      <c r="C427" s="54" t="inlineStr">
        <is>
          <t>16 models</t>
        </is>
      </c>
      <c r="D427" s="55" t="n">
        <v>195</v>
      </c>
      <c r="E427" s="55" t="inlineStr">
        <is>
          <t>Accursed Cultists — 16 models (195 pts)</t>
        </is>
      </c>
      <c r="F427" s="55" t="n">
        <v>195</v>
      </c>
      <c r="G427" s="54" t="n">
        <v>15</v>
      </c>
      <c r="H427" s="54" t="inlineStr">
        <is>
          <t>Uploaded PDF: Munitorum Field Manual v2.3 / March 2025</t>
        </is>
      </c>
    </row>
    <row r="428">
      <c r="A428" s="54" t="inlineStr">
        <is>
          <t>Chaos Space Marines</t>
        </is>
      </c>
      <c r="B428" s="54" t="inlineStr">
        <is>
          <t>Chaos Bikers</t>
        </is>
      </c>
      <c r="C428" s="54" t="inlineStr">
        <is>
          <t>3 models</t>
        </is>
      </c>
      <c r="D428" s="55" t="n">
        <v>70</v>
      </c>
      <c r="E428" s="55" t="inlineStr">
        <is>
          <t>Chaos Bikers — 3 models (70 pts)</t>
        </is>
      </c>
      <c r="F428" s="55" t="n">
        <v>70</v>
      </c>
      <c r="G428" s="54" t="n">
        <v>15</v>
      </c>
      <c r="H428" s="54" t="inlineStr">
        <is>
          <t>Uploaded PDF: Munitorum Field Manual v2.3 / March 2025</t>
        </is>
      </c>
    </row>
    <row r="429">
      <c r="A429" s="54" t="inlineStr">
        <is>
          <t>Chaos Space Marines</t>
        </is>
      </c>
      <c r="B429" s="54" t="inlineStr">
        <is>
          <t>Chaos Bikers</t>
        </is>
      </c>
      <c r="C429" s="54" t="inlineStr">
        <is>
          <t>6 models</t>
        </is>
      </c>
      <c r="D429" s="55" t="n">
        <v>130</v>
      </c>
      <c r="E429" s="55" t="inlineStr">
        <is>
          <t>Chaos Bikers — 6 models (130 pts)</t>
        </is>
      </c>
      <c r="F429" s="55" t="n">
        <v>130</v>
      </c>
      <c r="G429" s="54" t="n">
        <v>15</v>
      </c>
      <c r="H429" s="54" t="inlineStr">
        <is>
          <t>Uploaded PDF: Munitorum Field Manual v2.3 / March 2025</t>
        </is>
      </c>
    </row>
    <row r="430">
      <c r="A430" s="54" t="inlineStr">
        <is>
          <t>Chaos Space Marines</t>
        </is>
      </c>
      <c r="B430" s="54" t="inlineStr">
        <is>
          <t>Chaos Land Raider</t>
        </is>
      </c>
      <c r="C430" s="54" t="inlineStr">
        <is>
          <t>1 model</t>
        </is>
      </c>
      <c r="D430" s="55" t="n">
        <v>240</v>
      </c>
      <c r="E430" s="55" t="inlineStr">
        <is>
          <t>Chaos Land Raider — 1 model (240 pts)</t>
        </is>
      </c>
      <c r="F430" s="55" t="n">
        <v>240</v>
      </c>
      <c r="G430" s="54" t="n">
        <v>15</v>
      </c>
      <c r="H430" s="54" t="inlineStr">
        <is>
          <t>Uploaded PDF: Munitorum Field Manual v2.3 / March 2025</t>
        </is>
      </c>
    </row>
    <row r="431">
      <c r="A431" s="54" t="inlineStr">
        <is>
          <t>Chaos Space Marines</t>
        </is>
      </c>
      <c r="B431" s="54" t="inlineStr">
        <is>
          <t>Chaos Lord</t>
        </is>
      </c>
      <c r="C431" s="54" t="inlineStr">
        <is>
          <t>1 model</t>
        </is>
      </c>
      <c r="D431" s="55" t="n">
        <v>90</v>
      </c>
      <c r="E431" s="55" t="inlineStr">
        <is>
          <t>Chaos Lord — 1 model (90 pts)</t>
        </is>
      </c>
      <c r="F431" s="55" t="n">
        <v>90</v>
      </c>
      <c r="G431" s="54" t="n">
        <v>15</v>
      </c>
      <c r="H431" s="54" t="inlineStr">
        <is>
          <t>Uploaded PDF: Munitorum Field Manual v2.3 / March 2025</t>
        </is>
      </c>
    </row>
    <row r="432">
      <c r="A432" s="54" t="inlineStr">
        <is>
          <t>Chaos Space Marines</t>
        </is>
      </c>
      <c r="B432" s="54" t="inlineStr">
        <is>
          <t>Chaos Lord in Terminator Armour</t>
        </is>
      </c>
      <c r="C432" s="54" t="inlineStr">
        <is>
          <t>1 model</t>
        </is>
      </c>
      <c r="D432" s="55" t="n">
        <v>95</v>
      </c>
      <c r="E432" s="55" t="inlineStr">
        <is>
          <t>Chaos Lord in Terminator Armour — 1 model (95 pts)</t>
        </is>
      </c>
      <c r="F432" s="55" t="n">
        <v>95</v>
      </c>
      <c r="G432" s="54" t="n">
        <v>15</v>
      </c>
      <c r="H432" s="54" t="inlineStr">
        <is>
          <t>Uploaded PDF: Munitorum Field Manual v2.3 / March 2025</t>
        </is>
      </c>
    </row>
    <row r="433">
      <c r="A433" s="54" t="inlineStr">
        <is>
          <t>Chaos Space Marines</t>
        </is>
      </c>
      <c r="B433" s="54" t="inlineStr">
        <is>
          <t>Chaos Lord with Jump Pack</t>
        </is>
      </c>
      <c r="C433" s="54" t="inlineStr">
        <is>
          <t>1 model</t>
        </is>
      </c>
      <c r="D433" s="55" t="n">
        <v>90</v>
      </c>
      <c r="E433" s="55" t="inlineStr">
        <is>
          <t>Chaos Lord with Jump Pack — 1 model (90 pts)</t>
        </is>
      </c>
      <c r="F433" s="55" t="n">
        <v>90</v>
      </c>
      <c r="G433" s="54" t="n">
        <v>15</v>
      </c>
      <c r="H433" s="54" t="inlineStr">
        <is>
          <t>Uploaded PDF: Munitorum Field Manual v2.3 / March 2025</t>
        </is>
      </c>
    </row>
    <row r="434">
      <c r="A434" s="54" t="inlineStr">
        <is>
          <t>Chaos Space Marines</t>
        </is>
      </c>
      <c r="B434" s="54" t="inlineStr">
        <is>
          <t>Chaos Predator Annihilator</t>
        </is>
      </c>
      <c r="C434" s="54" t="inlineStr">
        <is>
          <t>1 model</t>
        </is>
      </c>
      <c r="D434" s="55" t="n">
        <v>135</v>
      </c>
      <c r="E434" s="55" t="inlineStr">
        <is>
          <t>Chaos Predator Annihilator — 1 model (135 pts)</t>
        </is>
      </c>
      <c r="F434" s="55" t="n">
        <v>135</v>
      </c>
      <c r="G434" s="54" t="n">
        <v>15</v>
      </c>
      <c r="H434" s="54" t="inlineStr">
        <is>
          <t>Uploaded PDF: Munitorum Field Manual v2.3 / March 2025</t>
        </is>
      </c>
    </row>
    <row r="435">
      <c r="A435" s="54" t="inlineStr">
        <is>
          <t>Chaos Space Marines</t>
        </is>
      </c>
      <c r="B435" s="54" t="inlineStr">
        <is>
          <t>Chaos Predator Destructor</t>
        </is>
      </c>
      <c r="C435" s="54" t="inlineStr">
        <is>
          <t>1 model</t>
        </is>
      </c>
      <c r="D435" s="55" t="n">
        <v>140</v>
      </c>
      <c r="E435" s="55" t="inlineStr">
        <is>
          <t>Chaos Predator Destructor — 1 model (140 pts)</t>
        </is>
      </c>
      <c r="F435" s="55" t="n">
        <v>140</v>
      </c>
      <c r="G435" s="54" t="n">
        <v>15</v>
      </c>
      <c r="H435" s="54" t="inlineStr">
        <is>
          <t>Uploaded PDF: Munitorum Field Manual v2.3 / March 2025</t>
        </is>
      </c>
    </row>
    <row r="436">
      <c r="A436" s="54" t="inlineStr">
        <is>
          <t>Chaos Space Marines</t>
        </is>
      </c>
      <c r="B436" s="54" t="inlineStr">
        <is>
          <t>Chaos Rhino</t>
        </is>
      </c>
      <c r="C436" s="54" t="inlineStr">
        <is>
          <t>1 model</t>
        </is>
      </c>
      <c r="D436" s="55" t="n">
        <v>75</v>
      </c>
      <c r="E436" s="55" t="inlineStr">
        <is>
          <t>Chaos Rhino — 1 model (75 pts)</t>
        </is>
      </c>
      <c r="F436" s="55" t="n">
        <v>75</v>
      </c>
      <c r="G436" s="54" t="n">
        <v>15</v>
      </c>
      <c r="H436" s="54" t="inlineStr">
        <is>
          <t>Uploaded PDF: Munitorum Field Manual v2.3 / March 2025</t>
        </is>
      </c>
    </row>
    <row r="437">
      <c r="A437" s="54" t="inlineStr">
        <is>
          <t>Chaos Space Marines</t>
        </is>
      </c>
      <c r="B437" s="54" t="inlineStr">
        <is>
          <t>Chaos Spawn</t>
        </is>
      </c>
      <c r="C437" s="54" t="inlineStr">
        <is>
          <t>2 models</t>
        </is>
      </c>
      <c r="D437" s="55" t="n">
        <v>70</v>
      </c>
      <c r="E437" s="55" t="inlineStr">
        <is>
          <t>Chaos Spawn — 2 models (70 pts)</t>
        </is>
      </c>
      <c r="F437" s="55" t="n">
        <v>70</v>
      </c>
      <c r="G437" s="54" t="n">
        <v>15</v>
      </c>
      <c r="H437" s="54" t="inlineStr">
        <is>
          <t>Uploaded PDF: Munitorum Field Manual v2.3 / March 2025</t>
        </is>
      </c>
    </row>
    <row r="438">
      <c r="A438" s="54" t="inlineStr">
        <is>
          <t>Chaos Space Marines</t>
        </is>
      </c>
      <c r="B438" s="54" t="inlineStr">
        <is>
          <t>Chaos Terminator Squad</t>
        </is>
      </c>
      <c r="C438" s="54" t="inlineStr">
        <is>
          <t>5 models</t>
        </is>
      </c>
      <c r="D438" s="55" t="n">
        <v>180</v>
      </c>
      <c r="E438" s="55" t="inlineStr">
        <is>
          <t>Chaos Terminator Squad — 5 models (180 pts)</t>
        </is>
      </c>
      <c r="F438" s="55" t="n">
        <v>180</v>
      </c>
      <c r="G438" s="54" t="n">
        <v>15</v>
      </c>
      <c r="H438" s="54" t="inlineStr">
        <is>
          <t>Uploaded PDF: Munitorum Field Manual v2.3 / March 2025</t>
        </is>
      </c>
    </row>
    <row r="439">
      <c r="A439" s="54" t="inlineStr">
        <is>
          <t>Chaos Space Marines</t>
        </is>
      </c>
      <c r="B439" s="54" t="inlineStr">
        <is>
          <t>Chaos Terminator Squad</t>
        </is>
      </c>
      <c r="C439" s="54" t="inlineStr">
        <is>
          <t>10 models</t>
        </is>
      </c>
      <c r="D439" s="55" t="n">
        <v>360</v>
      </c>
      <c r="E439" s="55" t="inlineStr">
        <is>
          <t>Chaos Terminator Squad — 10 models (360 pts)</t>
        </is>
      </c>
      <c r="F439" s="55" t="n">
        <v>360</v>
      </c>
      <c r="G439" s="54" t="n">
        <v>15</v>
      </c>
      <c r="H439" s="54" t="inlineStr">
        <is>
          <t>Uploaded PDF: Munitorum Field Manual v2.3 / March 2025</t>
        </is>
      </c>
    </row>
    <row r="440">
      <c r="A440" s="54" t="inlineStr">
        <is>
          <t>Chaos Space Marines</t>
        </is>
      </c>
      <c r="B440" s="54" t="inlineStr">
        <is>
          <t>Chaos Vindicator</t>
        </is>
      </c>
      <c r="C440" s="54" t="inlineStr">
        <is>
          <t>1 model</t>
        </is>
      </c>
      <c r="D440" s="55" t="n">
        <v>185</v>
      </c>
      <c r="E440" s="55" t="inlineStr">
        <is>
          <t>Chaos Vindicator — 1 model (185 pts)</t>
        </is>
      </c>
      <c r="F440" s="55" t="n">
        <v>185</v>
      </c>
      <c r="G440" s="54" t="n">
        <v>15</v>
      </c>
      <c r="H440" s="54" t="inlineStr">
        <is>
          <t>Uploaded PDF: Munitorum Field Manual v2.3 / March 2025</t>
        </is>
      </c>
    </row>
    <row r="441">
      <c r="A441" s="54" t="inlineStr">
        <is>
          <t>Chaos Space Marines</t>
        </is>
      </c>
      <c r="B441" s="54" t="inlineStr">
        <is>
          <t>Chosen</t>
        </is>
      </c>
      <c r="C441" s="54" t="inlineStr">
        <is>
          <t>5 models</t>
        </is>
      </c>
      <c r="D441" s="55" t="n">
        <v>125</v>
      </c>
      <c r="E441" s="55" t="inlineStr">
        <is>
          <t>Chosen — 5 models (125 pts)</t>
        </is>
      </c>
      <c r="F441" s="55" t="n">
        <v>125</v>
      </c>
      <c r="G441" s="54" t="n">
        <v>15</v>
      </c>
      <c r="H441" s="54" t="inlineStr">
        <is>
          <t>Uploaded PDF: Munitorum Field Manual v2.3 / March 2025</t>
        </is>
      </c>
    </row>
    <row r="442">
      <c r="A442" s="54" t="inlineStr">
        <is>
          <t>Chaos Space Marines</t>
        </is>
      </c>
      <c r="B442" s="54" t="inlineStr">
        <is>
          <t>Chosen</t>
        </is>
      </c>
      <c r="C442" s="54" t="inlineStr">
        <is>
          <t>10 models</t>
        </is>
      </c>
      <c r="D442" s="55" t="n">
        <v>250</v>
      </c>
      <c r="E442" s="55" t="inlineStr">
        <is>
          <t>Chosen — 10 models (250 pts)</t>
        </is>
      </c>
      <c r="F442" s="55" t="n">
        <v>250</v>
      </c>
      <c r="G442" s="54" t="n">
        <v>15</v>
      </c>
      <c r="H442" s="54" t="inlineStr">
        <is>
          <t>Uploaded PDF: Munitorum Field Manual v2.3 / March 2025</t>
        </is>
      </c>
    </row>
    <row r="443">
      <c r="A443" s="54" t="inlineStr">
        <is>
          <t>Chaos Space Marines</t>
        </is>
      </c>
      <c r="B443" s="54" t="inlineStr">
        <is>
          <t>Cultist Firebrand</t>
        </is>
      </c>
      <c r="C443" s="54" t="inlineStr">
        <is>
          <t>1 model</t>
        </is>
      </c>
      <c r="D443" s="55" t="n">
        <v>45</v>
      </c>
      <c r="E443" s="55" t="inlineStr">
        <is>
          <t>Cultist Firebrand — 1 model (45 pts)</t>
        </is>
      </c>
      <c r="F443" s="55" t="n">
        <v>45</v>
      </c>
      <c r="G443" s="54" t="n">
        <v>15</v>
      </c>
      <c r="H443" s="54" t="inlineStr">
        <is>
          <t>Uploaded PDF: Munitorum Field Manual v2.3 / March 2025</t>
        </is>
      </c>
    </row>
    <row r="444">
      <c r="A444" s="54" t="inlineStr">
        <is>
          <t>Chaos Space Marines</t>
        </is>
      </c>
      <c r="B444" s="54" t="inlineStr">
        <is>
          <t>Cultist Mob</t>
        </is>
      </c>
      <c r="C444" s="54" t="inlineStr">
        <is>
          <t>10 models</t>
        </is>
      </c>
      <c r="D444" s="55" t="n">
        <v>50</v>
      </c>
      <c r="E444" s="55" t="inlineStr">
        <is>
          <t>Cultist Mob — 10 models (50 pts)</t>
        </is>
      </c>
      <c r="F444" s="55" t="n">
        <v>50</v>
      </c>
      <c r="G444" s="54" t="n">
        <v>15</v>
      </c>
      <c r="H444" s="54" t="inlineStr">
        <is>
          <t>Uploaded PDF: Munitorum Field Manual v2.3 / March 2025</t>
        </is>
      </c>
    </row>
    <row r="445">
      <c r="A445" s="54" t="inlineStr">
        <is>
          <t>Chaos Space Marines</t>
        </is>
      </c>
      <c r="B445" s="54" t="inlineStr">
        <is>
          <t>Cultist Mob</t>
        </is>
      </c>
      <c r="C445" s="54" t="inlineStr">
        <is>
          <t>20 models</t>
        </is>
      </c>
      <c r="D445" s="55" t="n">
        <v>100</v>
      </c>
      <c r="E445" s="55" t="inlineStr">
        <is>
          <t>Cultist Mob — 20 models (100 pts)</t>
        </is>
      </c>
      <c r="F445" s="55" t="n">
        <v>100</v>
      </c>
      <c r="G445" s="54" t="n">
        <v>15</v>
      </c>
      <c r="H445" s="54" t="inlineStr">
        <is>
          <t>Uploaded PDF: Munitorum Field Manual v2.3 / March 2025</t>
        </is>
      </c>
    </row>
    <row r="446">
      <c r="A446" s="54" t="inlineStr">
        <is>
          <t>Chaos Space Marines</t>
        </is>
      </c>
      <c r="B446" s="54" t="inlineStr">
        <is>
          <t>Cypher</t>
        </is>
      </c>
      <c r="C446" s="54" t="inlineStr">
        <is>
          <t>1 model</t>
        </is>
      </c>
      <c r="D446" s="55" t="n">
        <v>90</v>
      </c>
      <c r="E446" s="55" t="inlineStr">
        <is>
          <t>Cypher — 1 model (90 pts)</t>
        </is>
      </c>
      <c r="F446" s="55" t="n">
        <v>90</v>
      </c>
      <c r="G446" s="54" t="n">
        <v>15</v>
      </c>
      <c r="H446" s="54" t="inlineStr">
        <is>
          <t>Uploaded PDF: Munitorum Field Manual v2.3 / March 2025</t>
        </is>
      </c>
    </row>
    <row r="447">
      <c r="A447" s="54" t="inlineStr">
        <is>
          <t>Chaos Space Marines</t>
        </is>
      </c>
      <c r="B447" s="54" t="inlineStr">
        <is>
          <t>Dark Apostle</t>
        </is>
      </c>
      <c r="C447" s="54" t="inlineStr">
        <is>
          <t>3 models</t>
        </is>
      </c>
      <c r="D447" s="55" t="n">
        <v>75</v>
      </c>
      <c r="E447" s="55" t="inlineStr">
        <is>
          <t>Dark Apostle — 3 models (75 pts)</t>
        </is>
      </c>
      <c r="F447" s="55" t="n">
        <v>75</v>
      </c>
      <c r="G447" s="54" t="n">
        <v>15</v>
      </c>
      <c r="H447" s="54" t="inlineStr">
        <is>
          <t>Uploaded PDF: Munitorum Field Manual v2.3 / March 2025</t>
        </is>
      </c>
    </row>
    <row r="448">
      <c r="A448" s="54" t="inlineStr">
        <is>
          <t>Chaos Space Marines</t>
        </is>
      </c>
      <c r="B448" s="54" t="inlineStr">
        <is>
          <t>Dark Commune</t>
        </is>
      </c>
      <c r="C448" s="54" t="inlineStr">
        <is>
          <t>5 models</t>
        </is>
      </c>
      <c r="D448" s="55" t="n">
        <v>80</v>
      </c>
      <c r="E448" s="55" t="inlineStr">
        <is>
          <t>Dark Commune — 5 models (80 pts)</t>
        </is>
      </c>
      <c r="F448" s="55" t="n">
        <v>80</v>
      </c>
      <c r="G448" s="54" t="n">
        <v>15</v>
      </c>
      <c r="H448" s="54" t="inlineStr">
        <is>
          <t>Uploaded PDF: Munitorum Field Manual v2.3 / March 2025</t>
        </is>
      </c>
    </row>
    <row r="449">
      <c r="A449" s="54" t="inlineStr">
        <is>
          <t>Chaos Space Marines</t>
        </is>
      </c>
      <c r="B449" s="54" t="inlineStr">
        <is>
          <t>Defiler</t>
        </is>
      </c>
      <c r="C449" s="54" t="inlineStr">
        <is>
          <t>1 model</t>
        </is>
      </c>
      <c r="D449" s="55" t="n">
        <v>190</v>
      </c>
      <c r="E449" s="55" t="inlineStr">
        <is>
          <t>Defiler — 1 model (190 pts)</t>
        </is>
      </c>
      <c r="F449" s="55" t="n">
        <v>190</v>
      </c>
      <c r="G449" s="54" t="n">
        <v>15</v>
      </c>
      <c r="H449" s="54" t="inlineStr">
        <is>
          <t>Uploaded PDF: Munitorum Field Manual v2.3 / March 2025</t>
        </is>
      </c>
    </row>
    <row r="450">
      <c r="A450" s="54" t="inlineStr">
        <is>
          <t>Chaos Space Marines</t>
        </is>
      </c>
      <c r="B450" s="54" t="inlineStr">
        <is>
          <t>Fabius Bile</t>
        </is>
      </c>
      <c r="C450" s="54" t="inlineStr">
        <is>
          <t>2 models</t>
        </is>
      </c>
      <c r="D450" s="55" t="n">
        <v>85</v>
      </c>
      <c r="E450" s="55" t="inlineStr">
        <is>
          <t>Fabius Bile — 2 models (85 pts)</t>
        </is>
      </c>
      <c r="F450" s="55" t="n">
        <v>85</v>
      </c>
      <c r="G450" s="54" t="n">
        <v>15</v>
      </c>
      <c r="H450" s="54" t="inlineStr">
        <is>
          <t>Uploaded PDF: Munitorum Field Manual v2.3 / March 2025</t>
        </is>
      </c>
    </row>
    <row r="451">
      <c r="A451" s="54" t="inlineStr">
        <is>
          <t>Chaos Space Marines</t>
        </is>
      </c>
      <c r="B451" s="54" t="inlineStr">
        <is>
          <t>Fellgor Beastmen</t>
        </is>
      </c>
      <c r="C451" s="54" t="inlineStr">
        <is>
          <t>10 models</t>
        </is>
      </c>
      <c r="D451" s="55" t="n">
        <v>85</v>
      </c>
      <c r="E451" s="55" t="inlineStr">
        <is>
          <t>Fellgor Beastmen — 10 models (85 pts)</t>
        </is>
      </c>
      <c r="F451" s="55" t="n">
        <v>85</v>
      </c>
      <c r="G451" s="54" t="n">
        <v>15</v>
      </c>
      <c r="H451" s="54" t="inlineStr">
        <is>
          <t>Uploaded PDF: Munitorum Field Manual v2.3 / March 2025</t>
        </is>
      </c>
    </row>
    <row r="452">
      <c r="A452" s="54" t="inlineStr">
        <is>
          <t>Chaos Space Marines</t>
        </is>
      </c>
      <c r="B452" s="54" t="inlineStr">
        <is>
          <t>Forgefiend</t>
        </is>
      </c>
      <c r="C452" s="54" t="inlineStr">
        <is>
          <t>1 model</t>
        </is>
      </c>
      <c r="D452" s="55" t="n">
        <v>180</v>
      </c>
      <c r="E452" s="55" t="inlineStr">
        <is>
          <t>Forgefiend — 1 model (180 pts)</t>
        </is>
      </c>
      <c r="F452" s="55" t="n">
        <v>180</v>
      </c>
      <c r="G452" s="54" t="n">
        <v>15</v>
      </c>
      <c r="H452" s="54" t="inlineStr">
        <is>
          <t>Uploaded PDF: Munitorum Field Manual v2.3 / March 2025</t>
        </is>
      </c>
    </row>
    <row r="453">
      <c r="A453" s="54" t="inlineStr">
        <is>
          <t>Chaos Space Marines</t>
        </is>
      </c>
      <c r="B453" s="54" t="inlineStr">
        <is>
          <t>Haarken Worldclaimer</t>
        </is>
      </c>
      <c r="C453" s="54" t="inlineStr">
        <is>
          <t>1 model</t>
        </is>
      </c>
      <c r="D453" s="55" t="n">
        <v>90</v>
      </c>
      <c r="E453" s="55" t="inlineStr">
        <is>
          <t>Haarken Worldclaimer — 1 model (90 pts)</t>
        </is>
      </c>
      <c r="F453" s="55" t="n">
        <v>90</v>
      </c>
      <c r="G453" s="54" t="n">
        <v>15</v>
      </c>
      <c r="H453" s="54" t="inlineStr">
        <is>
          <t>Uploaded PDF: Munitorum Field Manual v2.3 / March 2025</t>
        </is>
      </c>
    </row>
    <row r="454">
      <c r="A454" s="54" t="inlineStr">
        <is>
          <t>Chaos Space Marines</t>
        </is>
      </c>
      <c r="B454" s="54" t="inlineStr">
        <is>
          <t>Havocs</t>
        </is>
      </c>
      <c r="C454" s="54" t="inlineStr">
        <is>
          <t>5 models</t>
        </is>
      </c>
      <c r="D454" s="55" t="n">
        <v>125</v>
      </c>
      <c r="E454" s="55" t="inlineStr">
        <is>
          <t>Havocs — 5 models (125 pts)</t>
        </is>
      </c>
      <c r="F454" s="55" t="n">
        <v>125</v>
      </c>
      <c r="G454" s="54" t="n">
        <v>15</v>
      </c>
      <c r="H454" s="54" t="inlineStr">
        <is>
          <t>Uploaded PDF: Munitorum Field Manual v2.3 / March 2025</t>
        </is>
      </c>
    </row>
    <row r="455">
      <c r="A455" s="54" t="inlineStr">
        <is>
          <t>Chaos Space Marines</t>
        </is>
      </c>
      <c r="B455" s="54" t="inlineStr">
        <is>
          <t>Helbrute</t>
        </is>
      </c>
      <c r="C455" s="54" t="inlineStr">
        <is>
          <t>1 model</t>
        </is>
      </c>
      <c r="D455" s="55" t="n">
        <v>130</v>
      </c>
      <c r="E455" s="55" t="inlineStr">
        <is>
          <t>Helbrute — 1 model (130 pts)</t>
        </is>
      </c>
      <c r="F455" s="55" t="n">
        <v>130</v>
      </c>
      <c r="G455" s="54" t="n">
        <v>15</v>
      </c>
      <c r="H455" s="54" t="inlineStr">
        <is>
          <t>Uploaded PDF: Munitorum Field Manual v2.3 / March 2025</t>
        </is>
      </c>
    </row>
    <row r="456">
      <c r="A456" s="54" t="inlineStr">
        <is>
          <t>Chaos Space Marines</t>
        </is>
      </c>
      <c r="B456" s="54" t="inlineStr">
        <is>
          <t>Heldrake</t>
        </is>
      </c>
      <c r="C456" s="54" t="inlineStr">
        <is>
          <t>1 model</t>
        </is>
      </c>
      <c r="D456" s="55" t="n">
        <v>205</v>
      </c>
      <c r="E456" s="55" t="inlineStr">
        <is>
          <t>Heldrake — 1 model (205 pts)</t>
        </is>
      </c>
      <c r="F456" s="55" t="n">
        <v>205</v>
      </c>
      <c r="G456" s="54" t="n">
        <v>15</v>
      </c>
      <c r="H456" s="54" t="inlineStr">
        <is>
          <t>Uploaded PDF: Munitorum Field Manual v2.3 / March 2025</t>
        </is>
      </c>
    </row>
    <row r="457">
      <c r="A457" s="54" t="inlineStr">
        <is>
          <t>Chaos Space Marines</t>
        </is>
      </c>
      <c r="B457" s="54" t="inlineStr">
        <is>
          <t>Heretic Astartes Daemon Prince</t>
        </is>
      </c>
      <c r="C457" s="54" t="inlineStr">
        <is>
          <t>1 model</t>
        </is>
      </c>
      <c r="D457" s="55" t="n">
        <v>165</v>
      </c>
      <c r="E457" s="55" t="inlineStr">
        <is>
          <t>Heretic Astartes Daemon Prince — 1 model (165 pts)</t>
        </is>
      </c>
      <c r="F457" s="55" t="n">
        <v>165</v>
      </c>
      <c r="G457" s="54" t="n">
        <v>15</v>
      </c>
      <c r="H457" s="54" t="inlineStr">
        <is>
          <t>Uploaded PDF: Munitorum Field Manual v2.3 / March 2025</t>
        </is>
      </c>
    </row>
    <row r="458">
      <c r="A458" s="54" t="inlineStr">
        <is>
          <t>Chaos Space Marines</t>
        </is>
      </c>
      <c r="B458" s="54" t="inlineStr">
        <is>
          <t>Heretic Astartes Daemon Prince</t>
        </is>
      </c>
      <c r="C458" s="54" t="inlineStr">
        <is>
          <t>with Wings 1 model</t>
        </is>
      </c>
      <c r="D458" s="55" t="n">
        <v>180</v>
      </c>
      <c r="E458" s="55" t="inlineStr">
        <is>
          <t>Heretic Astartes Daemon Prince — with Wings 1 model (180 pts)</t>
        </is>
      </c>
      <c r="F458" s="55" t="n">
        <v>180</v>
      </c>
      <c r="G458" s="54" t="n">
        <v>15</v>
      </c>
      <c r="H458" s="54" t="inlineStr">
        <is>
          <t>Uploaded PDF: Munitorum Field Manual v2.3 / March 2025</t>
        </is>
      </c>
    </row>
    <row r="459">
      <c r="A459" s="54" t="inlineStr">
        <is>
          <t>Chaos Space Marines</t>
        </is>
      </c>
      <c r="B459" s="54" t="inlineStr">
        <is>
          <t>Huron Blackheart</t>
        </is>
      </c>
      <c r="C459" s="54" t="inlineStr">
        <is>
          <t>1 model</t>
        </is>
      </c>
      <c r="D459" s="55" t="n">
        <v>80</v>
      </c>
      <c r="E459" s="55" t="inlineStr">
        <is>
          <t>Huron Blackheart — 1 model (80 pts)</t>
        </is>
      </c>
      <c r="F459" s="55" t="n">
        <v>80</v>
      </c>
      <c r="G459" s="54" t="n">
        <v>15</v>
      </c>
      <c r="H459" s="54" t="inlineStr">
        <is>
          <t>Uploaded PDF: Munitorum Field Manual v2.3 / March 2025</t>
        </is>
      </c>
    </row>
    <row r="460">
      <c r="A460" s="54" t="inlineStr">
        <is>
          <t>Chaos Space Marines</t>
        </is>
      </c>
      <c r="B460" s="54" t="inlineStr">
        <is>
          <t>Khorne Lord of Skulls</t>
        </is>
      </c>
      <c r="C460" s="54" t="inlineStr">
        <is>
          <t>1 model</t>
        </is>
      </c>
      <c r="D460" s="55" t="n">
        <v>450</v>
      </c>
      <c r="E460" s="55" t="inlineStr">
        <is>
          <t>Khorne Lord of Skulls — 1 model (450 pts)</t>
        </is>
      </c>
      <c r="F460" s="55" t="n">
        <v>450</v>
      </c>
      <c r="G460" s="54" t="n">
        <v>15</v>
      </c>
      <c r="H460" s="54" t="inlineStr">
        <is>
          <t>Uploaded PDF: Munitorum Field Manual v2.3 / March 2025</t>
        </is>
      </c>
    </row>
    <row r="461">
      <c r="A461" s="54" t="inlineStr">
        <is>
          <t>Chaos Space Marines</t>
        </is>
      </c>
      <c r="B461" s="54" t="inlineStr">
        <is>
          <t>Legionaries</t>
        </is>
      </c>
      <c r="C461" s="54" t="inlineStr">
        <is>
          <t>5 models</t>
        </is>
      </c>
      <c r="D461" s="55" t="n">
        <v>90</v>
      </c>
      <c r="E461" s="55" t="inlineStr">
        <is>
          <t>Legionaries — 5 models (90 pts)</t>
        </is>
      </c>
      <c r="F461" s="55" t="n">
        <v>90</v>
      </c>
      <c r="G461" s="54" t="n">
        <v>15</v>
      </c>
      <c r="H461" s="54" t="inlineStr">
        <is>
          <t>Uploaded PDF: Munitorum Field Manual v2.3 / March 2025</t>
        </is>
      </c>
    </row>
    <row r="462">
      <c r="A462" s="54" t="inlineStr">
        <is>
          <t>Chaos Space Marines</t>
        </is>
      </c>
      <c r="B462" s="54" t="inlineStr">
        <is>
          <t>Legionaries</t>
        </is>
      </c>
      <c r="C462" s="54" t="inlineStr">
        <is>
          <t>10 models</t>
        </is>
      </c>
      <c r="D462" s="55" t="n">
        <v>170</v>
      </c>
      <c r="E462" s="55" t="inlineStr">
        <is>
          <t>Legionaries — 10 models (170 pts)</t>
        </is>
      </c>
      <c r="F462" s="55" t="n">
        <v>170</v>
      </c>
      <c r="G462" s="54" t="n">
        <v>15</v>
      </c>
      <c r="H462" s="54" t="inlineStr">
        <is>
          <t>Uploaded PDF: Munitorum Field Manual v2.3 / March 2025</t>
        </is>
      </c>
    </row>
    <row r="463">
      <c r="A463" s="54" t="inlineStr">
        <is>
          <t>Chaos Space Marines</t>
        </is>
      </c>
      <c r="B463" s="54" t="inlineStr">
        <is>
          <t>Lord Discordant on Helstalker</t>
        </is>
      </c>
      <c r="C463" s="54" t="inlineStr">
        <is>
          <t>1 model</t>
        </is>
      </c>
      <c r="D463" s="55" t="n">
        <v>160</v>
      </c>
      <c r="E463" s="55" t="inlineStr">
        <is>
          <t>Lord Discordant on Helstalker — 1 model (160 pts)</t>
        </is>
      </c>
      <c r="F463" s="55" t="n">
        <v>160</v>
      </c>
      <c r="G463" s="54" t="n">
        <v>15</v>
      </c>
      <c r="H463" s="54" t="inlineStr">
        <is>
          <t>Uploaded PDF: Munitorum Field Manual v2.3 / March 2025</t>
        </is>
      </c>
    </row>
    <row r="464">
      <c r="A464" s="54" t="inlineStr">
        <is>
          <t>Chaos Space Marines</t>
        </is>
      </c>
      <c r="B464" s="54" t="inlineStr">
        <is>
          <t>Master of Executions</t>
        </is>
      </c>
      <c r="C464" s="54" t="inlineStr">
        <is>
          <t>1 model</t>
        </is>
      </c>
      <c r="D464" s="55" t="n">
        <v>80</v>
      </c>
      <c r="E464" s="55" t="inlineStr">
        <is>
          <t>Master of Executions — 1 model (80 pts)</t>
        </is>
      </c>
      <c r="F464" s="55" t="n">
        <v>80</v>
      </c>
      <c r="G464" s="54" t="n">
        <v>15</v>
      </c>
      <c r="H464" s="54" t="inlineStr">
        <is>
          <t>Uploaded PDF: Munitorum Field Manual v2.3 / March 2025</t>
        </is>
      </c>
    </row>
    <row r="465">
      <c r="A465" s="54" t="inlineStr">
        <is>
          <t>Chaos Space Marines</t>
        </is>
      </c>
      <c r="B465" s="54" t="inlineStr">
        <is>
          <t>Master of Possession</t>
        </is>
      </c>
      <c r="C465" s="54" t="inlineStr">
        <is>
          <t>1 model</t>
        </is>
      </c>
      <c r="D465" s="55" t="n">
        <v>70</v>
      </c>
      <c r="E465" s="55" t="inlineStr">
        <is>
          <t>Master of Possession — 1 model (70 pts)</t>
        </is>
      </c>
      <c r="F465" s="55" t="n">
        <v>70</v>
      </c>
      <c r="G465" s="54" t="n">
        <v>15</v>
      </c>
      <c r="H465" s="54" t="inlineStr">
        <is>
          <t>Uploaded PDF: Munitorum Field Manual v2.3 / March 2025</t>
        </is>
      </c>
    </row>
    <row r="466">
      <c r="A466" s="54" t="inlineStr">
        <is>
          <t>Chaos Space Marines</t>
        </is>
      </c>
      <c r="B466" s="54" t="inlineStr">
        <is>
          <t>Maulerfiend</t>
        </is>
      </c>
      <c r="C466" s="54" t="inlineStr">
        <is>
          <t>1 model</t>
        </is>
      </c>
      <c r="D466" s="55" t="n">
        <v>130</v>
      </c>
      <c r="E466" s="55" t="inlineStr">
        <is>
          <t>Maulerfiend — 1 model (130 pts)</t>
        </is>
      </c>
      <c r="F466" s="55" t="n">
        <v>130</v>
      </c>
      <c r="G466" s="54" t="n">
        <v>15</v>
      </c>
      <c r="H466" s="54" t="inlineStr">
        <is>
          <t>Uploaded PDF: Munitorum Field Manual v2.3 / March 2025</t>
        </is>
      </c>
    </row>
    <row r="467">
      <c r="A467" s="54" t="inlineStr">
        <is>
          <t>Chaos Space Marines</t>
        </is>
      </c>
      <c r="B467" s="54" t="inlineStr">
        <is>
          <t>Nemesis Claw</t>
        </is>
      </c>
      <c r="C467" s="54" t="inlineStr">
        <is>
          <t>5 models</t>
        </is>
      </c>
      <c r="D467" s="55" t="n">
        <v>110</v>
      </c>
      <c r="E467" s="55" t="inlineStr">
        <is>
          <t>Nemesis Claw — 5 models (110 pts)</t>
        </is>
      </c>
      <c r="F467" s="55" t="n">
        <v>110</v>
      </c>
      <c r="G467" s="54" t="n">
        <v>15</v>
      </c>
      <c r="H467" s="54" t="inlineStr">
        <is>
          <t>Uploaded PDF: Munitorum Field Manual v2.3 / March 2025</t>
        </is>
      </c>
    </row>
    <row r="468">
      <c r="A468" s="54" t="inlineStr">
        <is>
          <t>Chaos Space Marines</t>
        </is>
      </c>
      <c r="B468" s="54" t="inlineStr">
        <is>
          <t>Nemesis Claw</t>
        </is>
      </c>
      <c r="C468" s="54" t="inlineStr">
        <is>
          <t>10 models</t>
        </is>
      </c>
      <c r="D468" s="55" t="n">
        <v>190</v>
      </c>
      <c r="E468" s="55" t="inlineStr">
        <is>
          <t>Nemesis Claw — 10 models (190 pts)</t>
        </is>
      </c>
      <c r="F468" s="55" t="n">
        <v>190</v>
      </c>
      <c r="G468" s="54" t="n">
        <v>15</v>
      </c>
      <c r="H468" s="54" t="inlineStr">
        <is>
          <t>Uploaded PDF: Munitorum Field Manual v2.3 / March 2025</t>
        </is>
      </c>
    </row>
    <row r="469">
      <c r="A469" s="54" t="inlineStr">
        <is>
          <t>Chaos Space Marines</t>
        </is>
      </c>
      <c r="B469" s="54" t="inlineStr">
        <is>
          <t>Noctilith Crown</t>
        </is>
      </c>
      <c r="C469" s="54" t="inlineStr">
        <is>
          <t>1 model</t>
        </is>
      </c>
      <c r="D469" s="55" t="n">
        <v>125</v>
      </c>
      <c r="E469" s="55" t="inlineStr">
        <is>
          <t>Noctilith Crown — 1 model (125 pts)</t>
        </is>
      </c>
      <c r="F469" s="55" t="n">
        <v>125</v>
      </c>
      <c r="G469" s="54" t="n">
        <v>15</v>
      </c>
      <c r="H469" s="54" t="inlineStr">
        <is>
          <t>Uploaded PDF: Munitorum Field Manual v2.3 / March 2025</t>
        </is>
      </c>
    </row>
    <row r="470">
      <c r="A470" s="54" t="inlineStr">
        <is>
          <t>Chaos Space Marines</t>
        </is>
      </c>
      <c r="B470" s="54" t="inlineStr">
        <is>
          <t>Obliterators</t>
        </is>
      </c>
      <c r="C470" s="54" t="inlineStr">
        <is>
          <t>2 models</t>
        </is>
      </c>
      <c r="D470" s="55" t="n">
        <v>160</v>
      </c>
      <c r="E470" s="55" t="inlineStr">
        <is>
          <t>Obliterators — 2 models (160 pts)</t>
        </is>
      </c>
      <c r="F470" s="55" t="n">
        <v>160</v>
      </c>
      <c r="G470" s="54" t="n">
        <v>15</v>
      </c>
      <c r="H470" s="54" t="inlineStr">
        <is>
          <t>Uploaded PDF: Munitorum Field Manual v2.3 / March 2025</t>
        </is>
      </c>
    </row>
    <row r="471">
      <c r="A471" s="54" t="inlineStr">
        <is>
          <t>Chaos Space Marines</t>
        </is>
      </c>
      <c r="B471" s="54" t="inlineStr">
        <is>
          <t>Possessed</t>
        </is>
      </c>
      <c r="C471" s="54" t="inlineStr">
        <is>
          <t>5 models</t>
        </is>
      </c>
      <c r="D471" s="55" t="n">
        <v>120</v>
      </c>
      <c r="E471" s="55" t="inlineStr">
        <is>
          <t>Possessed — 5 models (120 pts)</t>
        </is>
      </c>
      <c r="F471" s="55" t="n">
        <v>120</v>
      </c>
      <c r="G471" s="54" t="n">
        <v>15</v>
      </c>
      <c r="H471" s="54" t="inlineStr">
        <is>
          <t>Uploaded PDF: Munitorum Field Manual v2.3 / March 2025</t>
        </is>
      </c>
    </row>
    <row r="472">
      <c r="A472" s="54" t="inlineStr">
        <is>
          <t>Chaos Space Marines</t>
        </is>
      </c>
      <c r="B472" s="54" t="inlineStr">
        <is>
          <t>Possessed</t>
        </is>
      </c>
      <c r="C472" s="54" t="inlineStr">
        <is>
          <t>10 models</t>
        </is>
      </c>
      <c r="D472" s="55" t="n">
        <v>240</v>
      </c>
      <c r="E472" s="55" t="inlineStr">
        <is>
          <t>Possessed — 10 models (240 pts)</t>
        </is>
      </c>
      <c r="F472" s="55" t="n">
        <v>240</v>
      </c>
      <c r="G472" s="54" t="n">
        <v>15</v>
      </c>
      <c r="H472" s="54" t="inlineStr">
        <is>
          <t>Uploaded PDF: Munitorum Field Manual v2.3 / March 2025</t>
        </is>
      </c>
    </row>
    <row r="473">
      <c r="A473" s="54" t="inlineStr">
        <is>
          <t>Chaos Space Marines</t>
        </is>
      </c>
      <c r="B473" s="54" t="inlineStr">
        <is>
          <t>Raptors</t>
        </is>
      </c>
      <c r="C473" s="54" t="inlineStr">
        <is>
          <t>5 models</t>
        </is>
      </c>
      <c r="D473" s="55" t="n">
        <v>90</v>
      </c>
      <c r="E473" s="55" t="inlineStr">
        <is>
          <t>Raptors — 5 models (90 pts)</t>
        </is>
      </c>
      <c r="F473" s="55" t="n">
        <v>90</v>
      </c>
      <c r="G473" s="54" t="n">
        <v>15</v>
      </c>
      <c r="H473" s="54" t="inlineStr">
        <is>
          <t>Uploaded PDF: Munitorum Field Manual v2.3 / March 2025</t>
        </is>
      </c>
    </row>
    <row r="474">
      <c r="A474" s="54" t="inlineStr">
        <is>
          <t>Chaos Space Marines</t>
        </is>
      </c>
      <c r="B474" s="54" t="inlineStr">
        <is>
          <t>Raptors</t>
        </is>
      </c>
      <c r="C474" s="54" t="inlineStr">
        <is>
          <t>10 models</t>
        </is>
      </c>
      <c r="D474" s="55" t="n">
        <v>170</v>
      </c>
      <c r="E474" s="55" t="inlineStr">
        <is>
          <t>Raptors — 10 models (170 pts)</t>
        </is>
      </c>
      <c r="F474" s="55" t="n">
        <v>170</v>
      </c>
      <c r="G474" s="54" t="n">
        <v>15</v>
      </c>
      <c r="H474" s="54" t="inlineStr">
        <is>
          <t>Uploaded PDF: Munitorum Field Manual v2.3 / March 2025</t>
        </is>
      </c>
    </row>
    <row r="475">
      <c r="A475" s="54" t="inlineStr">
        <is>
          <t>Chaos Space Marines</t>
        </is>
      </c>
      <c r="B475" s="54" t="inlineStr">
        <is>
          <t>Sorcerer</t>
        </is>
      </c>
      <c r="C475" s="54" t="inlineStr">
        <is>
          <t>1 model</t>
        </is>
      </c>
      <c r="D475" s="55" t="n">
        <v>60</v>
      </c>
      <c r="E475" s="55" t="inlineStr">
        <is>
          <t>Sorcerer — 1 model (60 pts)</t>
        </is>
      </c>
      <c r="F475" s="55" t="n">
        <v>60</v>
      </c>
      <c r="G475" s="54" t="n">
        <v>15</v>
      </c>
      <c r="H475" s="54" t="inlineStr">
        <is>
          <t>Uploaded PDF: Munitorum Field Manual v2.3 / March 2025</t>
        </is>
      </c>
    </row>
    <row r="476">
      <c r="A476" s="54" t="inlineStr">
        <is>
          <t>Chaos Space Marines</t>
        </is>
      </c>
      <c r="B476" s="54" t="inlineStr">
        <is>
          <t>Sorcerer in Terminator Armour</t>
        </is>
      </c>
      <c r="C476" s="54" t="inlineStr">
        <is>
          <t>1 model</t>
        </is>
      </c>
      <c r="D476" s="55" t="n">
        <v>80</v>
      </c>
      <c r="E476" s="55" t="inlineStr">
        <is>
          <t>Sorcerer in Terminator Armour — 1 model (80 pts)</t>
        </is>
      </c>
      <c r="F476" s="55" t="n">
        <v>80</v>
      </c>
      <c r="G476" s="54" t="n">
        <v>15</v>
      </c>
      <c r="H476" s="54" t="inlineStr">
        <is>
          <t>Uploaded PDF: Munitorum Field Manual v2.3 / March 2025</t>
        </is>
      </c>
    </row>
    <row r="477">
      <c r="A477" s="54" t="inlineStr">
        <is>
          <t>Chaos Space Marines</t>
        </is>
      </c>
      <c r="B477" s="54" t="inlineStr">
        <is>
          <t>Traitor Enforcer</t>
        </is>
      </c>
      <c r="C477" s="54" t="inlineStr">
        <is>
          <t>2 models</t>
        </is>
      </c>
      <c r="D477" s="55" t="n">
        <v>65</v>
      </c>
      <c r="E477" s="55" t="inlineStr">
        <is>
          <t>Traitor Enforcer — 2 models (65 pts)</t>
        </is>
      </c>
      <c r="F477" s="55" t="n">
        <v>65</v>
      </c>
      <c r="G477" s="54" t="n">
        <v>15</v>
      </c>
      <c r="H477" s="54" t="inlineStr">
        <is>
          <t>Uploaded PDF: Munitorum Field Manual v2.3 / March 2025</t>
        </is>
      </c>
    </row>
    <row r="478">
      <c r="A478" s="54" t="inlineStr">
        <is>
          <t>Chaos Space Marines</t>
        </is>
      </c>
      <c r="B478" s="54" t="inlineStr">
        <is>
          <t>Traitor Guardsmen Squad</t>
        </is>
      </c>
      <c r="C478" s="54" t="inlineStr">
        <is>
          <t>10 models</t>
        </is>
      </c>
      <c r="D478" s="55" t="n">
        <v>70</v>
      </c>
      <c r="E478" s="55" t="inlineStr">
        <is>
          <t>Traitor Guardsmen Squad — 10 models (70 pts)</t>
        </is>
      </c>
      <c r="F478" s="55" t="n">
        <v>70</v>
      </c>
      <c r="G478" s="54" t="n">
        <v>15</v>
      </c>
      <c r="H478" s="54" t="inlineStr">
        <is>
          <t>Uploaded PDF: Munitorum Field Manual v2.3 / March 2025</t>
        </is>
      </c>
    </row>
    <row r="479">
      <c r="A479" s="54" t="inlineStr">
        <is>
          <t>Chaos Space Marines</t>
        </is>
      </c>
      <c r="B479" s="54" t="inlineStr">
        <is>
          <t>Vashtorr the Arkifane</t>
        </is>
      </c>
      <c r="C479" s="54" t="inlineStr">
        <is>
          <t>1 model</t>
        </is>
      </c>
      <c r="D479" s="55" t="n">
        <v>175</v>
      </c>
      <c r="E479" s="55" t="inlineStr">
        <is>
          <t>Vashtorr the Arkifane — 1 model (175 pts)</t>
        </is>
      </c>
      <c r="F479" s="55" t="n">
        <v>175</v>
      </c>
      <c r="G479" s="54" t="n">
        <v>15</v>
      </c>
      <c r="H479" s="54" t="inlineStr">
        <is>
          <t>Uploaded PDF: Munitorum Field Manual v2.3 / March 2025</t>
        </is>
      </c>
    </row>
    <row r="480">
      <c r="A480" s="54" t="inlineStr">
        <is>
          <t>Chaos Space Marines</t>
        </is>
      </c>
      <c r="B480" s="54" t="inlineStr">
        <is>
          <t>Venomcrawler</t>
        </is>
      </c>
      <c r="C480" s="54" t="inlineStr">
        <is>
          <t>1 model</t>
        </is>
      </c>
      <c r="D480" s="55" t="n">
        <v>120</v>
      </c>
      <c r="E480" s="55" t="inlineStr">
        <is>
          <t>Venomcrawler — 1 model (120 pts)</t>
        </is>
      </c>
      <c r="F480" s="55" t="n">
        <v>120</v>
      </c>
      <c r="G480" s="54" t="n">
        <v>15</v>
      </c>
      <c r="H480" s="54" t="inlineStr">
        <is>
          <t>Uploaded PDF: Munitorum Field Manual v2.3 / March 2025</t>
        </is>
      </c>
    </row>
    <row r="481">
      <c r="A481" s="54" t="inlineStr">
        <is>
          <t>Chaos Space Marines</t>
        </is>
      </c>
      <c r="B481" s="54" t="inlineStr">
        <is>
          <t>Warp Talons</t>
        </is>
      </c>
      <c r="C481" s="54" t="inlineStr">
        <is>
          <t>5 models</t>
        </is>
      </c>
      <c r="D481" s="55" t="n">
        <v>125</v>
      </c>
      <c r="E481" s="55" t="inlineStr">
        <is>
          <t>Warp Talons — 5 models (125 pts)</t>
        </is>
      </c>
      <c r="F481" s="55" t="n">
        <v>125</v>
      </c>
      <c r="G481" s="54" t="n">
        <v>15</v>
      </c>
      <c r="H481" s="54" t="inlineStr">
        <is>
          <t>Uploaded PDF: Munitorum Field Manual v2.3 / March 2025</t>
        </is>
      </c>
    </row>
    <row r="482">
      <c r="A482" s="54" t="inlineStr">
        <is>
          <t>Chaos Space Marines</t>
        </is>
      </c>
      <c r="B482" s="54" t="inlineStr">
        <is>
          <t>Warp Talons</t>
        </is>
      </c>
      <c r="C482" s="54" t="inlineStr">
        <is>
          <t>10 models</t>
        </is>
      </c>
      <c r="D482" s="55" t="n">
        <v>270</v>
      </c>
      <c r="E482" s="55" t="inlineStr">
        <is>
          <t>Warp Talons — 10 models (270 pts)</t>
        </is>
      </c>
      <c r="F482" s="55" t="n">
        <v>270</v>
      </c>
      <c r="G482" s="54" t="n">
        <v>15</v>
      </c>
      <c r="H482" s="54" t="inlineStr">
        <is>
          <t>Uploaded PDF: Munitorum Field Manual v2.3 / March 2025</t>
        </is>
      </c>
    </row>
    <row r="483">
      <c r="A483" s="54" t="inlineStr">
        <is>
          <t>Chaos Space Marines</t>
        </is>
      </c>
      <c r="B483" s="54" t="inlineStr">
        <is>
          <t>Warpsmith</t>
        </is>
      </c>
      <c r="C483" s="54" t="inlineStr">
        <is>
          <t>1 model</t>
        </is>
      </c>
      <c r="D483" s="55" t="n">
        <v>70</v>
      </c>
      <c r="E483" s="55" t="inlineStr">
        <is>
          <t>Warpsmith — 1 model (70 pts)</t>
        </is>
      </c>
      <c r="F483" s="55" t="n">
        <v>70</v>
      </c>
      <c r="G483" s="54" t="n">
        <v>15</v>
      </c>
      <c r="H483" s="54" t="inlineStr">
        <is>
          <t>Uploaded PDF: Munitorum Field Manual v2.3 / March 2025</t>
        </is>
      </c>
    </row>
    <row r="484">
      <c r="A484" s="54" t="inlineStr">
        <is>
          <t>Dark Angels</t>
        </is>
      </c>
      <c r="B484" s="54" t="inlineStr">
        <is>
          <t>Asmodai</t>
        </is>
      </c>
      <c r="C484" s="54" t="inlineStr">
        <is>
          <t>1 model</t>
        </is>
      </c>
      <c r="D484" s="55" t="n">
        <v>70</v>
      </c>
      <c r="E484" s="55" t="inlineStr">
        <is>
          <t>Asmodai — 1 model (70 pts)</t>
        </is>
      </c>
      <c r="F484" s="55" t="n">
        <v>70</v>
      </c>
      <c r="G484" s="54" t="n">
        <v>17</v>
      </c>
      <c r="H484" s="54" t="inlineStr">
        <is>
          <t>Uploaded PDF: Munitorum Field Manual v2.3 / March 2025</t>
        </is>
      </c>
    </row>
    <row r="485">
      <c r="A485" s="54" t="inlineStr">
        <is>
          <t>Dark Angels</t>
        </is>
      </c>
      <c r="B485" s="54" t="inlineStr">
        <is>
          <t>Azrael</t>
        </is>
      </c>
      <c r="C485" s="54" t="inlineStr">
        <is>
          <t>1 model</t>
        </is>
      </c>
      <c r="D485" s="55" t="n">
        <v>115</v>
      </c>
      <c r="E485" s="55" t="inlineStr">
        <is>
          <t>Azrael — 1 model (115 pts)</t>
        </is>
      </c>
      <c r="F485" s="55" t="n">
        <v>115</v>
      </c>
      <c r="G485" s="54" t="n">
        <v>17</v>
      </c>
      <c r="H485" s="54" t="inlineStr">
        <is>
          <t>Uploaded PDF: Munitorum Field Manual v2.3 / March 2025</t>
        </is>
      </c>
    </row>
    <row r="486">
      <c r="A486" s="54" t="inlineStr">
        <is>
          <t>Dark Angels</t>
        </is>
      </c>
      <c r="B486" s="54" t="inlineStr">
        <is>
          <t>Belial</t>
        </is>
      </c>
      <c r="C486" s="54" t="inlineStr">
        <is>
          <t>1 model</t>
        </is>
      </c>
      <c r="D486" s="55" t="n">
        <v>85</v>
      </c>
      <c r="E486" s="55" t="inlineStr">
        <is>
          <t>Belial — 1 model (85 pts)</t>
        </is>
      </c>
      <c r="F486" s="55" t="n">
        <v>85</v>
      </c>
      <c r="G486" s="54" t="n">
        <v>17</v>
      </c>
      <c r="H486" s="54" t="inlineStr">
        <is>
          <t>Uploaded PDF: Munitorum Field Manual v2.3 / March 2025</t>
        </is>
      </c>
    </row>
    <row r="487">
      <c r="A487" s="54" t="inlineStr">
        <is>
          <t>Dark Angels</t>
        </is>
      </c>
      <c r="B487" s="54" t="inlineStr">
        <is>
          <t>Deathwing Knights</t>
        </is>
      </c>
      <c r="C487" s="54" t="inlineStr">
        <is>
          <t>5 models</t>
        </is>
      </c>
      <c r="D487" s="55" t="n">
        <v>250</v>
      </c>
      <c r="E487" s="55" t="inlineStr">
        <is>
          <t>Deathwing Knights — 5 models (250 pts)</t>
        </is>
      </c>
      <c r="F487" s="55" t="n">
        <v>250</v>
      </c>
      <c r="G487" s="54" t="n">
        <v>17</v>
      </c>
      <c r="H487" s="54" t="inlineStr">
        <is>
          <t>Uploaded PDF: Munitorum Field Manual v2.3 / March 2025</t>
        </is>
      </c>
    </row>
    <row r="488">
      <c r="A488" s="54" t="inlineStr">
        <is>
          <t>Dark Angels</t>
        </is>
      </c>
      <c r="B488" s="54" t="inlineStr">
        <is>
          <t>Deathwing Terminator Squad</t>
        </is>
      </c>
      <c r="C488" s="54" t="inlineStr">
        <is>
          <t>5 models</t>
        </is>
      </c>
      <c r="D488" s="55" t="n">
        <v>180</v>
      </c>
      <c r="E488" s="55" t="inlineStr">
        <is>
          <t>Deathwing Terminator Squad — 5 models (180 pts)</t>
        </is>
      </c>
      <c r="F488" s="55" t="n">
        <v>180</v>
      </c>
      <c r="G488" s="54" t="n">
        <v>17</v>
      </c>
      <c r="H488" s="54" t="inlineStr">
        <is>
          <t>Uploaded PDF: Munitorum Field Manual v2.3 / March 2025</t>
        </is>
      </c>
    </row>
    <row r="489">
      <c r="A489" s="54" t="inlineStr">
        <is>
          <t>Dark Angels</t>
        </is>
      </c>
      <c r="B489" s="54" t="inlineStr">
        <is>
          <t>Deathwing Terminator Squad</t>
        </is>
      </c>
      <c r="C489" s="54" t="inlineStr">
        <is>
          <t>10 models</t>
        </is>
      </c>
      <c r="D489" s="55" t="n">
        <v>360</v>
      </c>
      <c r="E489" s="55" t="inlineStr">
        <is>
          <t>Deathwing Terminator Squad — 10 models (360 pts)</t>
        </is>
      </c>
      <c r="F489" s="55" t="n">
        <v>360</v>
      </c>
      <c r="G489" s="54" t="n">
        <v>17</v>
      </c>
      <c r="H489" s="54" t="inlineStr">
        <is>
          <t>Uploaded PDF: Munitorum Field Manual v2.3 / March 2025</t>
        </is>
      </c>
    </row>
    <row r="490">
      <c r="A490" s="54" t="inlineStr">
        <is>
          <t>Dark Angels</t>
        </is>
      </c>
      <c r="B490" s="54" t="inlineStr">
        <is>
          <t>Ezekiel</t>
        </is>
      </c>
      <c r="C490" s="54" t="inlineStr">
        <is>
          <t>1 model</t>
        </is>
      </c>
      <c r="D490" s="55" t="n">
        <v>75</v>
      </c>
      <c r="E490" s="55" t="inlineStr">
        <is>
          <t>Ezekiel — 1 model (75 pts)</t>
        </is>
      </c>
      <c r="F490" s="55" t="n">
        <v>75</v>
      </c>
      <c r="G490" s="54" t="n">
        <v>17</v>
      </c>
      <c r="H490" s="54" t="inlineStr">
        <is>
          <t>Uploaded PDF: Munitorum Field Manual v2.3 / March 2025</t>
        </is>
      </c>
    </row>
    <row r="491">
      <c r="A491" s="54" t="inlineStr">
        <is>
          <t>Dark Angels</t>
        </is>
      </c>
      <c r="B491" s="54" t="inlineStr">
        <is>
          <t>Inner Circle Companions</t>
        </is>
      </c>
      <c r="C491" s="54" t="inlineStr">
        <is>
          <t>3 models</t>
        </is>
      </c>
      <c r="D491" s="55" t="n">
        <v>90</v>
      </c>
      <c r="E491" s="55" t="inlineStr">
        <is>
          <t>Inner Circle Companions — 3 models (90 pts)</t>
        </is>
      </c>
      <c r="F491" s="55" t="n">
        <v>90</v>
      </c>
      <c r="G491" s="54" t="n">
        <v>17</v>
      </c>
      <c r="H491" s="54" t="inlineStr">
        <is>
          <t>Uploaded PDF: Munitorum Field Manual v2.3 / March 2025</t>
        </is>
      </c>
    </row>
    <row r="492">
      <c r="A492" s="54" t="inlineStr">
        <is>
          <t>Dark Angels</t>
        </is>
      </c>
      <c r="B492" s="54" t="inlineStr">
        <is>
          <t>Inner Circle Companions</t>
        </is>
      </c>
      <c r="C492" s="54" t="inlineStr">
        <is>
          <t>6 models</t>
        </is>
      </c>
      <c r="D492" s="55" t="n">
        <v>180</v>
      </c>
      <c r="E492" s="55" t="inlineStr">
        <is>
          <t>Inner Circle Companions — 6 models (180 pts)</t>
        </is>
      </c>
      <c r="F492" s="55" t="n">
        <v>180</v>
      </c>
      <c r="G492" s="54" t="n">
        <v>17</v>
      </c>
      <c r="H492" s="54" t="inlineStr">
        <is>
          <t>Uploaded PDF: Munitorum Field Manual v2.3 / March 2025</t>
        </is>
      </c>
    </row>
    <row r="493">
      <c r="A493" s="54" t="inlineStr">
        <is>
          <t>Dark Angels</t>
        </is>
      </c>
      <c r="B493" s="54" t="inlineStr">
        <is>
          <t>Land Speeder Vengeance</t>
        </is>
      </c>
      <c r="C493" s="54" t="inlineStr">
        <is>
          <t>1 model</t>
        </is>
      </c>
      <c r="D493" s="55" t="n">
        <v>120</v>
      </c>
      <c r="E493" s="55" t="inlineStr">
        <is>
          <t>Land Speeder Vengeance — 1 model (120 pts)</t>
        </is>
      </c>
      <c r="F493" s="55" t="n">
        <v>120</v>
      </c>
      <c r="G493" s="54" t="n">
        <v>17</v>
      </c>
      <c r="H493" s="54" t="inlineStr">
        <is>
          <t>Uploaded PDF: Munitorum Field Manual v2.3 / March 2025</t>
        </is>
      </c>
    </row>
    <row r="494">
      <c r="A494" s="54" t="inlineStr">
        <is>
          <t>Dark Angels</t>
        </is>
      </c>
      <c r="B494" s="54" t="inlineStr">
        <is>
          <t>Lazarus</t>
        </is>
      </c>
      <c r="C494" s="54" t="inlineStr">
        <is>
          <t>1 model</t>
        </is>
      </c>
      <c r="D494" s="55" t="n">
        <v>70</v>
      </c>
      <c r="E494" s="55" t="inlineStr">
        <is>
          <t>Lazarus — 1 model (70 pts)</t>
        </is>
      </c>
      <c r="F494" s="55" t="n">
        <v>70</v>
      </c>
      <c r="G494" s="54" t="n">
        <v>17</v>
      </c>
      <c r="H494" s="54" t="inlineStr">
        <is>
          <t>Uploaded PDF: Munitorum Field Manual v2.3 / March 2025</t>
        </is>
      </c>
    </row>
    <row r="495">
      <c r="A495" s="54" t="inlineStr">
        <is>
          <t>Dark Angels</t>
        </is>
      </c>
      <c r="B495" s="54" t="inlineStr">
        <is>
          <t>Lion El’Jonson</t>
        </is>
      </c>
      <c r="C495" s="54" t="inlineStr">
        <is>
          <t>1 model</t>
        </is>
      </c>
      <c r="D495" s="55" t="n">
        <v>315</v>
      </c>
      <c r="E495" s="55" t="inlineStr">
        <is>
          <t>Lion El’Jonson — 1 model (315 pts)</t>
        </is>
      </c>
      <c r="F495" s="55" t="n">
        <v>315</v>
      </c>
      <c r="G495" s="54" t="n">
        <v>17</v>
      </c>
      <c r="H495" s="54" t="inlineStr">
        <is>
          <t>Uploaded PDF: Munitorum Field Manual v2.3 / March 2025</t>
        </is>
      </c>
    </row>
    <row r="496">
      <c r="A496" s="54" t="inlineStr">
        <is>
          <t>Dark Angels</t>
        </is>
      </c>
      <c r="B496" s="54" t="inlineStr">
        <is>
          <t>Nephilim Jetfighter</t>
        </is>
      </c>
      <c r="C496" s="54" t="inlineStr">
        <is>
          <t>1 model</t>
        </is>
      </c>
      <c r="D496" s="55" t="n">
        <v>195</v>
      </c>
      <c r="E496" s="55" t="inlineStr">
        <is>
          <t>Nephilim Jetfighter — 1 model (195 pts)</t>
        </is>
      </c>
      <c r="F496" s="55" t="n">
        <v>195</v>
      </c>
      <c r="G496" s="54" t="n">
        <v>17</v>
      </c>
      <c r="H496" s="54" t="inlineStr">
        <is>
          <t>Uploaded PDF: Munitorum Field Manual v2.3 / March 2025</t>
        </is>
      </c>
    </row>
    <row r="497">
      <c r="A497" s="54" t="inlineStr">
        <is>
          <t>Dark Angels</t>
        </is>
      </c>
      <c r="B497" s="54" t="inlineStr">
        <is>
          <t>Ravenwing Black Knights</t>
        </is>
      </c>
      <c r="C497" s="54" t="inlineStr">
        <is>
          <t>3 models</t>
        </is>
      </c>
      <c r="D497" s="55" t="n">
        <v>90</v>
      </c>
      <c r="E497" s="55" t="inlineStr">
        <is>
          <t>Ravenwing Black Knights — 3 models (90 pts)</t>
        </is>
      </c>
      <c r="F497" s="55" t="n">
        <v>90</v>
      </c>
      <c r="G497" s="54" t="n">
        <v>17</v>
      </c>
      <c r="H497" s="54" t="inlineStr">
        <is>
          <t>Uploaded PDF: Munitorum Field Manual v2.3 / March 2025</t>
        </is>
      </c>
    </row>
    <row r="498">
      <c r="A498" s="54" t="inlineStr">
        <is>
          <t>Dark Angels</t>
        </is>
      </c>
      <c r="B498" s="54" t="inlineStr">
        <is>
          <t>Ravenwing Black Knights</t>
        </is>
      </c>
      <c r="C498" s="54" t="inlineStr">
        <is>
          <t>6 models</t>
        </is>
      </c>
      <c r="D498" s="55" t="n">
        <v>180</v>
      </c>
      <c r="E498" s="55" t="inlineStr">
        <is>
          <t>Ravenwing Black Knights — 6 models (180 pts)</t>
        </is>
      </c>
      <c r="F498" s="55" t="n">
        <v>180</v>
      </c>
      <c r="G498" s="54" t="n">
        <v>17</v>
      </c>
      <c r="H498" s="54" t="inlineStr">
        <is>
          <t>Uploaded PDF: Munitorum Field Manual v2.3 / March 2025</t>
        </is>
      </c>
    </row>
    <row r="499">
      <c r="A499" s="54" t="inlineStr">
        <is>
          <t>Dark Angels</t>
        </is>
      </c>
      <c r="B499" s="54" t="inlineStr">
        <is>
          <t>Ravenwing Command Squad</t>
        </is>
      </c>
      <c r="C499" s="54" t="inlineStr">
        <is>
          <t>3 models</t>
        </is>
      </c>
      <c r="D499" s="55" t="n">
        <v>120</v>
      </c>
      <c r="E499" s="55" t="inlineStr">
        <is>
          <t>Ravenwing Command Squad — 3 models (120 pts)</t>
        </is>
      </c>
      <c r="F499" s="55" t="n">
        <v>120</v>
      </c>
      <c r="G499" s="54" t="n">
        <v>17</v>
      </c>
      <c r="H499" s="54" t="inlineStr">
        <is>
          <t>Uploaded PDF: Munitorum Field Manual v2.3 / March 2025</t>
        </is>
      </c>
    </row>
    <row r="500">
      <c r="A500" s="54" t="inlineStr">
        <is>
          <t>Dark Angels</t>
        </is>
      </c>
      <c r="B500" s="54" t="inlineStr">
        <is>
          <t>Ravenwing Dark Talon</t>
        </is>
      </c>
      <c r="C500" s="54" t="inlineStr">
        <is>
          <t>1 model</t>
        </is>
      </c>
      <c r="D500" s="55" t="n">
        <v>210</v>
      </c>
      <c r="E500" s="55" t="inlineStr">
        <is>
          <t>Ravenwing Dark Talon — 1 model (210 pts)</t>
        </is>
      </c>
      <c r="F500" s="55" t="n">
        <v>210</v>
      </c>
      <c r="G500" s="54" t="n">
        <v>17</v>
      </c>
      <c r="H500" s="54" t="inlineStr">
        <is>
          <t>Uploaded PDF: Munitorum Field Manual v2.3 / March 2025</t>
        </is>
      </c>
    </row>
    <row r="501">
      <c r="A501" s="54" t="inlineStr">
        <is>
          <t>Dark Angels</t>
        </is>
      </c>
      <c r="B501" s="54" t="inlineStr">
        <is>
          <t>Ravenwing Darkshroud</t>
        </is>
      </c>
      <c r="C501" s="54" t="inlineStr">
        <is>
          <t>1 model</t>
        </is>
      </c>
      <c r="D501" s="55" t="n">
        <v>115</v>
      </c>
      <c r="E501" s="55" t="inlineStr">
        <is>
          <t>Ravenwing Darkshroud — 1 model (115 pts)</t>
        </is>
      </c>
      <c r="F501" s="55" t="n">
        <v>115</v>
      </c>
      <c r="G501" s="54" t="n">
        <v>17</v>
      </c>
      <c r="H501" s="54" t="inlineStr">
        <is>
          <t>Uploaded PDF: Munitorum Field Manual v2.3 / March 2025</t>
        </is>
      </c>
    </row>
    <row r="502">
      <c r="A502" s="54" t="inlineStr">
        <is>
          <t>Dark Angels</t>
        </is>
      </c>
      <c r="B502" s="54" t="inlineStr">
        <is>
          <t>Sammael</t>
        </is>
      </c>
      <c r="C502" s="54" t="inlineStr">
        <is>
          <t>1 model</t>
        </is>
      </c>
      <c r="D502" s="55" t="n">
        <v>115</v>
      </c>
      <c r="E502" s="55" t="inlineStr">
        <is>
          <t>Sammael — 1 model (115 pts)</t>
        </is>
      </c>
      <c r="F502" s="55" t="n">
        <v>115</v>
      </c>
      <c r="G502" s="54" t="n">
        <v>17</v>
      </c>
      <c r="H502" s="54" t="inlineStr">
        <is>
          <t>Uploaded PDF: Munitorum Field Manual v2.3 / March 2025</t>
        </is>
      </c>
    </row>
    <row r="503">
      <c r="A503" s="54" t="inlineStr">
        <is>
          <t>Death Guard</t>
        </is>
      </c>
      <c r="B503" s="54" t="inlineStr">
        <is>
          <t>Biologus Putrifier</t>
        </is>
      </c>
      <c r="C503" s="54" t="inlineStr">
        <is>
          <t>1 model</t>
        </is>
      </c>
      <c r="D503" s="55" t="n">
        <v>50</v>
      </c>
      <c r="E503" s="55" t="inlineStr">
        <is>
          <t>Biologus Putrifier — 1 model (50 pts)</t>
        </is>
      </c>
      <c r="F503" s="55" t="n">
        <v>50</v>
      </c>
      <c r="G503" s="54" t="n">
        <v>18</v>
      </c>
      <c r="H503" s="54" t="inlineStr">
        <is>
          <t>Uploaded PDF: Munitorum Field Manual v2.3 / March 2025</t>
        </is>
      </c>
    </row>
    <row r="504">
      <c r="A504" s="54" t="inlineStr">
        <is>
          <t>Death Guard</t>
        </is>
      </c>
      <c r="B504" s="54" t="inlineStr">
        <is>
          <t>Blightlord Terminators</t>
        </is>
      </c>
      <c r="C504" s="54" t="inlineStr">
        <is>
          <t>5 models</t>
        </is>
      </c>
      <c r="D504" s="55" t="n">
        <v>155</v>
      </c>
      <c r="E504" s="55" t="inlineStr">
        <is>
          <t>Blightlord Terminators — 5 models (155 pts)</t>
        </is>
      </c>
      <c r="F504" s="55" t="n">
        <v>155</v>
      </c>
      <c r="G504" s="54" t="n">
        <v>18</v>
      </c>
      <c r="H504" s="54" t="inlineStr">
        <is>
          <t>Uploaded PDF: Munitorum Field Manual v2.3 / March 2025</t>
        </is>
      </c>
    </row>
    <row r="505">
      <c r="A505" s="54" t="inlineStr">
        <is>
          <t>Death Guard</t>
        </is>
      </c>
      <c r="B505" s="54" t="inlineStr">
        <is>
          <t>Blightlord Terminators</t>
        </is>
      </c>
      <c r="C505" s="54" t="inlineStr">
        <is>
          <t>10 models</t>
        </is>
      </c>
      <c r="D505" s="55" t="n">
        <v>310</v>
      </c>
      <c r="E505" s="55" t="inlineStr">
        <is>
          <t>Blightlord Terminators — 10 models (310 pts)</t>
        </is>
      </c>
      <c r="F505" s="55" t="n">
        <v>310</v>
      </c>
      <c r="G505" s="54" t="n">
        <v>18</v>
      </c>
      <c r="H505" s="54" t="inlineStr">
        <is>
          <t>Uploaded PDF: Munitorum Field Manual v2.3 / March 2025</t>
        </is>
      </c>
    </row>
    <row r="506">
      <c r="A506" s="54" t="inlineStr">
        <is>
          <t>Death Guard</t>
        </is>
      </c>
      <c r="B506" s="54" t="inlineStr">
        <is>
          <t>Death Guard Chaos Lord</t>
        </is>
      </c>
      <c r="C506" s="54" t="inlineStr">
        <is>
          <t>1 model</t>
        </is>
      </c>
      <c r="D506" s="55" t="n">
        <v>65</v>
      </c>
      <c r="E506" s="55" t="inlineStr">
        <is>
          <t>Death Guard Chaos Lord — 1 model (65 pts)</t>
        </is>
      </c>
      <c r="F506" s="55" t="n">
        <v>65</v>
      </c>
      <c r="G506" s="54" t="n">
        <v>18</v>
      </c>
      <c r="H506" s="54" t="inlineStr">
        <is>
          <t>Uploaded PDF: Munitorum Field Manual v2.3 / March 2025</t>
        </is>
      </c>
    </row>
    <row r="507">
      <c r="A507" s="54" t="inlineStr">
        <is>
          <t>Death Guard</t>
        </is>
      </c>
      <c r="B507" s="54" t="inlineStr">
        <is>
          <t>Death Guard Chaos Lord in Terminator Armour</t>
        </is>
      </c>
      <c r="C507" s="54" t="inlineStr">
        <is>
          <t>1 model</t>
        </is>
      </c>
      <c r="D507" s="55" t="n">
        <v>85</v>
      </c>
      <c r="E507" s="55" t="inlineStr">
        <is>
          <t>Death Guard Chaos Lord in Terminator Armour — 1 model (85 pts)</t>
        </is>
      </c>
      <c r="F507" s="55" t="n">
        <v>85</v>
      </c>
      <c r="G507" s="54" t="n">
        <v>18</v>
      </c>
      <c r="H507" s="54" t="inlineStr">
        <is>
          <t>Uploaded PDF: Munitorum Field Manual v2.3 / March 2025</t>
        </is>
      </c>
    </row>
    <row r="508">
      <c r="A508" s="54" t="inlineStr">
        <is>
          <t>Death Guard</t>
        </is>
      </c>
      <c r="B508" s="54" t="inlineStr">
        <is>
          <t>Death Guard Chaos Spawn</t>
        </is>
      </c>
      <c r="C508" s="54" t="inlineStr">
        <is>
          <t>2 models</t>
        </is>
      </c>
      <c r="D508" s="55" t="n">
        <v>70</v>
      </c>
      <c r="E508" s="55" t="inlineStr">
        <is>
          <t>Death Guard Chaos Spawn — 2 models (70 pts)</t>
        </is>
      </c>
      <c r="F508" s="55" t="n">
        <v>70</v>
      </c>
      <c r="G508" s="54" t="n">
        <v>18</v>
      </c>
      <c r="H508" s="54" t="inlineStr">
        <is>
          <t>Uploaded PDF: Munitorum Field Manual v2.3 / March 2025</t>
        </is>
      </c>
    </row>
    <row r="509">
      <c r="A509" s="54" t="inlineStr">
        <is>
          <t>Death Guard</t>
        </is>
      </c>
      <c r="B509" s="54" t="inlineStr">
        <is>
          <t>Death Guard Cultists</t>
        </is>
      </c>
      <c r="C509" s="54" t="inlineStr">
        <is>
          <t>10 models</t>
        </is>
      </c>
      <c r="D509" s="55" t="n">
        <v>50</v>
      </c>
      <c r="E509" s="55" t="inlineStr">
        <is>
          <t>Death Guard Cultists — 10 models (50 pts)</t>
        </is>
      </c>
      <c r="F509" s="55" t="n">
        <v>50</v>
      </c>
      <c r="G509" s="54" t="n">
        <v>18</v>
      </c>
      <c r="H509" s="54" t="inlineStr">
        <is>
          <t>Uploaded PDF: Munitorum Field Manual v2.3 / March 2025</t>
        </is>
      </c>
    </row>
    <row r="510">
      <c r="A510" s="54" t="inlineStr">
        <is>
          <t>Death Guard</t>
        </is>
      </c>
      <c r="B510" s="54" t="inlineStr">
        <is>
          <t>Death Guard Cultists</t>
        </is>
      </c>
      <c r="C510" s="54" t="inlineStr">
        <is>
          <t>20 models</t>
        </is>
      </c>
      <c r="D510" s="55" t="n">
        <v>100</v>
      </c>
      <c r="E510" s="55" t="inlineStr">
        <is>
          <t>Death Guard Cultists — 20 models (100 pts)</t>
        </is>
      </c>
      <c r="F510" s="55" t="n">
        <v>100</v>
      </c>
      <c r="G510" s="54" t="n">
        <v>18</v>
      </c>
      <c r="H510" s="54" t="inlineStr">
        <is>
          <t>Uploaded PDF: Munitorum Field Manual v2.3 / March 2025</t>
        </is>
      </c>
    </row>
    <row r="511">
      <c r="A511" s="54" t="inlineStr">
        <is>
          <t>Death Guard</t>
        </is>
      </c>
      <c r="B511" s="54" t="inlineStr">
        <is>
          <t>Death Guard Daemon Prince</t>
        </is>
      </c>
      <c r="C511" s="54" t="inlineStr">
        <is>
          <t>1 model</t>
        </is>
      </c>
      <c r="D511" s="55" t="n">
        <v>160</v>
      </c>
      <c r="E511" s="55" t="inlineStr">
        <is>
          <t>Death Guard Daemon Prince — 1 model (160 pts)</t>
        </is>
      </c>
      <c r="F511" s="55" t="n">
        <v>160</v>
      </c>
      <c r="G511" s="54" t="n">
        <v>18</v>
      </c>
      <c r="H511" s="54" t="inlineStr">
        <is>
          <t>Uploaded PDF: Munitorum Field Manual v2.3 / March 2025</t>
        </is>
      </c>
    </row>
    <row r="512">
      <c r="A512" s="54" t="inlineStr">
        <is>
          <t>Death Guard</t>
        </is>
      </c>
      <c r="B512" s="54" t="inlineStr">
        <is>
          <t>Death Guard Daemon Prince with Wings</t>
        </is>
      </c>
      <c r="C512" s="54" t="inlineStr">
        <is>
          <t>1 model</t>
        </is>
      </c>
      <c r="D512" s="55" t="n">
        <v>195</v>
      </c>
      <c r="E512" s="55" t="inlineStr">
        <is>
          <t>Death Guard Daemon Prince with Wings — 1 model (195 pts)</t>
        </is>
      </c>
      <c r="F512" s="55" t="n">
        <v>195</v>
      </c>
      <c r="G512" s="54" t="n">
        <v>18</v>
      </c>
      <c r="H512" s="54" t="inlineStr">
        <is>
          <t>Uploaded PDF: Munitorum Field Manual v2.3 / March 2025</t>
        </is>
      </c>
    </row>
    <row r="513">
      <c r="A513" s="54" t="inlineStr">
        <is>
          <t>Death Guard</t>
        </is>
      </c>
      <c r="B513" s="54" t="inlineStr">
        <is>
          <t>Death Guard Defiler</t>
        </is>
      </c>
      <c r="C513" s="54" t="inlineStr">
        <is>
          <t>1 model</t>
        </is>
      </c>
      <c r="D513" s="55" t="n">
        <v>190</v>
      </c>
      <c r="E513" s="55" t="inlineStr">
        <is>
          <t>Death Guard Defiler — 1 model (190 pts)</t>
        </is>
      </c>
      <c r="F513" s="55" t="n">
        <v>190</v>
      </c>
      <c r="G513" s="54" t="n">
        <v>18</v>
      </c>
      <c r="H513" s="54" t="inlineStr">
        <is>
          <t>Uploaded PDF: Munitorum Field Manual v2.3 / March 2025</t>
        </is>
      </c>
    </row>
    <row r="514">
      <c r="A514" s="54" t="inlineStr">
        <is>
          <t>Death Guard</t>
        </is>
      </c>
      <c r="B514" s="54" t="inlineStr">
        <is>
          <t>Death Guard Helbrute</t>
        </is>
      </c>
      <c r="C514" s="54" t="inlineStr">
        <is>
          <t>1 model</t>
        </is>
      </c>
      <c r="D514" s="55" t="n">
        <v>130</v>
      </c>
      <c r="E514" s="55" t="inlineStr">
        <is>
          <t>Death Guard Helbrute — 1 model (130 pts)</t>
        </is>
      </c>
      <c r="F514" s="55" t="n">
        <v>130</v>
      </c>
      <c r="G514" s="54" t="n">
        <v>18</v>
      </c>
      <c r="H514" s="54" t="inlineStr">
        <is>
          <t>Uploaded PDF: Munitorum Field Manual v2.3 / March 2025</t>
        </is>
      </c>
    </row>
    <row r="515">
      <c r="A515" s="54" t="inlineStr">
        <is>
          <t>Death Guard</t>
        </is>
      </c>
      <c r="B515" s="54" t="inlineStr">
        <is>
          <t>Death Guard Icon Bearer</t>
        </is>
      </c>
      <c r="C515" s="54" t="inlineStr">
        <is>
          <t>1 model</t>
        </is>
      </c>
      <c r="D515" s="55" t="n">
        <v>45</v>
      </c>
      <c r="E515" s="55" t="inlineStr">
        <is>
          <t>Death Guard Icon Bearer — 1 model (45 pts)</t>
        </is>
      </c>
      <c r="F515" s="55" t="n">
        <v>45</v>
      </c>
      <c r="G515" s="54" t="n">
        <v>18</v>
      </c>
      <c r="H515" s="54" t="inlineStr">
        <is>
          <t>Uploaded PDF: Munitorum Field Manual v2.3 / March 2025</t>
        </is>
      </c>
    </row>
    <row r="516">
      <c r="A516" s="54" t="inlineStr">
        <is>
          <t>Death Guard</t>
        </is>
      </c>
      <c r="B516" s="54" t="inlineStr">
        <is>
          <t>Death Guard Land Raider</t>
        </is>
      </c>
      <c r="C516" s="54" t="inlineStr">
        <is>
          <t>1 model</t>
        </is>
      </c>
      <c r="D516" s="55" t="n">
        <v>240</v>
      </c>
      <c r="E516" s="55" t="inlineStr">
        <is>
          <t>Death Guard Land Raider — 1 model (240 pts)</t>
        </is>
      </c>
      <c r="F516" s="55" t="n">
        <v>240</v>
      </c>
      <c r="G516" s="54" t="n">
        <v>18</v>
      </c>
      <c r="H516" s="54" t="inlineStr">
        <is>
          <t>Uploaded PDF: Munitorum Field Manual v2.3 / March 2025</t>
        </is>
      </c>
    </row>
    <row r="517">
      <c r="A517" s="54" t="inlineStr">
        <is>
          <t>Death Guard</t>
        </is>
      </c>
      <c r="B517" s="54" t="inlineStr">
        <is>
          <t>Death Guard Predator Annihilator</t>
        </is>
      </c>
      <c r="C517" s="54" t="inlineStr">
        <is>
          <t>1 model</t>
        </is>
      </c>
      <c r="D517" s="55" t="n">
        <v>135</v>
      </c>
      <c r="E517" s="55" t="inlineStr">
        <is>
          <t>Death Guard Predator Annihilator — 1 model (135 pts)</t>
        </is>
      </c>
      <c r="F517" s="55" t="n">
        <v>135</v>
      </c>
      <c r="G517" s="54" t="n">
        <v>18</v>
      </c>
      <c r="H517" s="54" t="inlineStr">
        <is>
          <t>Uploaded PDF: Munitorum Field Manual v2.3 / March 2025</t>
        </is>
      </c>
    </row>
    <row r="518">
      <c r="A518" s="54" t="inlineStr">
        <is>
          <t>Death Guard</t>
        </is>
      </c>
      <c r="B518" s="54" t="inlineStr">
        <is>
          <t>Death Guard Predator Destructor</t>
        </is>
      </c>
      <c r="C518" s="54" t="inlineStr">
        <is>
          <t>1 model</t>
        </is>
      </c>
      <c r="D518" s="55" t="n">
        <v>140</v>
      </c>
      <c r="E518" s="55" t="inlineStr">
        <is>
          <t>Death Guard Predator Destructor — 1 model (140 pts)</t>
        </is>
      </c>
      <c r="F518" s="55" t="n">
        <v>140</v>
      </c>
      <c r="G518" s="54" t="n">
        <v>18</v>
      </c>
      <c r="H518" s="54" t="inlineStr">
        <is>
          <t>Uploaded PDF: Munitorum Field Manual v2.3 / March 2025</t>
        </is>
      </c>
    </row>
    <row r="519">
      <c r="A519" s="54" t="inlineStr">
        <is>
          <t>Death Guard</t>
        </is>
      </c>
      <c r="B519" s="54" t="inlineStr">
        <is>
          <t>Death Guard Rhino</t>
        </is>
      </c>
      <c r="C519" s="54" t="inlineStr">
        <is>
          <t>1 model</t>
        </is>
      </c>
      <c r="D519" s="55" t="n">
        <v>75</v>
      </c>
      <c r="E519" s="55" t="inlineStr">
        <is>
          <t>Death Guard Rhino — 1 model (75 pts)</t>
        </is>
      </c>
      <c r="F519" s="55" t="n">
        <v>75</v>
      </c>
      <c r="G519" s="54" t="n">
        <v>18</v>
      </c>
      <c r="H519" s="54" t="inlineStr">
        <is>
          <t>Uploaded PDF: Munitorum Field Manual v2.3 / March 2025</t>
        </is>
      </c>
    </row>
    <row r="520">
      <c r="A520" s="54" t="inlineStr">
        <is>
          <t>Death Guard</t>
        </is>
      </c>
      <c r="B520" s="54" t="inlineStr">
        <is>
          <t>Death Guard Sorcerer in Terminator Armour</t>
        </is>
      </c>
      <c r="C520" s="54" t="inlineStr">
        <is>
          <t>1 model</t>
        </is>
      </c>
      <c r="D520" s="55" t="n">
        <v>70</v>
      </c>
      <c r="E520" s="55" t="inlineStr">
        <is>
          <t>Death Guard Sorcerer in Terminator Armour — 1 model (70 pts)</t>
        </is>
      </c>
      <c r="F520" s="55" t="n">
        <v>70</v>
      </c>
      <c r="G520" s="54" t="n">
        <v>18</v>
      </c>
      <c r="H520" s="54" t="inlineStr">
        <is>
          <t>Uploaded PDF: Munitorum Field Manual v2.3 / March 2025</t>
        </is>
      </c>
    </row>
    <row r="521">
      <c r="A521" s="54" t="inlineStr">
        <is>
          <t>Death Guard</t>
        </is>
      </c>
      <c r="B521" s="54" t="inlineStr">
        <is>
          <t>Deathshroud Terminators</t>
        </is>
      </c>
      <c r="C521" s="54" t="inlineStr">
        <is>
          <t>3 models</t>
        </is>
      </c>
      <c r="D521" s="55" t="n">
        <v>110</v>
      </c>
      <c r="E521" s="55" t="inlineStr">
        <is>
          <t>Deathshroud Terminators — 3 models (110 pts)</t>
        </is>
      </c>
      <c r="F521" s="55" t="n">
        <v>110</v>
      </c>
      <c r="G521" s="54" t="n">
        <v>18</v>
      </c>
      <c r="H521" s="54" t="inlineStr">
        <is>
          <t>Uploaded PDF: Munitorum Field Manual v2.3 / March 2025</t>
        </is>
      </c>
    </row>
    <row r="522">
      <c r="A522" s="54" t="inlineStr">
        <is>
          <t>Death Guard</t>
        </is>
      </c>
      <c r="B522" s="54" t="inlineStr">
        <is>
          <t>Deathshroud Terminators</t>
        </is>
      </c>
      <c r="C522" s="54" t="inlineStr">
        <is>
          <t>6 models</t>
        </is>
      </c>
      <c r="D522" s="55" t="n">
        <v>220</v>
      </c>
      <c r="E522" s="55" t="inlineStr">
        <is>
          <t>Deathshroud Terminators — 6 models (220 pts)</t>
        </is>
      </c>
      <c r="F522" s="55" t="n">
        <v>220</v>
      </c>
      <c r="G522" s="54" t="n">
        <v>18</v>
      </c>
      <c r="H522" s="54" t="inlineStr">
        <is>
          <t>Uploaded PDF: Munitorum Field Manual v2.3 / March 2025</t>
        </is>
      </c>
    </row>
    <row r="523">
      <c r="A523" s="54" t="inlineStr">
        <is>
          <t>Death Guard</t>
        </is>
      </c>
      <c r="B523" s="54" t="inlineStr">
        <is>
          <t>Foetid Bloat-drone</t>
        </is>
      </c>
      <c r="C523" s="54" t="inlineStr">
        <is>
          <t>1 model</t>
        </is>
      </c>
      <c r="D523" s="55" t="n">
        <v>90</v>
      </c>
      <c r="E523" s="55" t="inlineStr">
        <is>
          <t>Foetid Bloat-drone — 1 model (90 pts)</t>
        </is>
      </c>
      <c r="F523" s="55" t="n">
        <v>90</v>
      </c>
      <c r="G523" s="54" t="n">
        <v>18</v>
      </c>
      <c r="H523" s="54" t="inlineStr">
        <is>
          <t>Uploaded PDF: Munitorum Field Manual v2.3 / March 2025</t>
        </is>
      </c>
    </row>
    <row r="524">
      <c r="A524" s="54" t="inlineStr">
        <is>
          <t>Death Guard</t>
        </is>
      </c>
      <c r="B524" s="54" t="inlineStr">
        <is>
          <t>Foul Blightspawn</t>
        </is>
      </c>
      <c r="C524" s="54" t="inlineStr">
        <is>
          <t>1 model</t>
        </is>
      </c>
      <c r="D524" s="55" t="n">
        <v>60</v>
      </c>
      <c r="E524" s="55" t="inlineStr">
        <is>
          <t>Foul Blightspawn — 1 model (60 pts)</t>
        </is>
      </c>
      <c r="F524" s="55" t="n">
        <v>60</v>
      </c>
      <c r="G524" s="54" t="n">
        <v>18</v>
      </c>
      <c r="H524" s="54" t="inlineStr">
        <is>
          <t>Uploaded PDF: Munitorum Field Manual v2.3 / March 2025</t>
        </is>
      </c>
    </row>
    <row r="525">
      <c r="A525" s="54" t="inlineStr">
        <is>
          <t>Death Guard</t>
        </is>
      </c>
      <c r="B525" s="54" t="inlineStr">
        <is>
          <t>Lord of Contagion</t>
        </is>
      </c>
      <c r="C525" s="54" t="inlineStr">
        <is>
          <t>1 model</t>
        </is>
      </c>
      <c r="D525" s="55" t="n">
        <v>80</v>
      </c>
      <c r="E525" s="55" t="inlineStr">
        <is>
          <t>Lord of Contagion — 1 model (80 pts)</t>
        </is>
      </c>
      <c r="F525" s="55" t="n">
        <v>80</v>
      </c>
      <c r="G525" s="54" t="n">
        <v>18</v>
      </c>
      <c r="H525" s="54" t="inlineStr">
        <is>
          <t>Uploaded PDF: Munitorum Field Manual v2.3 / March 2025</t>
        </is>
      </c>
    </row>
    <row r="526">
      <c r="A526" s="54" t="inlineStr">
        <is>
          <t>Death Guard</t>
        </is>
      </c>
      <c r="B526" s="54" t="inlineStr">
        <is>
          <t>Lord of Virulence</t>
        </is>
      </c>
      <c r="C526" s="54" t="inlineStr">
        <is>
          <t>1 model</t>
        </is>
      </c>
      <c r="D526" s="55" t="n">
        <v>80</v>
      </c>
      <c r="E526" s="55" t="inlineStr">
        <is>
          <t>Lord of Virulence — 1 model (80 pts)</t>
        </is>
      </c>
      <c r="F526" s="55" t="n">
        <v>80</v>
      </c>
      <c r="G526" s="54" t="n">
        <v>18</v>
      </c>
      <c r="H526" s="54" t="inlineStr">
        <is>
          <t>Uploaded PDF: Munitorum Field Manual v2.3 / March 2025</t>
        </is>
      </c>
    </row>
    <row r="527">
      <c r="A527" s="54" t="inlineStr">
        <is>
          <t>Death Guard</t>
        </is>
      </c>
      <c r="B527" s="54" t="inlineStr">
        <is>
          <t>Malignant Plaguecaster</t>
        </is>
      </c>
      <c r="C527" s="54" t="inlineStr">
        <is>
          <t>1 model</t>
        </is>
      </c>
      <c r="D527" s="55" t="n">
        <v>65</v>
      </c>
      <c r="E527" s="55" t="inlineStr">
        <is>
          <t>Malignant Plaguecaster — 1 model (65 pts)</t>
        </is>
      </c>
      <c r="F527" s="55" t="n">
        <v>65</v>
      </c>
      <c r="G527" s="54" t="n">
        <v>18</v>
      </c>
      <c r="H527" s="54" t="inlineStr">
        <is>
          <t>Uploaded PDF: Munitorum Field Manual v2.3 / March 2025</t>
        </is>
      </c>
    </row>
    <row r="528">
      <c r="A528" s="54" t="inlineStr">
        <is>
          <t>Death Guard</t>
        </is>
      </c>
      <c r="B528" s="54" t="inlineStr">
        <is>
          <t>Miasmic Malignifier</t>
        </is>
      </c>
      <c r="C528" s="54" t="inlineStr">
        <is>
          <t>1 model</t>
        </is>
      </c>
      <c r="D528" s="55" t="n">
        <v>115</v>
      </c>
      <c r="E528" s="55" t="inlineStr">
        <is>
          <t>Miasmic Malignifier — 1 model (115 pts)</t>
        </is>
      </c>
      <c r="F528" s="55" t="n">
        <v>115</v>
      </c>
      <c r="G528" s="54" t="n">
        <v>18</v>
      </c>
      <c r="H528" s="54" t="inlineStr">
        <is>
          <t>Uploaded PDF: Munitorum Field Manual v2.3 / March 2025</t>
        </is>
      </c>
    </row>
    <row r="529">
      <c r="A529" s="54" t="inlineStr">
        <is>
          <t>Death Guard</t>
        </is>
      </c>
      <c r="B529" s="54" t="inlineStr">
        <is>
          <t>Mortarion</t>
        </is>
      </c>
      <c r="C529" s="54" t="inlineStr">
        <is>
          <t>1 model</t>
        </is>
      </c>
      <c r="D529" s="55" t="n">
        <v>300</v>
      </c>
      <c r="E529" s="55" t="inlineStr">
        <is>
          <t>Mortarion — 1 model (300 pts)</t>
        </is>
      </c>
      <c r="F529" s="55" t="n">
        <v>300</v>
      </c>
      <c r="G529" s="54" t="n">
        <v>18</v>
      </c>
      <c r="H529" s="54" t="inlineStr">
        <is>
          <t>Uploaded PDF: Munitorum Field Manual v2.3 / March 2025</t>
        </is>
      </c>
    </row>
    <row r="530">
      <c r="A530" s="54" t="inlineStr">
        <is>
          <t>Death Guard</t>
        </is>
      </c>
      <c r="B530" s="54" t="inlineStr">
        <is>
          <t>Myphitic Blight-haulers</t>
        </is>
      </c>
      <c r="C530" s="54" t="inlineStr">
        <is>
          <t>1 model</t>
        </is>
      </c>
      <c r="D530" s="55" t="n">
        <v>85</v>
      </c>
      <c r="E530" s="55" t="inlineStr">
        <is>
          <t>Myphitic Blight-haulers — 1 model (85 pts)</t>
        </is>
      </c>
      <c r="F530" s="55" t="n">
        <v>85</v>
      </c>
      <c r="G530" s="54" t="n">
        <v>18</v>
      </c>
      <c r="H530" s="54" t="inlineStr">
        <is>
          <t>Uploaded PDF: Munitorum Field Manual v2.3 / March 2025</t>
        </is>
      </c>
    </row>
    <row r="531">
      <c r="A531" s="54" t="inlineStr">
        <is>
          <t>Death Guard</t>
        </is>
      </c>
      <c r="B531" s="54" t="inlineStr">
        <is>
          <t>Myphitic Blight-haulers</t>
        </is>
      </c>
      <c r="C531" s="54" t="inlineStr">
        <is>
          <t>2 models</t>
        </is>
      </c>
      <c r="D531" s="55" t="n">
        <v>170</v>
      </c>
      <c r="E531" s="55" t="inlineStr">
        <is>
          <t>Myphitic Blight-haulers — 2 models (170 pts)</t>
        </is>
      </c>
      <c r="F531" s="55" t="n">
        <v>170</v>
      </c>
      <c r="G531" s="54" t="n">
        <v>18</v>
      </c>
      <c r="H531" s="54" t="inlineStr">
        <is>
          <t>Uploaded PDF: Munitorum Field Manual v2.3 / March 2025</t>
        </is>
      </c>
    </row>
    <row r="532">
      <c r="A532" s="54" t="inlineStr">
        <is>
          <t>Death Guard</t>
        </is>
      </c>
      <c r="B532" s="54" t="inlineStr">
        <is>
          <t>Myphitic Blight-haulers</t>
        </is>
      </c>
      <c r="C532" s="54" t="inlineStr">
        <is>
          <t>3 models</t>
        </is>
      </c>
      <c r="D532" s="55" t="n">
        <v>255</v>
      </c>
      <c r="E532" s="55" t="inlineStr">
        <is>
          <t>Myphitic Blight-haulers — 3 models (255 pts)</t>
        </is>
      </c>
      <c r="F532" s="55" t="n">
        <v>255</v>
      </c>
      <c r="G532" s="54" t="n">
        <v>18</v>
      </c>
      <c r="H532" s="54" t="inlineStr">
        <is>
          <t>Uploaded PDF: Munitorum Field Manual v2.3 / March 2025</t>
        </is>
      </c>
    </row>
    <row r="533">
      <c r="A533" s="54" t="inlineStr">
        <is>
          <t>Death Guard</t>
        </is>
      </c>
      <c r="B533" s="54" t="inlineStr">
        <is>
          <t>Noxious Blightbringer</t>
        </is>
      </c>
      <c r="C533" s="54" t="inlineStr">
        <is>
          <t>1 model</t>
        </is>
      </c>
      <c r="D533" s="55" t="n">
        <v>45</v>
      </c>
      <c r="E533" s="55" t="inlineStr">
        <is>
          <t>Noxious Blightbringer — 1 model (45 pts)</t>
        </is>
      </c>
      <c r="F533" s="55" t="n">
        <v>45</v>
      </c>
      <c r="G533" s="54" t="n">
        <v>18</v>
      </c>
      <c r="H533" s="54" t="inlineStr">
        <is>
          <t>Uploaded PDF: Munitorum Field Manual v2.3 / March 2025</t>
        </is>
      </c>
    </row>
    <row r="534">
      <c r="A534" s="54" t="inlineStr">
        <is>
          <t>Death Guard</t>
        </is>
      </c>
      <c r="B534" s="54" t="inlineStr">
        <is>
          <t>Plague Marines</t>
        </is>
      </c>
      <c r="C534" s="54" t="inlineStr">
        <is>
          <t>5 models</t>
        </is>
      </c>
      <c r="D534" s="55" t="n">
        <v>90</v>
      </c>
      <c r="E534" s="55" t="inlineStr">
        <is>
          <t>Plague Marines — 5 models (90 pts)</t>
        </is>
      </c>
      <c r="F534" s="55" t="n">
        <v>90</v>
      </c>
      <c r="G534" s="54" t="n">
        <v>18</v>
      </c>
      <c r="H534" s="54" t="inlineStr">
        <is>
          <t>Uploaded PDF: Munitorum Field Manual v2.3 / March 2025</t>
        </is>
      </c>
    </row>
    <row r="535">
      <c r="A535" s="54" t="inlineStr">
        <is>
          <t>Death Guard</t>
        </is>
      </c>
      <c r="B535" s="54" t="inlineStr">
        <is>
          <t>Plague Marines</t>
        </is>
      </c>
      <c r="C535" s="54" t="inlineStr">
        <is>
          <t>7 models</t>
        </is>
      </c>
      <c r="D535" s="55" t="n">
        <v>125</v>
      </c>
      <c r="E535" s="55" t="inlineStr">
        <is>
          <t>Plague Marines — 7 models (125 pts)</t>
        </is>
      </c>
      <c r="F535" s="55" t="n">
        <v>125</v>
      </c>
      <c r="G535" s="54" t="n">
        <v>18</v>
      </c>
      <c r="H535" s="54" t="inlineStr">
        <is>
          <t>Uploaded PDF: Munitorum Field Manual v2.3 / March 2025</t>
        </is>
      </c>
    </row>
    <row r="536">
      <c r="A536" s="54" t="inlineStr">
        <is>
          <t>Death Guard</t>
        </is>
      </c>
      <c r="B536" s="54" t="inlineStr">
        <is>
          <t>Plague Marines</t>
        </is>
      </c>
      <c r="C536" s="54" t="inlineStr">
        <is>
          <t>10 models</t>
        </is>
      </c>
      <c r="D536" s="55" t="n">
        <v>180</v>
      </c>
      <c r="E536" s="55" t="inlineStr">
        <is>
          <t>Plague Marines — 10 models (180 pts)</t>
        </is>
      </c>
      <c r="F536" s="55" t="n">
        <v>180</v>
      </c>
      <c r="G536" s="54" t="n">
        <v>18</v>
      </c>
      <c r="H536" s="54" t="inlineStr">
        <is>
          <t>Uploaded PDF: Munitorum Field Manual v2.3 / March 2025</t>
        </is>
      </c>
    </row>
    <row r="537">
      <c r="A537" s="54" t="inlineStr">
        <is>
          <t>Death Guard</t>
        </is>
      </c>
      <c r="B537" s="54" t="inlineStr">
        <is>
          <t>Plague Surgeon</t>
        </is>
      </c>
      <c r="C537" s="54" t="inlineStr">
        <is>
          <t>1 model</t>
        </is>
      </c>
      <c r="D537" s="55" t="n">
        <v>50</v>
      </c>
      <c r="E537" s="55" t="inlineStr">
        <is>
          <t>Plague Surgeon — 1 model (50 pts)</t>
        </is>
      </c>
      <c r="F537" s="55" t="n">
        <v>50</v>
      </c>
      <c r="G537" s="54" t="n">
        <v>18</v>
      </c>
      <c r="H537" s="54" t="inlineStr">
        <is>
          <t>Uploaded PDF: Munitorum Field Manual v2.3 / March 2025</t>
        </is>
      </c>
    </row>
    <row r="538">
      <c r="A538" s="54" t="inlineStr">
        <is>
          <t>Death Guard</t>
        </is>
      </c>
      <c r="B538" s="54" t="inlineStr">
        <is>
          <t>Plagueburst Crawler</t>
        </is>
      </c>
      <c r="C538" s="54" t="inlineStr">
        <is>
          <t>1 model</t>
        </is>
      </c>
      <c r="D538" s="55" t="n">
        <v>180</v>
      </c>
      <c r="E538" s="55" t="inlineStr">
        <is>
          <t>Plagueburst Crawler — 1 model (180 pts)</t>
        </is>
      </c>
      <c r="F538" s="55" t="n">
        <v>180</v>
      </c>
      <c r="G538" s="54" t="n">
        <v>18</v>
      </c>
      <c r="H538" s="54" t="inlineStr">
        <is>
          <t>Uploaded PDF: Munitorum Field Manual v2.3 / March 2025</t>
        </is>
      </c>
    </row>
    <row r="539">
      <c r="A539" s="54" t="inlineStr">
        <is>
          <t>Death Guard</t>
        </is>
      </c>
      <c r="B539" s="54" t="inlineStr">
        <is>
          <t>Poxwalkers</t>
        </is>
      </c>
      <c r="C539" s="54" t="inlineStr">
        <is>
          <t>10 models</t>
        </is>
      </c>
      <c r="D539" s="55" t="n">
        <v>50</v>
      </c>
      <c r="E539" s="55" t="inlineStr">
        <is>
          <t>Poxwalkers — 10 models (50 pts)</t>
        </is>
      </c>
      <c r="F539" s="55" t="n">
        <v>50</v>
      </c>
      <c r="G539" s="54" t="n">
        <v>18</v>
      </c>
      <c r="H539" s="54" t="inlineStr">
        <is>
          <t>Uploaded PDF: Munitorum Field Manual v2.3 / March 2025</t>
        </is>
      </c>
    </row>
    <row r="540">
      <c r="A540" s="54" t="inlineStr">
        <is>
          <t>Death Guard</t>
        </is>
      </c>
      <c r="B540" s="54" t="inlineStr">
        <is>
          <t>Poxwalkers</t>
        </is>
      </c>
      <c r="C540" s="54" t="inlineStr">
        <is>
          <t>20 models</t>
        </is>
      </c>
      <c r="D540" s="55" t="n">
        <v>100</v>
      </c>
      <c r="E540" s="55" t="inlineStr">
        <is>
          <t>Poxwalkers — 20 models (100 pts)</t>
        </is>
      </c>
      <c r="F540" s="55" t="n">
        <v>100</v>
      </c>
      <c r="G540" s="54" t="n">
        <v>18</v>
      </c>
      <c r="H540" s="54" t="inlineStr">
        <is>
          <t>Uploaded PDF: Munitorum Field Manual v2.3 / March 2025</t>
        </is>
      </c>
    </row>
    <row r="541">
      <c r="A541" s="54" t="inlineStr">
        <is>
          <t>Death Guard</t>
        </is>
      </c>
      <c r="B541" s="54" t="inlineStr">
        <is>
          <t>Tallyman</t>
        </is>
      </c>
      <c r="C541" s="54" t="inlineStr">
        <is>
          <t>1 model</t>
        </is>
      </c>
      <c r="D541" s="55" t="n">
        <v>45</v>
      </c>
      <c r="E541" s="55" t="inlineStr">
        <is>
          <t>Tallyman — 1 model (45 pts)</t>
        </is>
      </c>
      <c r="F541" s="55" t="n">
        <v>45</v>
      </c>
      <c r="G541" s="54" t="n">
        <v>18</v>
      </c>
      <c r="H541" s="54" t="inlineStr">
        <is>
          <t>Uploaded PDF: Munitorum Field Manual v2.3 / March 2025</t>
        </is>
      </c>
    </row>
    <row r="542">
      <c r="A542" s="54" t="inlineStr">
        <is>
          <t>Death Guard</t>
        </is>
      </c>
      <c r="B542" s="54" t="inlineStr">
        <is>
          <t>Typhus</t>
        </is>
      </c>
      <c r="C542" s="54" t="inlineStr">
        <is>
          <t>1 model</t>
        </is>
      </c>
      <c r="D542" s="55" t="n">
        <v>80</v>
      </c>
      <c r="E542" s="55" t="inlineStr">
        <is>
          <t>Typhus — 1 model (80 pts)</t>
        </is>
      </c>
      <c r="F542" s="55" t="n">
        <v>80</v>
      </c>
      <c r="G542" s="54" t="n">
        <v>18</v>
      </c>
      <c r="H542" s="54" t="inlineStr">
        <is>
          <t>Uploaded PDF: Munitorum Field Manual v2.3 / March 2025</t>
        </is>
      </c>
    </row>
    <row r="543">
      <c r="A543" s="54" t="inlineStr">
        <is>
          <t>Deathwatch</t>
        </is>
      </c>
      <c r="B543" s="54" t="inlineStr">
        <is>
          <t>Corvus Blackstar</t>
        </is>
      </c>
      <c r="C543" s="54" t="inlineStr">
        <is>
          <t>1 model</t>
        </is>
      </c>
      <c r="D543" s="55" t="n">
        <v>180</v>
      </c>
      <c r="E543" s="55" t="inlineStr">
        <is>
          <t>Corvus Blackstar — 1 model (180 pts)</t>
        </is>
      </c>
      <c r="F543" s="55" t="n">
        <v>180</v>
      </c>
      <c r="G543" s="54" t="n">
        <v>19</v>
      </c>
      <c r="H543" s="54" t="inlineStr">
        <is>
          <t>Uploaded PDF: Munitorum Field Manual v2.3 / March 2025</t>
        </is>
      </c>
    </row>
    <row r="544">
      <c r="A544" s="54" t="inlineStr">
        <is>
          <t>Deathwatch</t>
        </is>
      </c>
      <c r="B544" s="54" t="inlineStr">
        <is>
          <t>Deathwatch Terminator Squad</t>
        </is>
      </c>
      <c r="C544" s="54" t="inlineStr">
        <is>
          <t>5 models</t>
        </is>
      </c>
      <c r="D544" s="55" t="n">
        <v>190</v>
      </c>
      <c r="E544" s="55" t="inlineStr">
        <is>
          <t>Deathwatch Terminator Squad — 5 models (190 pts)</t>
        </is>
      </c>
      <c r="F544" s="55" t="n">
        <v>190</v>
      </c>
      <c r="G544" s="54" t="n">
        <v>19</v>
      </c>
      <c r="H544" s="54" t="inlineStr">
        <is>
          <t>Uploaded PDF: Munitorum Field Manual v2.3 / March 2025</t>
        </is>
      </c>
    </row>
    <row r="545">
      <c r="A545" s="54" t="inlineStr">
        <is>
          <t>Deathwatch</t>
        </is>
      </c>
      <c r="B545" s="54" t="inlineStr">
        <is>
          <t>Deathwatch Terminator Squad</t>
        </is>
      </c>
      <c r="C545" s="54" t="inlineStr">
        <is>
          <t>10 models</t>
        </is>
      </c>
      <c r="D545" s="55" t="n">
        <v>350</v>
      </c>
      <c r="E545" s="55" t="inlineStr">
        <is>
          <t>Deathwatch Terminator Squad — 10 models (350 pts)</t>
        </is>
      </c>
      <c r="F545" s="55" t="n">
        <v>350</v>
      </c>
      <c r="G545" s="54" t="n">
        <v>19</v>
      </c>
      <c r="H545" s="54" t="inlineStr">
        <is>
          <t>Uploaded PDF: Munitorum Field Manual v2.3 / March 2025</t>
        </is>
      </c>
    </row>
    <row r="546">
      <c r="A546" s="54" t="inlineStr">
        <is>
          <t>Deathwatch</t>
        </is>
      </c>
      <c r="B546" s="54" t="inlineStr">
        <is>
          <t>Deathwatch Veterans</t>
        </is>
      </c>
      <c r="C546" s="54" t="inlineStr">
        <is>
          <t>5 models</t>
        </is>
      </c>
      <c r="D546" s="55" t="n">
        <v>100</v>
      </c>
      <c r="E546" s="55" t="inlineStr">
        <is>
          <t>Deathwatch Veterans — 5 models (100 pts)</t>
        </is>
      </c>
      <c r="F546" s="55" t="n">
        <v>100</v>
      </c>
      <c r="G546" s="54" t="n">
        <v>19</v>
      </c>
      <c r="H546" s="54" t="inlineStr">
        <is>
          <t>Uploaded PDF: Munitorum Field Manual v2.3 / March 2025</t>
        </is>
      </c>
    </row>
    <row r="547">
      <c r="A547" s="54" t="inlineStr">
        <is>
          <t>Deathwatch</t>
        </is>
      </c>
      <c r="B547" s="54" t="inlineStr">
        <is>
          <t>Deathwatch Veterans</t>
        </is>
      </c>
      <c r="C547" s="54" t="inlineStr">
        <is>
          <t>10 models</t>
        </is>
      </c>
      <c r="D547" s="55" t="n">
        <v>200</v>
      </c>
      <c r="E547" s="55" t="inlineStr">
        <is>
          <t>Deathwatch Veterans — 10 models (200 pts)</t>
        </is>
      </c>
      <c r="F547" s="55" t="n">
        <v>200</v>
      </c>
      <c r="G547" s="54" t="n">
        <v>19</v>
      </c>
      <c r="H547" s="54" t="inlineStr">
        <is>
          <t>Uploaded PDF: Munitorum Field Manual v2.3 / March 2025</t>
        </is>
      </c>
    </row>
    <row r="548">
      <c r="A548" s="54" t="inlineStr">
        <is>
          <t>Deathwatch</t>
        </is>
      </c>
      <c r="B548" s="54" t="inlineStr">
        <is>
          <t>Fortis Kill Team</t>
        </is>
      </c>
      <c r="C548" s="54" t="inlineStr">
        <is>
          <t>10 models</t>
        </is>
      </c>
      <c r="D548" s="55" t="n">
        <v>200</v>
      </c>
      <c r="E548" s="55" t="inlineStr">
        <is>
          <t>Fortis Kill Team — 10 models (200 pts)</t>
        </is>
      </c>
      <c r="F548" s="55" t="n">
        <v>200</v>
      </c>
      <c r="G548" s="54" t="n">
        <v>19</v>
      </c>
      <c r="H548" s="54" t="inlineStr">
        <is>
          <t>Uploaded PDF: Munitorum Field Manual v2.3 / March 2025</t>
        </is>
      </c>
    </row>
    <row r="549">
      <c r="A549" s="54" t="inlineStr">
        <is>
          <t>Deathwatch</t>
        </is>
      </c>
      <c r="B549" s="54" t="inlineStr">
        <is>
          <t>Indomitor Kill Team</t>
        </is>
      </c>
      <c r="C549" s="54" t="inlineStr">
        <is>
          <t>10 models</t>
        </is>
      </c>
      <c r="D549" s="55" t="n">
        <v>270</v>
      </c>
      <c r="E549" s="55" t="inlineStr">
        <is>
          <t>Indomitor Kill Team — 10 models (270 pts)</t>
        </is>
      </c>
      <c r="F549" s="55" t="n">
        <v>270</v>
      </c>
      <c r="G549" s="54" t="n">
        <v>19</v>
      </c>
      <c r="H549" s="54" t="inlineStr">
        <is>
          <t>Uploaded PDF: Munitorum Field Manual v2.3 / March 2025</t>
        </is>
      </c>
    </row>
    <row r="550">
      <c r="A550" s="54" t="inlineStr">
        <is>
          <t>Deathwatch</t>
        </is>
      </c>
      <c r="B550" s="54" t="inlineStr">
        <is>
          <t>Spectrus Kill Team</t>
        </is>
      </c>
      <c r="C550" s="54" t="inlineStr">
        <is>
          <t>10 models</t>
        </is>
      </c>
      <c r="D550" s="55" t="n">
        <v>200</v>
      </c>
      <c r="E550" s="55" t="inlineStr">
        <is>
          <t>Spectrus Kill Team — 10 models (200 pts)</t>
        </is>
      </c>
      <c r="F550" s="55" t="n">
        <v>200</v>
      </c>
      <c r="G550" s="54" t="n">
        <v>19</v>
      </c>
      <c r="H550" s="54" t="inlineStr">
        <is>
          <t>Uploaded PDF: Munitorum Field Manual v2.3 / March 2025</t>
        </is>
      </c>
    </row>
    <row r="551">
      <c r="A551" s="54" t="inlineStr">
        <is>
          <t>Deathwatch</t>
        </is>
      </c>
      <c r="B551" s="54" t="inlineStr">
        <is>
          <t>Talonstrike Kill Team</t>
        </is>
      </c>
      <c r="C551" s="54" t="inlineStr">
        <is>
          <t>10 models</t>
        </is>
      </c>
      <c r="D551" s="55" t="n">
        <v>290</v>
      </c>
      <c r="E551" s="55" t="inlineStr">
        <is>
          <t>Talonstrike Kill Team — 10 models (290 pts)</t>
        </is>
      </c>
      <c r="F551" s="55" t="n">
        <v>290</v>
      </c>
      <c r="G551" s="54" t="n">
        <v>19</v>
      </c>
      <c r="H551" s="54" t="inlineStr">
        <is>
          <t>Uploaded PDF: Munitorum Field Manual v2.3 / March 2025</t>
        </is>
      </c>
    </row>
    <row r="552">
      <c r="A552" s="54" t="inlineStr">
        <is>
          <t>Deathwatch</t>
        </is>
      </c>
      <c r="B552" s="54" t="inlineStr">
        <is>
          <t>Watch Captain Artemis</t>
        </is>
      </c>
      <c r="C552" s="54" t="inlineStr">
        <is>
          <t>1 model</t>
        </is>
      </c>
      <c r="D552" s="55" t="n">
        <v>65</v>
      </c>
      <c r="E552" s="55" t="inlineStr">
        <is>
          <t>Watch Captain Artemis — 1 model (65 pts)</t>
        </is>
      </c>
      <c r="F552" s="55" t="n">
        <v>65</v>
      </c>
      <c r="G552" s="54" t="n">
        <v>19</v>
      </c>
      <c r="H552" s="54" t="inlineStr">
        <is>
          <t>Uploaded PDF: Munitorum Field Manual v2.3 / March 2025</t>
        </is>
      </c>
    </row>
    <row r="553">
      <c r="A553" s="54" t="inlineStr">
        <is>
          <t>Deathwatch</t>
        </is>
      </c>
      <c r="B553" s="54" t="inlineStr">
        <is>
          <t>Watch Master</t>
        </is>
      </c>
      <c r="C553" s="54" t="inlineStr">
        <is>
          <t>1 model</t>
        </is>
      </c>
      <c r="D553" s="55" t="n">
        <v>105</v>
      </c>
      <c r="E553" s="55" t="inlineStr">
        <is>
          <t>Watch Master — 1 model (105 pts)</t>
        </is>
      </c>
      <c r="F553" s="55" t="n">
        <v>105</v>
      </c>
      <c r="G553" s="54" t="n">
        <v>19</v>
      </c>
      <c r="H553" s="54" t="inlineStr">
        <is>
          <t>Uploaded PDF: Munitorum Field Manual v2.3 / March 2025</t>
        </is>
      </c>
    </row>
    <row r="554">
      <c r="A554" s="54" t="inlineStr">
        <is>
          <t>Drukhari</t>
        </is>
      </c>
      <c r="B554" s="54" t="inlineStr">
        <is>
          <t>Archon</t>
        </is>
      </c>
      <c r="C554" s="54" t="inlineStr">
        <is>
          <t>1 model</t>
        </is>
      </c>
      <c r="D554" s="55" t="n">
        <v>85</v>
      </c>
      <c r="E554" s="55" t="inlineStr">
        <is>
          <t>Archon — 1 model (85 pts)</t>
        </is>
      </c>
      <c r="F554" s="55" t="n">
        <v>85</v>
      </c>
      <c r="G554" s="54" t="n">
        <v>20</v>
      </c>
      <c r="H554" s="54" t="inlineStr">
        <is>
          <t>Uploaded PDF: Munitorum Field Manual v2.3 / March 2025</t>
        </is>
      </c>
    </row>
    <row r="555">
      <c r="A555" s="54" t="inlineStr">
        <is>
          <t>Drukhari</t>
        </is>
      </c>
      <c r="B555" s="54" t="inlineStr">
        <is>
          <t>Beastmaster</t>
        </is>
      </c>
      <c r="C555" s="54" t="inlineStr">
        <is>
          <t>7 models</t>
        </is>
      </c>
      <c r="D555" s="55" t="n">
        <v>120</v>
      </c>
      <c r="E555" s="55" t="inlineStr">
        <is>
          <t>Beastmaster — 7 models (120 pts)</t>
        </is>
      </c>
      <c r="F555" s="55" t="n">
        <v>120</v>
      </c>
      <c r="G555" s="54" t="n">
        <v>20</v>
      </c>
      <c r="H555" s="54" t="inlineStr">
        <is>
          <t>Uploaded PDF: Munitorum Field Manual v2.3 / March 2025</t>
        </is>
      </c>
    </row>
    <row r="556">
      <c r="A556" s="54" t="inlineStr">
        <is>
          <t>Drukhari</t>
        </is>
      </c>
      <c r="B556" s="54" t="inlineStr">
        <is>
          <t>Court of the Archon</t>
        </is>
      </c>
      <c r="C556" s="54" t="inlineStr">
        <is>
          <t>4 models</t>
        </is>
      </c>
      <c r="D556" s="55" t="n">
        <v>95</v>
      </c>
      <c r="E556" s="55" t="inlineStr">
        <is>
          <t>Court of the Archon — 4 models (95 pts)</t>
        </is>
      </c>
      <c r="F556" s="55" t="n">
        <v>95</v>
      </c>
      <c r="G556" s="54" t="n">
        <v>20</v>
      </c>
      <c r="H556" s="54" t="inlineStr">
        <is>
          <t>Uploaded PDF: Munitorum Field Manual v2.3 / March 2025</t>
        </is>
      </c>
    </row>
    <row r="557">
      <c r="A557" s="54" t="inlineStr">
        <is>
          <t>Drukhari</t>
        </is>
      </c>
      <c r="B557" s="54" t="inlineStr">
        <is>
          <t>Cronos</t>
        </is>
      </c>
      <c r="C557" s="54" t="inlineStr">
        <is>
          <t>1 model</t>
        </is>
      </c>
      <c r="D557" s="55" t="n">
        <v>50</v>
      </c>
      <c r="E557" s="55" t="inlineStr">
        <is>
          <t>Cronos — 1 model (50 pts)</t>
        </is>
      </c>
      <c r="F557" s="55" t="n">
        <v>50</v>
      </c>
      <c r="G557" s="54" t="n">
        <v>20</v>
      </c>
      <c r="H557" s="54" t="inlineStr">
        <is>
          <t>Uploaded PDF: Munitorum Field Manual v2.3 / March 2025</t>
        </is>
      </c>
    </row>
    <row r="558">
      <c r="A558" s="54" t="inlineStr">
        <is>
          <t>Drukhari</t>
        </is>
      </c>
      <c r="B558" s="54" t="inlineStr">
        <is>
          <t>Cronos</t>
        </is>
      </c>
      <c r="C558" s="54" t="inlineStr">
        <is>
          <t>2 models</t>
        </is>
      </c>
      <c r="D558" s="55" t="n">
        <v>100</v>
      </c>
      <c r="E558" s="55" t="inlineStr">
        <is>
          <t>Cronos — 2 models (100 pts)</t>
        </is>
      </c>
      <c r="F558" s="55" t="n">
        <v>100</v>
      </c>
      <c r="G558" s="54" t="n">
        <v>20</v>
      </c>
      <c r="H558" s="54" t="inlineStr">
        <is>
          <t>Uploaded PDF: Munitorum Field Manual v2.3 / March 2025</t>
        </is>
      </c>
    </row>
    <row r="559">
      <c r="A559" s="54" t="inlineStr">
        <is>
          <t>Drukhari</t>
        </is>
      </c>
      <c r="B559" s="54" t="inlineStr">
        <is>
          <t>Drazhar</t>
        </is>
      </c>
      <c r="C559" s="54" t="inlineStr">
        <is>
          <t>1 model</t>
        </is>
      </c>
      <c r="D559" s="55" t="n">
        <v>85</v>
      </c>
      <c r="E559" s="55" t="inlineStr">
        <is>
          <t>Drazhar — 1 model (85 pts)</t>
        </is>
      </c>
      <c r="F559" s="55" t="n">
        <v>85</v>
      </c>
      <c r="G559" s="54" t="n">
        <v>20</v>
      </c>
      <c r="H559" s="54" t="inlineStr">
        <is>
          <t>Uploaded PDF: Munitorum Field Manual v2.3 / March 2025</t>
        </is>
      </c>
    </row>
    <row r="560">
      <c r="A560" s="54" t="inlineStr">
        <is>
          <t>Drukhari</t>
        </is>
      </c>
      <c r="B560" s="54" t="inlineStr">
        <is>
          <t>Grotesques</t>
        </is>
      </c>
      <c r="C560" s="54" t="inlineStr">
        <is>
          <t>3 models</t>
        </is>
      </c>
      <c r="D560" s="55" t="n">
        <v>80</v>
      </c>
      <c r="E560" s="55" t="inlineStr">
        <is>
          <t>Grotesques — 3 models (80 pts)</t>
        </is>
      </c>
      <c r="F560" s="55" t="n">
        <v>80</v>
      </c>
      <c r="G560" s="54" t="n">
        <v>20</v>
      </c>
      <c r="H560" s="54" t="inlineStr">
        <is>
          <t>Uploaded PDF: Munitorum Field Manual v2.3 / March 2025</t>
        </is>
      </c>
    </row>
    <row r="561">
      <c r="A561" s="54" t="inlineStr">
        <is>
          <t>Drukhari</t>
        </is>
      </c>
      <c r="B561" s="54" t="inlineStr">
        <is>
          <t>Grotesques</t>
        </is>
      </c>
      <c r="C561" s="54" t="inlineStr">
        <is>
          <t>6 models</t>
        </is>
      </c>
      <c r="D561" s="55" t="n">
        <v>170</v>
      </c>
      <c r="E561" s="55" t="inlineStr">
        <is>
          <t>Grotesques — 6 models (170 pts)</t>
        </is>
      </c>
      <c r="F561" s="55" t="n">
        <v>170</v>
      </c>
      <c r="G561" s="54" t="n">
        <v>20</v>
      </c>
      <c r="H561" s="54" t="inlineStr">
        <is>
          <t>Uploaded PDF: Munitorum Field Manual v2.3 / March 2025</t>
        </is>
      </c>
    </row>
    <row r="562">
      <c r="A562" s="54" t="inlineStr">
        <is>
          <t>Drukhari</t>
        </is>
      </c>
      <c r="B562" s="54" t="inlineStr">
        <is>
          <t>Haemonculus</t>
        </is>
      </c>
      <c r="C562" s="54" t="inlineStr">
        <is>
          <t>1 model</t>
        </is>
      </c>
      <c r="D562" s="55" t="n">
        <v>60</v>
      </c>
      <c r="E562" s="55" t="inlineStr">
        <is>
          <t>Haemonculus — 1 model (60 pts)</t>
        </is>
      </c>
      <c r="F562" s="55" t="n">
        <v>60</v>
      </c>
      <c r="G562" s="54" t="n">
        <v>20</v>
      </c>
      <c r="H562" s="54" t="inlineStr">
        <is>
          <t>Uploaded PDF: Munitorum Field Manual v2.3 / March 2025</t>
        </is>
      </c>
    </row>
    <row r="563">
      <c r="A563" s="54" t="inlineStr">
        <is>
          <t>Drukhari</t>
        </is>
      </c>
      <c r="B563" s="54" t="inlineStr">
        <is>
          <t>Hellions</t>
        </is>
      </c>
      <c r="C563" s="54" t="inlineStr">
        <is>
          <t>5 models</t>
        </is>
      </c>
      <c r="D563" s="55" t="n">
        <v>75</v>
      </c>
      <c r="E563" s="55" t="inlineStr">
        <is>
          <t>Hellions — 5 models (75 pts)</t>
        </is>
      </c>
      <c r="F563" s="55" t="n">
        <v>75</v>
      </c>
      <c r="G563" s="54" t="n">
        <v>20</v>
      </c>
      <c r="H563" s="54" t="inlineStr">
        <is>
          <t>Uploaded PDF: Munitorum Field Manual v2.3 / March 2025</t>
        </is>
      </c>
    </row>
    <row r="564">
      <c r="A564" s="54" t="inlineStr">
        <is>
          <t>Drukhari</t>
        </is>
      </c>
      <c r="B564" s="54" t="inlineStr">
        <is>
          <t>Hellions</t>
        </is>
      </c>
      <c r="C564" s="54" t="inlineStr">
        <is>
          <t>10 models</t>
        </is>
      </c>
      <c r="D564" s="55" t="n">
        <v>150</v>
      </c>
      <c r="E564" s="55" t="inlineStr">
        <is>
          <t>Hellions — 10 models (150 pts)</t>
        </is>
      </c>
      <c r="F564" s="55" t="n">
        <v>150</v>
      </c>
      <c r="G564" s="54" t="n">
        <v>20</v>
      </c>
      <c r="H564" s="54" t="inlineStr">
        <is>
          <t>Uploaded PDF: Munitorum Field Manual v2.3 / March 2025</t>
        </is>
      </c>
    </row>
    <row r="565">
      <c r="A565" s="54" t="inlineStr">
        <is>
          <t>Drukhari</t>
        </is>
      </c>
      <c r="B565" s="54" t="inlineStr">
        <is>
          <t>Incubi</t>
        </is>
      </c>
      <c r="C565" s="54" t="inlineStr">
        <is>
          <t>5 models</t>
        </is>
      </c>
      <c r="D565" s="55" t="n">
        <v>85</v>
      </c>
      <c r="E565" s="55" t="inlineStr">
        <is>
          <t>Incubi — 5 models (85 pts)</t>
        </is>
      </c>
      <c r="F565" s="55" t="n">
        <v>85</v>
      </c>
      <c r="G565" s="54" t="n">
        <v>20</v>
      </c>
      <c r="H565" s="54" t="inlineStr">
        <is>
          <t>Uploaded PDF: Munitorum Field Manual v2.3 / March 2025</t>
        </is>
      </c>
    </row>
    <row r="566">
      <c r="A566" s="54" t="inlineStr">
        <is>
          <t>Drukhari</t>
        </is>
      </c>
      <c r="B566" s="54" t="inlineStr">
        <is>
          <t>Incubi</t>
        </is>
      </c>
      <c r="C566" s="54" t="inlineStr">
        <is>
          <t>10 models</t>
        </is>
      </c>
      <c r="D566" s="55" t="n">
        <v>170</v>
      </c>
      <c r="E566" s="55" t="inlineStr">
        <is>
          <t>Incubi — 10 models (170 pts)</t>
        </is>
      </c>
      <c r="F566" s="55" t="n">
        <v>170</v>
      </c>
      <c r="G566" s="54" t="n">
        <v>20</v>
      </c>
      <c r="H566" s="54" t="inlineStr">
        <is>
          <t>Uploaded PDF: Munitorum Field Manual v2.3 / March 2025</t>
        </is>
      </c>
    </row>
    <row r="567">
      <c r="A567" s="54" t="inlineStr">
        <is>
          <t>Drukhari</t>
        </is>
      </c>
      <c r="B567" s="54" t="inlineStr">
        <is>
          <t>Kabalite Warriors</t>
        </is>
      </c>
      <c r="C567" s="54" t="inlineStr">
        <is>
          <t>10 models</t>
        </is>
      </c>
      <c r="D567" s="55" t="n">
        <v>100</v>
      </c>
      <c r="E567" s="55" t="inlineStr">
        <is>
          <t>Kabalite Warriors — 10 models (100 pts)</t>
        </is>
      </c>
      <c r="F567" s="55" t="n">
        <v>100</v>
      </c>
      <c r="G567" s="54" t="n">
        <v>20</v>
      </c>
      <c r="H567" s="54" t="inlineStr">
        <is>
          <t>Uploaded PDF: Munitorum Field Manual v2.3 / March 2025</t>
        </is>
      </c>
    </row>
    <row r="568">
      <c r="A568" s="54" t="inlineStr">
        <is>
          <t>Drukhari</t>
        </is>
      </c>
      <c r="B568" s="54" t="inlineStr">
        <is>
          <t>Lelith Hesperax</t>
        </is>
      </c>
      <c r="C568" s="54" t="inlineStr">
        <is>
          <t>1 model</t>
        </is>
      </c>
      <c r="D568" s="55" t="n">
        <v>95</v>
      </c>
      <c r="E568" s="55" t="inlineStr">
        <is>
          <t>Lelith Hesperax — 1 model (95 pts)</t>
        </is>
      </c>
      <c r="F568" s="55" t="n">
        <v>95</v>
      </c>
      <c r="G568" s="54" t="n">
        <v>20</v>
      </c>
      <c r="H568" s="54" t="inlineStr">
        <is>
          <t>Uploaded PDF: Munitorum Field Manual v2.3 / March 2025</t>
        </is>
      </c>
    </row>
    <row r="569">
      <c r="A569" s="54" t="inlineStr">
        <is>
          <t>Drukhari</t>
        </is>
      </c>
      <c r="B569" s="54" t="inlineStr">
        <is>
          <t>Mandrakes</t>
        </is>
      </c>
      <c r="C569" s="54" t="inlineStr">
        <is>
          <t>5 models</t>
        </is>
      </c>
      <c r="D569" s="55" t="n">
        <v>70</v>
      </c>
      <c r="E569" s="55" t="inlineStr">
        <is>
          <t>Mandrakes — 5 models (70 pts)</t>
        </is>
      </c>
      <c r="F569" s="55" t="n">
        <v>70</v>
      </c>
      <c r="G569" s="54" t="n">
        <v>20</v>
      </c>
      <c r="H569" s="54" t="inlineStr">
        <is>
          <t>Uploaded PDF: Munitorum Field Manual v2.3 / March 2025</t>
        </is>
      </c>
    </row>
    <row r="570">
      <c r="A570" s="54" t="inlineStr">
        <is>
          <t>Drukhari</t>
        </is>
      </c>
      <c r="B570" s="54" t="inlineStr">
        <is>
          <t>Mandrakes</t>
        </is>
      </c>
      <c r="C570" s="54" t="inlineStr">
        <is>
          <t>10 models</t>
        </is>
      </c>
      <c r="D570" s="55" t="n">
        <v>130</v>
      </c>
      <c r="E570" s="55" t="inlineStr">
        <is>
          <t>Mandrakes — 10 models (130 pts)</t>
        </is>
      </c>
      <c r="F570" s="55" t="n">
        <v>130</v>
      </c>
      <c r="G570" s="54" t="n">
        <v>20</v>
      </c>
      <c r="H570" s="54" t="inlineStr">
        <is>
          <t>Uploaded PDF: Munitorum Field Manual v2.3 / March 2025</t>
        </is>
      </c>
    </row>
    <row r="571">
      <c r="A571" s="54" t="inlineStr">
        <is>
          <t>Drukhari</t>
        </is>
      </c>
      <c r="B571" s="54" t="inlineStr">
        <is>
          <t>Raider</t>
        </is>
      </c>
      <c r="C571" s="54" t="inlineStr">
        <is>
          <t>1 model</t>
        </is>
      </c>
      <c r="D571" s="55" t="n">
        <v>80</v>
      </c>
      <c r="E571" s="55" t="inlineStr">
        <is>
          <t>Raider — 1 model (80 pts)</t>
        </is>
      </c>
      <c r="F571" s="55" t="n">
        <v>80</v>
      </c>
      <c r="G571" s="54" t="n">
        <v>20</v>
      </c>
      <c r="H571" s="54" t="inlineStr">
        <is>
          <t>Uploaded PDF: Munitorum Field Manual v2.3 / March 2025</t>
        </is>
      </c>
    </row>
    <row r="572">
      <c r="A572" s="54" t="inlineStr">
        <is>
          <t>Drukhari</t>
        </is>
      </c>
      <c r="B572" s="54" t="inlineStr">
        <is>
          <t>Ravager</t>
        </is>
      </c>
      <c r="C572" s="54" t="inlineStr">
        <is>
          <t>1 model</t>
        </is>
      </c>
      <c r="D572" s="55" t="n">
        <v>110</v>
      </c>
      <c r="E572" s="55" t="inlineStr">
        <is>
          <t>Ravager — 1 model (110 pts)</t>
        </is>
      </c>
      <c r="F572" s="55" t="n">
        <v>110</v>
      </c>
      <c r="G572" s="54" t="n">
        <v>20</v>
      </c>
      <c r="H572" s="54" t="inlineStr">
        <is>
          <t>Uploaded PDF: Munitorum Field Manual v2.3 / March 2025</t>
        </is>
      </c>
    </row>
    <row r="573">
      <c r="A573" s="54" t="inlineStr">
        <is>
          <t>Drukhari</t>
        </is>
      </c>
      <c r="B573" s="54" t="inlineStr">
        <is>
          <t>Razorwing Jetfighter</t>
        </is>
      </c>
      <c r="C573" s="54" t="inlineStr">
        <is>
          <t>1 model</t>
        </is>
      </c>
      <c r="D573" s="55" t="n">
        <v>170</v>
      </c>
      <c r="E573" s="55" t="inlineStr">
        <is>
          <t>Razorwing Jetfighter — 1 model (170 pts)</t>
        </is>
      </c>
      <c r="F573" s="55" t="n">
        <v>170</v>
      </c>
      <c r="G573" s="54" t="n">
        <v>20</v>
      </c>
      <c r="H573" s="54" t="inlineStr">
        <is>
          <t>Uploaded PDF: Munitorum Field Manual v2.3 / March 2025</t>
        </is>
      </c>
    </row>
    <row r="574">
      <c r="A574" s="54" t="inlineStr">
        <is>
          <t>Drukhari</t>
        </is>
      </c>
      <c r="B574" s="54" t="inlineStr">
        <is>
          <t>Reavers</t>
        </is>
      </c>
      <c r="C574" s="54" t="inlineStr">
        <is>
          <t>3 models</t>
        </is>
      </c>
      <c r="D574" s="55" t="n">
        <v>65</v>
      </c>
      <c r="E574" s="55" t="inlineStr">
        <is>
          <t>Reavers — 3 models (65 pts)</t>
        </is>
      </c>
      <c r="F574" s="55" t="n">
        <v>65</v>
      </c>
      <c r="G574" s="54" t="n">
        <v>20</v>
      </c>
      <c r="H574" s="54" t="inlineStr">
        <is>
          <t>Uploaded PDF: Munitorum Field Manual v2.3 / March 2025</t>
        </is>
      </c>
    </row>
    <row r="575">
      <c r="A575" s="54" t="inlineStr">
        <is>
          <t>Drukhari</t>
        </is>
      </c>
      <c r="B575" s="54" t="inlineStr">
        <is>
          <t>Reavers</t>
        </is>
      </c>
      <c r="C575" s="54" t="inlineStr">
        <is>
          <t>6 models</t>
        </is>
      </c>
      <c r="D575" s="55" t="n">
        <v>120</v>
      </c>
      <c r="E575" s="55" t="inlineStr">
        <is>
          <t>Reavers — 6 models (120 pts)</t>
        </is>
      </c>
      <c r="F575" s="55" t="n">
        <v>120</v>
      </c>
      <c r="G575" s="54" t="n">
        <v>20</v>
      </c>
      <c r="H575" s="54" t="inlineStr">
        <is>
          <t>Uploaded PDF: Munitorum Field Manual v2.3 / March 2025</t>
        </is>
      </c>
    </row>
    <row r="576">
      <c r="A576" s="54" t="inlineStr">
        <is>
          <t>Drukhari</t>
        </is>
      </c>
      <c r="B576" s="54" t="inlineStr">
        <is>
          <t>Scourges</t>
        </is>
      </c>
      <c r="C576" s="54" t="inlineStr">
        <is>
          <t>5 models</t>
        </is>
      </c>
      <c r="D576" s="55" t="n">
        <v>130</v>
      </c>
      <c r="E576" s="55" t="inlineStr">
        <is>
          <t>Scourges — 5 models (130 pts)</t>
        </is>
      </c>
      <c r="F576" s="55" t="n">
        <v>130</v>
      </c>
      <c r="G576" s="54" t="n">
        <v>20</v>
      </c>
      <c r="H576" s="54" t="inlineStr">
        <is>
          <t>Uploaded PDF: Munitorum Field Manual v2.3 / March 2025</t>
        </is>
      </c>
    </row>
    <row r="577">
      <c r="A577" s="54" t="inlineStr">
        <is>
          <t>Drukhari</t>
        </is>
      </c>
      <c r="B577" s="54" t="inlineStr">
        <is>
          <t>Scourges</t>
        </is>
      </c>
      <c r="C577" s="54" t="inlineStr">
        <is>
          <t>10 models</t>
        </is>
      </c>
      <c r="D577" s="55" t="n">
        <v>180</v>
      </c>
      <c r="E577" s="55" t="inlineStr">
        <is>
          <t>Scourges — 10 models (180 pts)</t>
        </is>
      </c>
      <c r="F577" s="55" t="n">
        <v>180</v>
      </c>
      <c r="G577" s="54" t="n">
        <v>20</v>
      </c>
      <c r="H577" s="54" t="inlineStr">
        <is>
          <t>Uploaded PDF: Munitorum Field Manual v2.3 / March 2025</t>
        </is>
      </c>
    </row>
    <row r="578">
      <c r="A578" s="54" t="inlineStr">
        <is>
          <t>Drukhari</t>
        </is>
      </c>
      <c r="B578" s="54" t="inlineStr">
        <is>
          <t>Succubus</t>
        </is>
      </c>
      <c r="C578" s="54" t="inlineStr">
        <is>
          <t>1 model</t>
        </is>
      </c>
      <c r="D578" s="55" t="n">
        <v>45</v>
      </c>
      <c r="E578" s="55" t="inlineStr">
        <is>
          <t>Succubus — 1 model (45 pts)</t>
        </is>
      </c>
      <c r="F578" s="55" t="n">
        <v>45</v>
      </c>
      <c r="G578" s="54" t="n">
        <v>20</v>
      </c>
      <c r="H578" s="54" t="inlineStr">
        <is>
          <t>Uploaded PDF: Munitorum Field Manual v2.3 / March 2025</t>
        </is>
      </c>
    </row>
    <row r="579">
      <c r="A579" s="54" t="inlineStr">
        <is>
          <t>Drukhari</t>
        </is>
      </c>
      <c r="B579" s="54" t="inlineStr">
        <is>
          <t>Talos</t>
        </is>
      </c>
      <c r="C579" s="54" t="inlineStr">
        <is>
          <t>1 model</t>
        </is>
      </c>
      <c r="D579" s="55" t="n">
        <v>80</v>
      </c>
      <c r="E579" s="55" t="inlineStr">
        <is>
          <t>Talos — 1 model (80 pts)</t>
        </is>
      </c>
      <c r="F579" s="55" t="n">
        <v>80</v>
      </c>
      <c r="G579" s="54" t="n">
        <v>20</v>
      </c>
      <c r="H579" s="54" t="inlineStr">
        <is>
          <t>Uploaded PDF: Munitorum Field Manual v2.3 / March 2025</t>
        </is>
      </c>
    </row>
    <row r="580">
      <c r="A580" s="54" t="inlineStr">
        <is>
          <t>Drukhari</t>
        </is>
      </c>
      <c r="B580" s="54" t="inlineStr">
        <is>
          <t>Talos</t>
        </is>
      </c>
      <c r="C580" s="54" t="inlineStr">
        <is>
          <t>2 models</t>
        </is>
      </c>
      <c r="D580" s="55" t="n">
        <v>160</v>
      </c>
      <c r="E580" s="55" t="inlineStr">
        <is>
          <t>Talos — 2 models (160 pts)</t>
        </is>
      </c>
      <c r="F580" s="55" t="n">
        <v>160</v>
      </c>
      <c r="G580" s="54" t="n">
        <v>20</v>
      </c>
      <c r="H580" s="54" t="inlineStr">
        <is>
          <t>Uploaded PDF: Munitorum Field Manual v2.3 / March 2025</t>
        </is>
      </c>
    </row>
    <row r="581">
      <c r="A581" s="54" t="inlineStr">
        <is>
          <t>Drukhari</t>
        </is>
      </c>
      <c r="B581" s="54" t="inlineStr">
        <is>
          <t>Urien Rakarth</t>
        </is>
      </c>
      <c r="C581" s="54" t="inlineStr">
        <is>
          <t>1 model</t>
        </is>
      </c>
      <c r="D581" s="55" t="n">
        <v>80</v>
      </c>
      <c r="E581" s="55" t="inlineStr">
        <is>
          <t>Urien Rakarth — 1 model (80 pts)</t>
        </is>
      </c>
      <c r="F581" s="55" t="n">
        <v>80</v>
      </c>
      <c r="G581" s="54" t="n">
        <v>20</v>
      </c>
      <c r="H581" s="54" t="inlineStr">
        <is>
          <t>Uploaded PDF: Munitorum Field Manual v2.3 / March 2025</t>
        </is>
      </c>
    </row>
    <row r="582">
      <c r="A582" s="54" t="inlineStr">
        <is>
          <t>Drukhari</t>
        </is>
      </c>
      <c r="B582" s="54" t="inlineStr">
        <is>
          <t>Venom</t>
        </is>
      </c>
      <c r="C582" s="54" t="inlineStr">
        <is>
          <t>1 model</t>
        </is>
      </c>
      <c r="D582" s="55" t="n">
        <v>70</v>
      </c>
      <c r="E582" s="55" t="inlineStr">
        <is>
          <t>Venom — 1 model (70 pts)</t>
        </is>
      </c>
      <c r="F582" s="55" t="n">
        <v>70</v>
      </c>
      <c r="G582" s="54" t="n">
        <v>20</v>
      </c>
      <c r="H582" s="54" t="inlineStr">
        <is>
          <t>Uploaded PDF: Munitorum Field Manual v2.3 / March 2025</t>
        </is>
      </c>
    </row>
    <row r="583">
      <c r="A583" s="54" t="inlineStr">
        <is>
          <t>Drukhari</t>
        </is>
      </c>
      <c r="B583" s="54" t="inlineStr">
        <is>
          <t>Voidraven Bomber</t>
        </is>
      </c>
      <c r="C583" s="54" t="inlineStr">
        <is>
          <t>1 model</t>
        </is>
      </c>
      <c r="D583" s="55" t="n">
        <v>235</v>
      </c>
      <c r="E583" s="55" t="inlineStr">
        <is>
          <t>Voidraven Bomber — 1 model (235 pts)</t>
        </is>
      </c>
      <c r="F583" s="55" t="n">
        <v>235</v>
      </c>
      <c r="G583" s="54" t="n">
        <v>20</v>
      </c>
      <c r="H583" s="54" t="inlineStr">
        <is>
          <t>Uploaded PDF: Munitorum Field Manual v2.3 / March 2025</t>
        </is>
      </c>
    </row>
    <row r="584">
      <c r="A584" s="54" t="inlineStr">
        <is>
          <t>Drukhari</t>
        </is>
      </c>
      <c r="B584" s="54" t="inlineStr">
        <is>
          <t>Wracks</t>
        </is>
      </c>
      <c r="C584" s="54" t="inlineStr">
        <is>
          <t>5 models</t>
        </is>
      </c>
      <c r="D584" s="55" t="n">
        <v>55</v>
      </c>
      <c r="E584" s="55" t="inlineStr">
        <is>
          <t>Wracks — 5 models (55 pts)</t>
        </is>
      </c>
      <c r="F584" s="55" t="n">
        <v>55</v>
      </c>
      <c r="G584" s="54" t="n">
        <v>20</v>
      </c>
      <c r="H584" s="54" t="inlineStr">
        <is>
          <t>Uploaded PDF: Munitorum Field Manual v2.3 / March 2025</t>
        </is>
      </c>
    </row>
    <row r="585">
      <c r="A585" s="54" t="inlineStr">
        <is>
          <t>Drukhari</t>
        </is>
      </c>
      <c r="B585" s="54" t="inlineStr">
        <is>
          <t>Wracks</t>
        </is>
      </c>
      <c r="C585" s="54" t="inlineStr">
        <is>
          <t>10 models</t>
        </is>
      </c>
      <c r="D585" s="55" t="n">
        <v>110</v>
      </c>
      <c r="E585" s="55" t="inlineStr">
        <is>
          <t>Wracks — 10 models (110 pts)</t>
        </is>
      </c>
      <c r="F585" s="55" t="n">
        <v>110</v>
      </c>
      <c r="G585" s="54" t="n">
        <v>20</v>
      </c>
      <c r="H585" s="54" t="inlineStr">
        <is>
          <t>Uploaded PDF: Munitorum Field Manual v2.3 / March 2025</t>
        </is>
      </c>
    </row>
    <row r="586">
      <c r="A586" s="54" t="inlineStr">
        <is>
          <t>Drukhari</t>
        </is>
      </c>
      <c r="B586" s="54" t="inlineStr">
        <is>
          <t>Wyches</t>
        </is>
      </c>
      <c r="C586" s="54" t="inlineStr">
        <is>
          <t>10 models</t>
        </is>
      </c>
      <c r="D586" s="55" t="n">
        <v>80</v>
      </c>
      <c r="E586" s="55" t="inlineStr">
        <is>
          <t>Wyches — 10 models (80 pts)</t>
        </is>
      </c>
      <c r="F586" s="55" t="n">
        <v>80</v>
      </c>
      <c r="G586" s="54" t="n">
        <v>20</v>
      </c>
      <c r="H586" s="54" t="inlineStr">
        <is>
          <t>Uploaded PDF: Munitorum Field Manual v2.3 / March 2025</t>
        </is>
      </c>
    </row>
    <row r="587">
      <c r="A587" s="54" t="inlineStr">
        <is>
          <t>Emperor's Children</t>
        </is>
      </c>
      <c r="B587" s="54" t="inlineStr">
        <is>
          <t>The points below allow players to enjoy Codex: Emperor’s Children in non-tournament settings Until the full release of this Codex, players should continue using the Index: Emperor’s Children points and rules for tournaments and other similar events Chaos Land Raider</t>
        </is>
      </c>
      <c r="C587" s="54" t="inlineStr">
        <is>
          <t>1 model</t>
        </is>
      </c>
      <c r="D587" s="55" t="n">
        <v>240</v>
      </c>
      <c r="E587" s="55" t="inlineStr">
        <is>
          <t>The points below allow players to enjoy Codex: Emperor’s Children in non-tournament settings Until the full release of this Codex, players should continue using the Index: Emperor’s Children points and rules for tournaments and other similar events Chaos Land Raider — 1 model (240 pts)</t>
        </is>
      </c>
      <c r="F587" s="55" t="n">
        <v>240</v>
      </c>
      <c r="G587" s="54" t="n">
        <v>21</v>
      </c>
      <c r="H587" s="54" t="inlineStr">
        <is>
          <t>Uploaded PDF: Munitorum Field Manual v2.3 / March 2025</t>
        </is>
      </c>
    </row>
    <row r="588">
      <c r="A588" s="54" t="inlineStr">
        <is>
          <t>Emperor's Children</t>
        </is>
      </c>
      <c r="B588" s="54" t="inlineStr">
        <is>
          <t>Chaos Rhino</t>
        </is>
      </c>
      <c r="C588" s="54" t="inlineStr">
        <is>
          <t>1 model</t>
        </is>
      </c>
      <c r="D588" s="55" t="n">
        <v>80</v>
      </c>
      <c r="E588" s="55" t="inlineStr">
        <is>
          <t>Chaos Rhino — 1 model (80 pts)</t>
        </is>
      </c>
      <c r="F588" s="55" t="n">
        <v>80</v>
      </c>
      <c r="G588" s="54" t="n">
        <v>21</v>
      </c>
      <c r="H588" s="54" t="inlineStr">
        <is>
          <t>Uploaded PDF: Munitorum Field Manual v2.3 / March 2025</t>
        </is>
      </c>
    </row>
    <row r="589">
      <c r="A589" s="54" t="inlineStr">
        <is>
          <t>Emperor's Children</t>
        </is>
      </c>
      <c r="B589" s="54" t="inlineStr">
        <is>
          <t>Chaos Spawn</t>
        </is>
      </c>
      <c r="C589" s="54" t="inlineStr">
        <is>
          <t>2 models</t>
        </is>
      </c>
      <c r="D589" s="55" t="n">
        <v>80</v>
      </c>
      <c r="E589" s="55" t="inlineStr">
        <is>
          <t>Chaos Spawn — 2 models (80 pts)</t>
        </is>
      </c>
      <c r="F589" s="55" t="n">
        <v>80</v>
      </c>
      <c r="G589" s="54" t="n">
        <v>21</v>
      </c>
      <c r="H589" s="54" t="inlineStr">
        <is>
          <t>Uploaded PDF: Munitorum Field Manual v2.3 / March 2025</t>
        </is>
      </c>
    </row>
    <row r="590">
      <c r="A590" s="54" t="inlineStr">
        <is>
          <t>Emperor's Children</t>
        </is>
      </c>
      <c r="B590" s="54" t="inlineStr">
        <is>
          <t>Chaos Terminators</t>
        </is>
      </c>
      <c r="C590" s="54" t="inlineStr">
        <is>
          <t>5 models</t>
        </is>
      </c>
      <c r="D590" s="55" t="n">
        <v>170</v>
      </c>
      <c r="E590" s="55" t="inlineStr">
        <is>
          <t>Chaos Terminators — 5 models (170 pts)</t>
        </is>
      </c>
      <c r="F590" s="55" t="n">
        <v>170</v>
      </c>
      <c r="G590" s="54" t="n">
        <v>21</v>
      </c>
      <c r="H590" s="54" t="inlineStr">
        <is>
          <t>Uploaded PDF: Munitorum Field Manual v2.3 / March 2025</t>
        </is>
      </c>
    </row>
    <row r="591">
      <c r="A591" s="54" t="inlineStr">
        <is>
          <t>Emperor's Children</t>
        </is>
      </c>
      <c r="B591" s="54" t="inlineStr">
        <is>
          <t>Daemon Prince of Slaanesh</t>
        </is>
      </c>
      <c r="C591" s="54" t="inlineStr">
        <is>
          <t>1 model</t>
        </is>
      </c>
      <c r="D591" s="55" t="n">
        <v>195</v>
      </c>
      <c r="E591" s="55" t="inlineStr">
        <is>
          <t>Daemon Prince of Slaanesh — 1 model (195 pts)</t>
        </is>
      </c>
      <c r="F591" s="55" t="n">
        <v>195</v>
      </c>
      <c r="G591" s="54" t="n">
        <v>21</v>
      </c>
      <c r="H591" s="54" t="inlineStr">
        <is>
          <t>Uploaded PDF: Munitorum Field Manual v2.3 / March 2025</t>
        </is>
      </c>
    </row>
    <row r="592">
      <c r="A592" s="54" t="inlineStr">
        <is>
          <t>Emperor's Children</t>
        </is>
      </c>
      <c r="B592" s="54" t="inlineStr">
        <is>
          <t>Daemon Prince of Slaanesh with Wings</t>
        </is>
      </c>
      <c r="C592" s="54" t="inlineStr">
        <is>
          <t>1 model</t>
        </is>
      </c>
      <c r="D592" s="55" t="n">
        <v>180</v>
      </c>
      <c r="E592" s="55" t="inlineStr">
        <is>
          <t>Daemon Prince of Slaanesh with Wings — 1 model (180 pts)</t>
        </is>
      </c>
      <c r="F592" s="55" t="n">
        <v>180</v>
      </c>
      <c r="G592" s="54" t="n">
        <v>21</v>
      </c>
      <c r="H592" s="54" t="inlineStr">
        <is>
          <t>Uploaded PDF: Munitorum Field Manual v2.3 / March 2025</t>
        </is>
      </c>
    </row>
    <row r="593">
      <c r="A593" s="54" t="inlineStr">
        <is>
          <t>Emperor's Children</t>
        </is>
      </c>
      <c r="B593" s="54" t="inlineStr">
        <is>
          <t>Flawless Blades</t>
        </is>
      </c>
      <c r="C593" s="54" t="inlineStr">
        <is>
          <t>3 models</t>
        </is>
      </c>
      <c r="D593" s="55" t="n">
        <v>110</v>
      </c>
      <c r="E593" s="55" t="inlineStr">
        <is>
          <t>Flawless Blades — 3 models (110 pts)</t>
        </is>
      </c>
      <c r="F593" s="55" t="n">
        <v>110</v>
      </c>
      <c r="G593" s="54" t="n">
        <v>21</v>
      </c>
      <c r="H593" s="54" t="inlineStr">
        <is>
          <t>Uploaded PDF: Munitorum Field Manual v2.3 / March 2025</t>
        </is>
      </c>
    </row>
    <row r="594">
      <c r="A594" s="54" t="inlineStr">
        <is>
          <t>Emperor's Children</t>
        </is>
      </c>
      <c r="B594" s="54" t="inlineStr">
        <is>
          <t>Flawless Blades</t>
        </is>
      </c>
      <c r="C594" s="54" t="inlineStr">
        <is>
          <t>6 models</t>
        </is>
      </c>
      <c r="D594" s="55" t="n">
        <v>220</v>
      </c>
      <c r="E594" s="55" t="inlineStr">
        <is>
          <t>Flawless Blades — 6 models (220 pts)</t>
        </is>
      </c>
      <c r="F594" s="55" t="n">
        <v>220</v>
      </c>
      <c r="G594" s="54" t="n">
        <v>21</v>
      </c>
      <c r="H594" s="54" t="inlineStr">
        <is>
          <t>Uploaded PDF: Munitorum Field Manual v2.3 / March 2025</t>
        </is>
      </c>
    </row>
    <row r="595">
      <c r="A595" s="54" t="inlineStr">
        <is>
          <t>Emperor's Children</t>
        </is>
      </c>
      <c r="B595" s="54" t="inlineStr">
        <is>
          <t>Fulgrim</t>
        </is>
      </c>
      <c r="C595" s="54" t="inlineStr">
        <is>
          <t>1 model</t>
        </is>
      </c>
      <c r="D595" s="55" t="n">
        <v>385</v>
      </c>
      <c r="E595" s="55" t="inlineStr">
        <is>
          <t>Fulgrim — 1 model (385 pts)</t>
        </is>
      </c>
      <c r="F595" s="55" t="n">
        <v>385</v>
      </c>
      <c r="G595" s="54" t="n">
        <v>21</v>
      </c>
      <c r="H595" s="54" t="inlineStr">
        <is>
          <t>Uploaded PDF: Munitorum Field Manual v2.3 / March 2025</t>
        </is>
      </c>
    </row>
    <row r="596">
      <c r="A596" s="54" t="inlineStr">
        <is>
          <t>Emperor's Children</t>
        </is>
      </c>
      <c r="B596" s="54" t="inlineStr">
        <is>
          <t>Heldrake</t>
        </is>
      </c>
      <c r="C596" s="54" t="inlineStr">
        <is>
          <t>1 model</t>
        </is>
      </c>
      <c r="D596" s="55" t="n">
        <v>195</v>
      </c>
      <c r="E596" s="55" t="inlineStr">
        <is>
          <t>Heldrake — 1 model (195 pts)</t>
        </is>
      </c>
      <c r="F596" s="55" t="n">
        <v>195</v>
      </c>
      <c r="G596" s="54" t="n">
        <v>21</v>
      </c>
      <c r="H596" s="54" t="inlineStr">
        <is>
          <t>Uploaded PDF: Munitorum Field Manual v2.3 / March 2025</t>
        </is>
      </c>
    </row>
    <row r="597">
      <c r="A597" s="54" t="inlineStr">
        <is>
          <t>Emperor's Children</t>
        </is>
      </c>
      <c r="B597" s="54" t="inlineStr">
        <is>
          <t>Infractors</t>
        </is>
      </c>
      <c r="C597" s="54" t="inlineStr">
        <is>
          <t>5 models</t>
        </is>
      </c>
      <c r="D597" s="55" t="n">
        <v>85</v>
      </c>
      <c r="E597" s="55" t="inlineStr">
        <is>
          <t>Infractors — 5 models (85 pts)</t>
        </is>
      </c>
      <c r="F597" s="55" t="n">
        <v>85</v>
      </c>
      <c r="G597" s="54" t="n">
        <v>21</v>
      </c>
      <c r="H597" s="54" t="inlineStr">
        <is>
          <t>Uploaded PDF: Munitorum Field Manual v2.3 / March 2025</t>
        </is>
      </c>
    </row>
    <row r="598">
      <c r="A598" s="54" t="inlineStr">
        <is>
          <t>Emperor's Children</t>
        </is>
      </c>
      <c r="B598" s="54" t="inlineStr">
        <is>
          <t>Infractors</t>
        </is>
      </c>
      <c r="C598" s="54" t="inlineStr">
        <is>
          <t>10 models</t>
        </is>
      </c>
      <c r="D598" s="55" t="n">
        <v>160</v>
      </c>
      <c r="E598" s="55" t="inlineStr">
        <is>
          <t>Infractors — 10 models (160 pts)</t>
        </is>
      </c>
      <c r="F598" s="55" t="n">
        <v>160</v>
      </c>
      <c r="G598" s="54" t="n">
        <v>21</v>
      </c>
      <c r="H598" s="54" t="inlineStr">
        <is>
          <t>Uploaded PDF: Munitorum Field Manual v2.3 / March 2025</t>
        </is>
      </c>
    </row>
    <row r="599">
      <c r="A599" s="54" t="inlineStr">
        <is>
          <t>Emperor's Children</t>
        </is>
      </c>
      <c r="B599" s="54" t="inlineStr">
        <is>
          <t>Lord Exultant</t>
        </is>
      </c>
      <c r="C599" s="54" t="inlineStr">
        <is>
          <t>1 model</t>
        </is>
      </c>
      <c r="D599" s="55" t="n">
        <v>80</v>
      </c>
      <c r="E599" s="55" t="inlineStr">
        <is>
          <t>Lord Exultant — 1 model (80 pts)</t>
        </is>
      </c>
      <c r="F599" s="55" t="n">
        <v>80</v>
      </c>
      <c r="G599" s="54" t="n">
        <v>21</v>
      </c>
      <c r="H599" s="54" t="inlineStr">
        <is>
          <t>Uploaded PDF: Munitorum Field Manual v2.3 / March 2025</t>
        </is>
      </c>
    </row>
    <row r="600">
      <c r="A600" s="54" t="inlineStr">
        <is>
          <t>Emperor's Children</t>
        </is>
      </c>
      <c r="B600" s="54" t="inlineStr">
        <is>
          <t>Lord Kakophonist</t>
        </is>
      </c>
      <c r="C600" s="54" t="inlineStr">
        <is>
          <t>1 model</t>
        </is>
      </c>
      <c r="D600" s="55" t="n">
        <v>60</v>
      </c>
      <c r="E600" s="55" t="inlineStr">
        <is>
          <t>Lord Kakophonist — 1 model (60 pts)</t>
        </is>
      </c>
      <c r="F600" s="55" t="n">
        <v>60</v>
      </c>
      <c r="G600" s="54" t="n">
        <v>21</v>
      </c>
      <c r="H600" s="54" t="inlineStr">
        <is>
          <t>Uploaded PDF: Munitorum Field Manual v2.3 / March 2025</t>
        </is>
      </c>
    </row>
    <row r="601">
      <c r="A601" s="54" t="inlineStr">
        <is>
          <t>Emperor's Children</t>
        </is>
      </c>
      <c r="B601" s="54" t="inlineStr">
        <is>
          <t>Lucius the Eternal</t>
        </is>
      </c>
      <c r="C601" s="54" t="inlineStr">
        <is>
          <t>1 model</t>
        </is>
      </c>
      <c r="D601" s="55" t="n">
        <v>140</v>
      </c>
      <c r="E601" s="55" t="inlineStr">
        <is>
          <t>Lucius the Eternal — 1 model (140 pts)</t>
        </is>
      </c>
      <c r="F601" s="55" t="n">
        <v>140</v>
      </c>
      <c r="G601" s="54" t="n">
        <v>21</v>
      </c>
      <c r="H601" s="54" t="inlineStr">
        <is>
          <t>Uploaded PDF: Munitorum Field Manual v2.3 / March 2025</t>
        </is>
      </c>
    </row>
    <row r="602">
      <c r="A602" s="54" t="inlineStr">
        <is>
          <t>Emperor's Children</t>
        </is>
      </c>
      <c r="B602" s="54" t="inlineStr">
        <is>
          <t>Maulerfiend</t>
        </is>
      </c>
      <c r="C602" s="54" t="inlineStr">
        <is>
          <t>1 model</t>
        </is>
      </c>
      <c r="D602" s="55" t="n">
        <v>130</v>
      </c>
      <c r="E602" s="55" t="inlineStr">
        <is>
          <t>Maulerfiend — 1 model (130 pts)</t>
        </is>
      </c>
      <c r="F602" s="55" t="n">
        <v>130</v>
      </c>
      <c r="G602" s="54" t="n">
        <v>21</v>
      </c>
      <c r="H602" s="54" t="inlineStr">
        <is>
          <t>Uploaded PDF: Munitorum Field Manual v2.3 / March 2025</t>
        </is>
      </c>
    </row>
    <row r="603">
      <c r="A603" s="54" t="inlineStr">
        <is>
          <t>Emperor's Children</t>
        </is>
      </c>
      <c r="B603" s="54" t="inlineStr">
        <is>
          <t>Noise Marines</t>
        </is>
      </c>
      <c r="C603" s="54" t="inlineStr">
        <is>
          <t>6 models</t>
        </is>
      </c>
      <c r="D603" s="55" t="n">
        <v>135</v>
      </c>
      <c r="E603" s="55" t="inlineStr">
        <is>
          <t>Noise Marines — 6 models (135 pts)</t>
        </is>
      </c>
      <c r="F603" s="55" t="n">
        <v>135</v>
      </c>
      <c r="G603" s="54" t="n">
        <v>21</v>
      </c>
      <c r="H603" s="54" t="inlineStr">
        <is>
          <t>Uploaded PDF: Munitorum Field Manual v2.3 / March 2025</t>
        </is>
      </c>
    </row>
    <row r="604">
      <c r="A604" s="54" t="inlineStr">
        <is>
          <t>Emperor's Children</t>
        </is>
      </c>
      <c r="B604" s="54" t="inlineStr">
        <is>
          <t>Sorcerer</t>
        </is>
      </c>
      <c r="C604" s="54" t="inlineStr">
        <is>
          <t>1 model</t>
        </is>
      </c>
      <c r="D604" s="55" t="n">
        <v>60</v>
      </c>
      <c r="E604" s="55" t="inlineStr">
        <is>
          <t>Sorcerer — 1 model (60 pts)</t>
        </is>
      </c>
      <c r="F604" s="55" t="n">
        <v>60</v>
      </c>
      <c r="G604" s="54" t="n">
        <v>21</v>
      </c>
      <c r="H604" s="54" t="inlineStr">
        <is>
          <t>Uploaded PDF: Munitorum Field Manual v2.3 / March 2025</t>
        </is>
      </c>
    </row>
    <row r="605">
      <c r="A605" s="54" t="inlineStr">
        <is>
          <t>Emperor's Children</t>
        </is>
      </c>
      <c r="B605" s="54" t="inlineStr">
        <is>
          <t>Tormentors</t>
        </is>
      </c>
      <c r="C605" s="54" t="inlineStr">
        <is>
          <t>5 models</t>
        </is>
      </c>
      <c r="D605" s="55" t="n">
        <v>85</v>
      </c>
      <c r="E605" s="55" t="inlineStr">
        <is>
          <t>Tormentors — 5 models (85 pts)</t>
        </is>
      </c>
      <c r="F605" s="55" t="n">
        <v>85</v>
      </c>
      <c r="G605" s="54" t="n">
        <v>21</v>
      </c>
      <c r="H605" s="54" t="inlineStr">
        <is>
          <t>Uploaded PDF: Munitorum Field Manual v2.3 / March 2025</t>
        </is>
      </c>
    </row>
    <row r="606">
      <c r="A606" s="54" t="inlineStr">
        <is>
          <t>Emperor's Children</t>
        </is>
      </c>
      <c r="B606" s="54" t="inlineStr">
        <is>
          <t>Tormentors</t>
        </is>
      </c>
      <c r="C606" s="54" t="inlineStr">
        <is>
          <t>10 models</t>
        </is>
      </c>
      <c r="D606" s="55" t="n">
        <v>170</v>
      </c>
      <c r="E606" s="55" t="inlineStr">
        <is>
          <t>Tormentors — 10 models (170 pts)</t>
        </is>
      </c>
      <c r="F606" s="55" t="n">
        <v>170</v>
      </c>
      <c r="G606" s="54" t="n">
        <v>21</v>
      </c>
      <c r="H606" s="54" t="inlineStr">
        <is>
          <t>Uploaded PDF: Munitorum Field Manual v2.3 / March 2025</t>
        </is>
      </c>
    </row>
    <row r="607">
      <c r="A607" s="54" t="inlineStr">
        <is>
          <t>Emperor's Children</t>
        </is>
      </c>
      <c r="B607" s="54" t="inlineStr">
        <is>
          <t>LEGIONS OF EXCESS Daemonettes</t>
        </is>
      </c>
      <c r="C607" s="54" t="inlineStr">
        <is>
          <t>10 models</t>
        </is>
      </c>
      <c r="D607" s="55" t="n">
        <v>90</v>
      </c>
      <c r="E607" s="55" t="inlineStr">
        <is>
          <t>LEGIONS OF EXCESS Daemonettes — 10 models (90 pts)</t>
        </is>
      </c>
      <c r="F607" s="55" t="n">
        <v>90</v>
      </c>
      <c r="G607" s="54" t="n">
        <v>21</v>
      </c>
      <c r="H607" s="54" t="inlineStr">
        <is>
          <t>Uploaded PDF: Munitorum Field Manual v2.3 / March 2025</t>
        </is>
      </c>
    </row>
    <row r="608">
      <c r="A608" s="54" t="inlineStr">
        <is>
          <t>Emperor's Children</t>
        </is>
      </c>
      <c r="B608" s="54" t="inlineStr">
        <is>
          <t>Fiends</t>
        </is>
      </c>
      <c r="C608" s="54" t="inlineStr">
        <is>
          <t>3 models</t>
        </is>
      </c>
      <c r="D608" s="55" t="n">
        <v>95</v>
      </c>
      <c r="E608" s="55" t="inlineStr">
        <is>
          <t>Fiends — 3 models (95 pts)</t>
        </is>
      </c>
      <c r="F608" s="55" t="n">
        <v>95</v>
      </c>
      <c r="G608" s="54" t="n">
        <v>21</v>
      </c>
      <c r="H608" s="54" t="inlineStr">
        <is>
          <t>Uploaded PDF: Munitorum Field Manual v2.3 / March 2025</t>
        </is>
      </c>
    </row>
    <row r="609">
      <c r="A609" s="54" t="inlineStr">
        <is>
          <t>Emperor's Children</t>
        </is>
      </c>
      <c r="B609" s="54" t="inlineStr">
        <is>
          <t>Fiends</t>
        </is>
      </c>
      <c r="C609" s="54" t="inlineStr">
        <is>
          <t>6 models</t>
        </is>
      </c>
      <c r="D609" s="55" t="n">
        <v>190</v>
      </c>
      <c r="E609" s="55" t="inlineStr">
        <is>
          <t>Fiends — 6 models (190 pts)</t>
        </is>
      </c>
      <c r="F609" s="55" t="n">
        <v>190</v>
      </c>
      <c r="G609" s="54" t="n">
        <v>21</v>
      </c>
      <c r="H609" s="54" t="inlineStr">
        <is>
          <t>Uploaded PDF: Munitorum Field Manual v2.3 / March 2025</t>
        </is>
      </c>
    </row>
    <row r="610">
      <c r="A610" s="54" t="inlineStr">
        <is>
          <t>Emperor's Children</t>
        </is>
      </c>
      <c r="B610" s="54" t="inlineStr">
        <is>
          <t>Keeper of Secrets</t>
        </is>
      </c>
      <c r="C610" s="54" t="inlineStr">
        <is>
          <t>1 model</t>
        </is>
      </c>
      <c r="D610" s="55" t="n">
        <v>280</v>
      </c>
      <c r="E610" s="55" t="inlineStr">
        <is>
          <t>Keeper of Secrets — 1 model (280 pts)</t>
        </is>
      </c>
      <c r="F610" s="55" t="n">
        <v>280</v>
      </c>
      <c r="G610" s="54" t="n">
        <v>21</v>
      </c>
      <c r="H610" s="54" t="inlineStr">
        <is>
          <t>Uploaded PDF: Munitorum Field Manual v2.3 / March 2025</t>
        </is>
      </c>
    </row>
    <row r="611">
      <c r="A611" s="54" t="inlineStr">
        <is>
          <t>Emperor's Children</t>
        </is>
      </c>
      <c r="B611" s="54" t="inlineStr">
        <is>
          <t>Seekers</t>
        </is>
      </c>
      <c r="C611" s="54" t="inlineStr">
        <is>
          <t>5 models</t>
        </is>
      </c>
      <c r="D611" s="55" t="n">
        <v>90</v>
      </c>
      <c r="E611" s="55" t="inlineStr">
        <is>
          <t>Seekers — 5 models (90 pts)</t>
        </is>
      </c>
      <c r="F611" s="55" t="n">
        <v>90</v>
      </c>
      <c r="G611" s="54" t="n">
        <v>21</v>
      </c>
      <c r="H611" s="54" t="inlineStr">
        <is>
          <t>Uploaded PDF: Munitorum Field Manual v2.3 / March 2025</t>
        </is>
      </c>
    </row>
    <row r="612">
      <c r="A612" s="54" t="inlineStr">
        <is>
          <t>Emperor's Children</t>
        </is>
      </c>
      <c r="B612" s="54" t="inlineStr">
        <is>
          <t>Seekers</t>
        </is>
      </c>
      <c r="C612" s="54" t="inlineStr">
        <is>
          <t>10 models</t>
        </is>
      </c>
      <c r="D612" s="55" t="n">
        <v>180</v>
      </c>
      <c r="E612" s="55" t="inlineStr">
        <is>
          <t>Seekers — 10 models (180 pts)</t>
        </is>
      </c>
      <c r="F612" s="55" t="n">
        <v>180</v>
      </c>
      <c r="G612" s="54" t="n">
        <v>21</v>
      </c>
      <c r="H612" s="54" t="inlineStr">
        <is>
          <t>Uploaded PDF: Munitorum Field Manual v2.3 / March 2025</t>
        </is>
      </c>
    </row>
    <row r="613">
      <c r="A613" s="54" t="inlineStr">
        <is>
          <t>Emperor's Children</t>
        </is>
      </c>
      <c r="B613" s="54" t="inlineStr">
        <is>
          <t>Shalaxi Helbane</t>
        </is>
      </c>
      <c r="C613" s="54" t="inlineStr">
        <is>
          <t>1 model</t>
        </is>
      </c>
      <c r="D613" s="55" t="n">
        <v>380</v>
      </c>
      <c r="E613" s="55" t="inlineStr">
        <is>
          <t>Shalaxi Helbane — 1 model (380 pts)</t>
        </is>
      </c>
      <c r="F613" s="55" t="n">
        <v>380</v>
      </c>
      <c r="G613" s="54" t="n">
        <v>21</v>
      </c>
      <c r="H613" s="54" t="inlineStr">
        <is>
          <t>Uploaded PDF: Munitorum Field Manual v2.3 / March 2025</t>
        </is>
      </c>
    </row>
    <row r="614">
      <c r="A614" s="54" t="inlineStr">
        <is>
          <t>Emperor's Children</t>
        </is>
      </c>
      <c r="B614" s="54" t="inlineStr">
        <is>
          <t>Lucius the Eternal</t>
        </is>
      </c>
      <c r="C614" s="54" t="inlineStr">
        <is>
          <t>1 model</t>
        </is>
      </c>
      <c r="D614" s="55" t="n">
        <v>95</v>
      </c>
      <c r="E614" s="55" t="inlineStr">
        <is>
          <t>Lucius the Eternal — 1 model (95 pts)</t>
        </is>
      </c>
      <c r="F614" s="55" t="n">
        <v>95</v>
      </c>
      <c r="G614" s="54" t="n">
        <v>21</v>
      </c>
      <c r="H614" s="54" t="inlineStr">
        <is>
          <t>Uploaded PDF: Munitorum Field Manual v2.3 / March 2025</t>
        </is>
      </c>
    </row>
    <row r="615">
      <c r="A615" s="54" t="inlineStr">
        <is>
          <t>Emperor's Children</t>
        </is>
      </c>
      <c r="B615" s="54" t="inlineStr">
        <is>
          <t>Noise Marines</t>
        </is>
      </c>
      <c r="C615" s="54" t="inlineStr">
        <is>
          <t>5 models</t>
        </is>
      </c>
      <c r="D615" s="55" t="n">
        <v>85</v>
      </c>
      <c r="E615" s="55" t="inlineStr">
        <is>
          <t>Noise Marines — 5 models (85 pts)</t>
        </is>
      </c>
      <c r="F615" s="55" t="n">
        <v>85</v>
      </c>
      <c r="G615" s="54" t="n">
        <v>21</v>
      </c>
      <c r="H615" s="54" t="inlineStr">
        <is>
          <t>Uploaded PDF: Munitorum Field Manual v2.3 / March 2025</t>
        </is>
      </c>
    </row>
    <row r="616">
      <c r="A616" s="54" t="inlineStr">
        <is>
          <t>Emperor's Children</t>
        </is>
      </c>
      <c r="B616" s="54" t="inlineStr">
        <is>
          <t>Noise Marines</t>
        </is>
      </c>
      <c r="C616" s="54" t="inlineStr">
        <is>
          <t>10 models</t>
        </is>
      </c>
      <c r="D616" s="55" t="n">
        <v>170</v>
      </c>
      <c r="E616" s="55" t="inlineStr">
        <is>
          <t>Noise Marines — 10 models (170 pts)</t>
        </is>
      </c>
      <c r="F616" s="55" t="n">
        <v>170</v>
      </c>
      <c r="G616" s="54" t="n">
        <v>21</v>
      </c>
      <c r="H616" s="54" t="inlineStr">
        <is>
          <t>Uploaded PDF: Munitorum Field Manual v2.3 / March 2025</t>
        </is>
      </c>
    </row>
    <row r="617">
      <c r="A617" s="54" t="inlineStr">
        <is>
          <t>Genestealer Cults</t>
        </is>
      </c>
      <c r="B617" s="54" t="inlineStr">
        <is>
          <t>Aberrants</t>
        </is>
      </c>
      <c r="C617" s="54" t="inlineStr">
        <is>
          <t>5 models</t>
        </is>
      </c>
      <c r="D617" s="55" t="n">
        <v>135</v>
      </c>
      <c r="E617" s="55" t="inlineStr">
        <is>
          <t>Aberrants — 5 models (135 pts)</t>
        </is>
      </c>
      <c r="F617" s="55" t="n">
        <v>135</v>
      </c>
      <c r="G617" s="54" t="n">
        <v>22</v>
      </c>
      <c r="H617" s="54" t="inlineStr">
        <is>
          <t>Uploaded PDF: Munitorum Field Manual v2.3 / March 2025</t>
        </is>
      </c>
    </row>
    <row r="618">
      <c r="A618" s="54" t="inlineStr">
        <is>
          <t>Genestealer Cults</t>
        </is>
      </c>
      <c r="B618" s="54" t="inlineStr">
        <is>
          <t>Aberrants</t>
        </is>
      </c>
      <c r="C618" s="54" t="inlineStr">
        <is>
          <t>10 models</t>
        </is>
      </c>
      <c r="D618" s="55" t="n">
        <v>300</v>
      </c>
      <c r="E618" s="55" t="inlineStr">
        <is>
          <t>Aberrants — 10 models (300 pts)</t>
        </is>
      </c>
      <c r="F618" s="55" t="n">
        <v>300</v>
      </c>
      <c r="G618" s="54" t="n">
        <v>22</v>
      </c>
      <c r="H618" s="54" t="inlineStr">
        <is>
          <t>Uploaded PDF: Munitorum Field Manual v2.3 / March 2025</t>
        </is>
      </c>
    </row>
    <row r="619">
      <c r="A619" s="54" t="inlineStr">
        <is>
          <t>Genestealer Cults</t>
        </is>
      </c>
      <c r="B619" s="54" t="inlineStr">
        <is>
          <t>Abominant</t>
        </is>
      </c>
      <c r="C619" s="54" t="inlineStr">
        <is>
          <t>1 model</t>
        </is>
      </c>
      <c r="D619" s="55" t="n">
        <v>95</v>
      </c>
      <c r="E619" s="55" t="inlineStr">
        <is>
          <t>Abominant — 1 model (95 pts)</t>
        </is>
      </c>
      <c r="F619" s="55" t="n">
        <v>95</v>
      </c>
      <c r="G619" s="54" t="n">
        <v>22</v>
      </c>
      <c r="H619" s="54" t="inlineStr">
        <is>
          <t>Uploaded PDF: Munitorum Field Manual v2.3 / March 2025</t>
        </is>
      </c>
    </row>
    <row r="620">
      <c r="A620" s="54" t="inlineStr">
        <is>
          <t>Genestealer Cults</t>
        </is>
      </c>
      <c r="B620" s="54" t="inlineStr">
        <is>
          <t>Achilles Ridgerunners</t>
        </is>
      </c>
      <c r="C620" s="54" t="inlineStr">
        <is>
          <t>1 model</t>
        </is>
      </c>
      <c r="D620" s="55" t="n">
        <v>85</v>
      </c>
      <c r="E620" s="55" t="inlineStr">
        <is>
          <t>Achilles Ridgerunners — 1 model (85 pts)</t>
        </is>
      </c>
      <c r="F620" s="55" t="n">
        <v>85</v>
      </c>
      <c r="G620" s="54" t="n">
        <v>22</v>
      </c>
      <c r="H620" s="54" t="inlineStr">
        <is>
          <t>Uploaded PDF: Munitorum Field Manual v2.3 / March 2025</t>
        </is>
      </c>
    </row>
    <row r="621">
      <c r="A621" s="54" t="inlineStr">
        <is>
          <t>Genestealer Cults</t>
        </is>
      </c>
      <c r="B621" s="54" t="inlineStr">
        <is>
          <t>Achilles Ridgerunners</t>
        </is>
      </c>
      <c r="C621" s="54" t="inlineStr">
        <is>
          <t>2 models</t>
        </is>
      </c>
      <c r="D621" s="55" t="n">
        <v>170</v>
      </c>
      <c r="E621" s="55" t="inlineStr">
        <is>
          <t>Achilles Ridgerunners — 2 models (170 pts)</t>
        </is>
      </c>
      <c r="F621" s="55" t="n">
        <v>170</v>
      </c>
      <c r="G621" s="54" t="n">
        <v>22</v>
      </c>
      <c r="H621" s="54" t="inlineStr">
        <is>
          <t>Uploaded PDF: Munitorum Field Manual v2.3 / March 2025</t>
        </is>
      </c>
    </row>
    <row r="622">
      <c r="A622" s="54" t="inlineStr">
        <is>
          <t>Genestealer Cults</t>
        </is>
      </c>
      <c r="B622" s="54" t="inlineStr">
        <is>
          <t>Acolyte Hybrids with Autopistols</t>
        </is>
      </c>
      <c r="C622" s="54" t="inlineStr">
        <is>
          <t>5 models</t>
        </is>
      </c>
      <c r="D622" s="55" t="n">
        <v>65</v>
      </c>
      <c r="E622" s="55" t="inlineStr">
        <is>
          <t>Acolyte Hybrids with Autopistols — 5 models (65 pts)</t>
        </is>
      </c>
      <c r="F622" s="55" t="n">
        <v>65</v>
      </c>
      <c r="G622" s="54" t="n">
        <v>22</v>
      </c>
      <c r="H622" s="54" t="inlineStr">
        <is>
          <t>Uploaded PDF: Munitorum Field Manual v2.3 / March 2025</t>
        </is>
      </c>
    </row>
    <row r="623">
      <c r="A623" s="54" t="inlineStr">
        <is>
          <t>Genestealer Cults</t>
        </is>
      </c>
      <c r="B623" s="54" t="inlineStr">
        <is>
          <t>Acolyte Hybrids with Autopistols</t>
        </is>
      </c>
      <c r="C623" s="54" t="inlineStr">
        <is>
          <t>10 models</t>
        </is>
      </c>
      <c r="D623" s="55" t="n">
        <v>130</v>
      </c>
      <c r="E623" s="55" t="inlineStr">
        <is>
          <t>Acolyte Hybrids with Autopistols — 10 models (130 pts)</t>
        </is>
      </c>
      <c r="F623" s="55" t="n">
        <v>130</v>
      </c>
      <c r="G623" s="54" t="n">
        <v>22</v>
      </c>
      <c r="H623" s="54" t="inlineStr">
        <is>
          <t>Uploaded PDF: Munitorum Field Manual v2.3 / March 2025</t>
        </is>
      </c>
    </row>
    <row r="624">
      <c r="A624" s="54" t="inlineStr">
        <is>
          <t>Genestealer Cults</t>
        </is>
      </c>
      <c r="B624" s="54" t="inlineStr">
        <is>
          <t>Acolyte Hybrids with Hand Flamers</t>
        </is>
      </c>
      <c r="C624" s="54" t="inlineStr">
        <is>
          <t>5 models</t>
        </is>
      </c>
      <c r="D624" s="55" t="n">
        <v>70</v>
      </c>
      <c r="E624" s="55" t="inlineStr">
        <is>
          <t>Acolyte Hybrids with Hand Flamers — 5 models (70 pts)</t>
        </is>
      </c>
      <c r="F624" s="55" t="n">
        <v>70</v>
      </c>
      <c r="G624" s="54" t="n">
        <v>22</v>
      </c>
      <c r="H624" s="54" t="inlineStr">
        <is>
          <t>Uploaded PDF: Munitorum Field Manual v2.3 / March 2025</t>
        </is>
      </c>
    </row>
    <row r="625">
      <c r="A625" s="54" t="inlineStr">
        <is>
          <t>Genestealer Cults</t>
        </is>
      </c>
      <c r="B625" s="54" t="inlineStr">
        <is>
          <t>Acolyte Hybrids with Hand Flamers</t>
        </is>
      </c>
      <c r="C625" s="54" t="inlineStr">
        <is>
          <t>10 models</t>
        </is>
      </c>
      <c r="D625" s="55" t="n">
        <v>140</v>
      </c>
      <c r="E625" s="55" t="inlineStr">
        <is>
          <t>Acolyte Hybrids with Hand Flamers — 10 models (140 pts)</t>
        </is>
      </c>
      <c r="F625" s="55" t="n">
        <v>140</v>
      </c>
      <c r="G625" s="54" t="n">
        <v>22</v>
      </c>
      <c r="H625" s="54" t="inlineStr">
        <is>
          <t>Uploaded PDF: Munitorum Field Manual v2.3 / March 2025</t>
        </is>
      </c>
    </row>
    <row r="626">
      <c r="A626" s="54" t="inlineStr">
        <is>
          <t>Genestealer Cults</t>
        </is>
      </c>
      <c r="B626" s="54" t="inlineStr">
        <is>
          <t>Acolyte Iconward</t>
        </is>
      </c>
      <c r="C626" s="54" t="inlineStr">
        <is>
          <t>1 model</t>
        </is>
      </c>
      <c r="D626" s="55" t="n">
        <v>50</v>
      </c>
      <c r="E626" s="55" t="inlineStr">
        <is>
          <t>Acolyte Iconward — 1 model (50 pts)</t>
        </is>
      </c>
      <c r="F626" s="55" t="n">
        <v>50</v>
      </c>
      <c r="G626" s="54" t="n">
        <v>22</v>
      </c>
      <c r="H626" s="54" t="inlineStr">
        <is>
          <t>Uploaded PDF: Munitorum Field Manual v2.3 / March 2025</t>
        </is>
      </c>
    </row>
    <row r="627">
      <c r="A627" s="54" t="inlineStr">
        <is>
          <t>Genestealer Cults</t>
        </is>
      </c>
      <c r="B627" s="54" t="inlineStr">
        <is>
          <t>Atalan Jackals</t>
        </is>
      </c>
      <c r="C627" s="54" t="inlineStr">
        <is>
          <t>5 models</t>
        </is>
      </c>
      <c r="D627" s="55" t="n">
        <v>80</v>
      </c>
      <c r="E627" s="55" t="inlineStr">
        <is>
          <t>Atalan Jackals — 5 models (80 pts)</t>
        </is>
      </c>
      <c r="F627" s="55" t="n">
        <v>80</v>
      </c>
      <c r="G627" s="54" t="n">
        <v>22</v>
      </c>
      <c r="H627" s="54" t="inlineStr">
        <is>
          <t>Uploaded PDF: Munitorum Field Manual v2.3 / March 2025</t>
        </is>
      </c>
    </row>
    <row r="628">
      <c r="A628" s="54" t="inlineStr">
        <is>
          <t>Genestealer Cults</t>
        </is>
      </c>
      <c r="B628" s="54" t="inlineStr">
        <is>
          <t>Atalan Jackals</t>
        </is>
      </c>
      <c r="C628" s="54" t="inlineStr">
        <is>
          <t>10 models</t>
        </is>
      </c>
      <c r="D628" s="55" t="n">
        <v>160</v>
      </c>
      <c r="E628" s="55" t="inlineStr">
        <is>
          <t>Atalan Jackals — 10 models (160 pts)</t>
        </is>
      </c>
      <c r="F628" s="55" t="n">
        <v>160</v>
      </c>
      <c r="G628" s="54" t="n">
        <v>22</v>
      </c>
      <c r="H628" s="54" t="inlineStr">
        <is>
          <t>Uploaded PDF: Munitorum Field Manual v2.3 / March 2025</t>
        </is>
      </c>
    </row>
    <row r="629">
      <c r="A629" s="54" t="inlineStr">
        <is>
          <t>Genestealer Cults</t>
        </is>
      </c>
      <c r="B629" s="54" t="inlineStr">
        <is>
          <t>Benefictus</t>
        </is>
      </c>
      <c r="C629" s="54" t="inlineStr">
        <is>
          <t>1 model</t>
        </is>
      </c>
      <c r="D629" s="55" t="n">
        <v>70</v>
      </c>
      <c r="E629" s="55" t="inlineStr">
        <is>
          <t>Benefictus — 1 model (70 pts)</t>
        </is>
      </c>
      <c r="F629" s="55" t="n">
        <v>70</v>
      </c>
      <c r="G629" s="54" t="n">
        <v>22</v>
      </c>
      <c r="H629" s="54" t="inlineStr">
        <is>
          <t>Uploaded PDF: Munitorum Field Manual v2.3 / March 2025</t>
        </is>
      </c>
    </row>
    <row r="630">
      <c r="A630" s="54" t="inlineStr">
        <is>
          <t>Genestealer Cults</t>
        </is>
      </c>
      <c r="B630" s="54" t="inlineStr">
        <is>
          <t>Biophagus</t>
        </is>
      </c>
      <c r="C630" s="54" t="inlineStr">
        <is>
          <t>1 model</t>
        </is>
      </c>
      <c r="D630" s="55" t="n">
        <v>50</v>
      </c>
      <c r="E630" s="55" t="inlineStr">
        <is>
          <t>Biophagus — 1 model (50 pts)</t>
        </is>
      </c>
      <c r="F630" s="55" t="n">
        <v>50</v>
      </c>
      <c r="G630" s="54" t="n">
        <v>22</v>
      </c>
      <c r="H630" s="54" t="inlineStr">
        <is>
          <t>Uploaded PDF: Munitorum Field Manual v2.3 / March 2025</t>
        </is>
      </c>
    </row>
    <row r="631">
      <c r="A631" s="54" t="inlineStr">
        <is>
          <t>Genestealer Cults</t>
        </is>
      </c>
      <c r="B631" s="54" t="inlineStr">
        <is>
          <t>Clamavus</t>
        </is>
      </c>
      <c r="C631" s="54" t="inlineStr">
        <is>
          <t>1 model</t>
        </is>
      </c>
      <c r="D631" s="55" t="n">
        <v>50</v>
      </c>
      <c r="E631" s="55" t="inlineStr">
        <is>
          <t>Clamavus — 1 model (50 pts)</t>
        </is>
      </c>
      <c r="F631" s="55" t="n">
        <v>50</v>
      </c>
      <c r="G631" s="54" t="n">
        <v>22</v>
      </c>
      <c r="H631" s="54" t="inlineStr">
        <is>
          <t>Uploaded PDF: Munitorum Field Manual v2.3 / March 2025</t>
        </is>
      </c>
    </row>
    <row r="632">
      <c r="A632" s="54" t="inlineStr">
        <is>
          <t>Genestealer Cults</t>
        </is>
      </c>
      <c r="B632" s="54" t="inlineStr">
        <is>
          <t>Goliath Rockgrinder</t>
        </is>
      </c>
      <c r="C632" s="54" t="inlineStr">
        <is>
          <t>1 model</t>
        </is>
      </c>
      <c r="D632" s="55" t="n">
        <v>120</v>
      </c>
      <c r="E632" s="55" t="inlineStr">
        <is>
          <t>Goliath Rockgrinder — 1 model (120 pts)</t>
        </is>
      </c>
      <c r="F632" s="55" t="n">
        <v>120</v>
      </c>
      <c r="G632" s="54" t="n">
        <v>22</v>
      </c>
      <c r="H632" s="54" t="inlineStr">
        <is>
          <t>Uploaded PDF: Munitorum Field Manual v2.3 / March 2025</t>
        </is>
      </c>
    </row>
    <row r="633">
      <c r="A633" s="54" t="inlineStr">
        <is>
          <t>Genestealer Cults</t>
        </is>
      </c>
      <c r="B633" s="54" t="inlineStr">
        <is>
          <t>Goliath Truck</t>
        </is>
      </c>
      <c r="C633" s="54" t="inlineStr">
        <is>
          <t>1 model</t>
        </is>
      </c>
      <c r="D633" s="55" t="n">
        <v>85</v>
      </c>
      <c r="E633" s="55" t="inlineStr">
        <is>
          <t>Goliath Truck — 1 model (85 pts)</t>
        </is>
      </c>
      <c r="F633" s="55" t="n">
        <v>85</v>
      </c>
      <c r="G633" s="54" t="n">
        <v>22</v>
      </c>
      <c r="H633" s="54" t="inlineStr">
        <is>
          <t>Uploaded PDF: Munitorum Field Manual v2.3 / March 2025</t>
        </is>
      </c>
    </row>
    <row r="634">
      <c r="A634" s="54" t="inlineStr">
        <is>
          <t>Genestealer Cults</t>
        </is>
      </c>
      <c r="B634" s="54" t="inlineStr">
        <is>
          <t>Hybrid Metamorphs</t>
        </is>
      </c>
      <c r="C634" s="54" t="inlineStr">
        <is>
          <t>5 models</t>
        </is>
      </c>
      <c r="D634" s="55" t="n">
        <v>80</v>
      </c>
      <c r="E634" s="55" t="inlineStr">
        <is>
          <t>Hybrid Metamorphs — 5 models (80 pts)</t>
        </is>
      </c>
      <c r="F634" s="55" t="n">
        <v>80</v>
      </c>
      <c r="G634" s="54" t="n">
        <v>22</v>
      </c>
      <c r="H634" s="54" t="inlineStr">
        <is>
          <t>Uploaded PDF: Munitorum Field Manual v2.3 / March 2025</t>
        </is>
      </c>
    </row>
    <row r="635">
      <c r="A635" s="54" t="inlineStr">
        <is>
          <t>Genestealer Cults</t>
        </is>
      </c>
      <c r="B635" s="54" t="inlineStr">
        <is>
          <t>Hybrid Metamorphs</t>
        </is>
      </c>
      <c r="C635" s="54" t="inlineStr">
        <is>
          <t>10 models</t>
        </is>
      </c>
      <c r="D635" s="55" t="n">
        <v>160</v>
      </c>
      <c r="E635" s="55" t="inlineStr">
        <is>
          <t>Hybrid Metamorphs — 10 models (160 pts)</t>
        </is>
      </c>
      <c r="F635" s="55" t="n">
        <v>160</v>
      </c>
      <c r="G635" s="54" t="n">
        <v>22</v>
      </c>
      <c r="H635" s="54" t="inlineStr">
        <is>
          <t>Uploaded PDF: Munitorum Field Manual v2.3 / March 2025</t>
        </is>
      </c>
    </row>
    <row r="636">
      <c r="A636" s="54" t="inlineStr">
        <is>
          <t>Genestealer Cults</t>
        </is>
      </c>
      <c r="B636" s="54" t="inlineStr">
        <is>
          <t>Jackal Alphus</t>
        </is>
      </c>
      <c r="C636" s="54" t="inlineStr">
        <is>
          <t>1 model</t>
        </is>
      </c>
      <c r="D636" s="55" t="n">
        <v>55</v>
      </c>
      <c r="E636" s="55" t="inlineStr">
        <is>
          <t>Jackal Alphus — 1 model (55 pts)</t>
        </is>
      </c>
      <c r="F636" s="55" t="n">
        <v>55</v>
      </c>
      <c r="G636" s="54" t="n">
        <v>22</v>
      </c>
      <c r="H636" s="54" t="inlineStr">
        <is>
          <t>Uploaded PDF: Munitorum Field Manual v2.3 / March 2025</t>
        </is>
      </c>
    </row>
    <row r="637">
      <c r="A637" s="54" t="inlineStr">
        <is>
          <t>Genestealer Cults</t>
        </is>
      </c>
      <c r="B637" s="54" t="inlineStr">
        <is>
          <t>Kelermorph</t>
        </is>
      </c>
      <c r="C637" s="54" t="inlineStr">
        <is>
          <t>1 model</t>
        </is>
      </c>
      <c r="D637" s="55" t="n">
        <v>60</v>
      </c>
      <c r="E637" s="55" t="inlineStr">
        <is>
          <t>Kelermorph — 1 model (60 pts)</t>
        </is>
      </c>
      <c r="F637" s="55" t="n">
        <v>60</v>
      </c>
      <c r="G637" s="54" t="n">
        <v>22</v>
      </c>
      <c r="H637" s="54" t="inlineStr">
        <is>
          <t>Uploaded PDF: Munitorum Field Manual v2.3 / March 2025</t>
        </is>
      </c>
    </row>
    <row r="638">
      <c r="A638" s="54" t="inlineStr">
        <is>
          <t>Genestealer Cults</t>
        </is>
      </c>
      <c r="B638" s="54" t="inlineStr">
        <is>
          <t>Locus</t>
        </is>
      </c>
      <c r="C638" s="54" t="inlineStr">
        <is>
          <t>1 model</t>
        </is>
      </c>
      <c r="D638" s="55" t="n">
        <v>45</v>
      </c>
      <c r="E638" s="55" t="inlineStr">
        <is>
          <t>Locus — 1 model (45 pts)</t>
        </is>
      </c>
      <c r="F638" s="55" t="n">
        <v>45</v>
      </c>
      <c r="G638" s="54" t="n">
        <v>22</v>
      </c>
      <c r="H638" s="54" t="inlineStr">
        <is>
          <t>Uploaded PDF: Munitorum Field Manual v2.3 / March 2025</t>
        </is>
      </c>
    </row>
    <row r="639">
      <c r="A639" s="54" t="inlineStr">
        <is>
          <t>Genestealer Cults</t>
        </is>
      </c>
      <c r="B639" s="54" t="inlineStr">
        <is>
          <t>Magus</t>
        </is>
      </c>
      <c r="C639" s="54" t="inlineStr">
        <is>
          <t>1 model</t>
        </is>
      </c>
      <c r="D639" s="55" t="n">
        <v>50</v>
      </c>
      <c r="E639" s="55" t="inlineStr">
        <is>
          <t>Magus — 1 model (50 pts)</t>
        </is>
      </c>
      <c r="F639" s="55" t="n">
        <v>50</v>
      </c>
      <c r="G639" s="54" t="n">
        <v>22</v>
      </c>
      <c r="H639" s="54" t="inlineStr">
        <is>
          <t>Uploaded PDF: Munitorum Field Manual v2.3 / March 2025</t>
        </is>
      </c>
    </row>
    <row r="640">
      <c r="A640" s="54" t="inlineStr">
        <is>
          <t>Genestealer Cults</t>
        </is>
      </c>
      <c r="B640" s="54" t="inlineStr">
        <is>
          <t>Neophyte Hybrids</t>
        </is>
      </c>
      <c r="C640" s="54" t="inlineStr">
        <is>
          <t>10 models</t>
        </is>
      </c>
      <c r="D640" s="55" t="n">
        <v>65</v>
      </c>
      <c r="E640" s="55" t="inlineStr">
        <is>
          <t>Neophyte Hybrids — 10 models (65 pts)</t>
        </is>
      </c>
      <c r="F640" s="55" t="n">
        <v>65</v>
      </c>
      <c r="G640" s="54" t="n">
        <v>22</v>
      </c>
      <c r="H640" s="54" t="inlineStr">
        <is>
          <t>Uploaded PDF: Munitorum Field Manual v2.3 / March 2025</t>
        </is>
      </c>
    </row>
    <row r="641">
      <c r="A641" s="54" t="inlineStr">
        <is>
          <t>Genestealer Cults</t>
        </is>
      </c>
      <c r="B641" s="54" t="inlineStr">
        <is>
          <t>Neophyte Hybrids</t>
        </is>
      </c>
      <c r="C641" s="54" t="inlineStr">
        <is>
          <t>20 models</t>
        </is>
      </c>
      <c r="D641" s="55" t="n">
        <v>145</v>
      </c>
      <c r="E641" s="55" t="inlineStr">
        <is>
          <t>Neophyte Hybrids — 20 models (145 pts)</t>
        </is>
      </c>
      <c r="F641" s="55" t="n">
        <v>145</v>
      </c>
      <c r="G641" s="54" t="n">
        <v>22</v>
      </c>
      <c r="H641" s="54" t="inlineStr">
        <is>
          <t>Uploaded PDF: Munitorum Field Manual v2.3 / March 2025</t>
        </is>
      </c>
    </row>
    <row r="642">
      <c r="A642" s="54" t="inlineStr">
        <is>
          <t>Genestealer Cults</t>
        </is>
      </c>
      <c r="B642" s="54" t="inlineStr">
        <is>
          <t>Nexos</t>
        </is>
      </c>
      <c r="C642" s="54" t="inlineStr">
        <is>
          <t>1 model</t>
        </is>
      </c>
      <c r="D642" s="55" t="n">
        <v>60</v>
      </c>
      <c r="E642" s="55" t="inlineStr">
        <is>
          <t>Nexos — 1 model (60 pts)</t>
        </is>
      </c>
      <c r="F642" s="55" t="n">
        <v>60</v>
      </c>
      <c r="G642" s="54" t="n">
        <v>22</v>
      </c>
      <c r="H642" s="54" t="inlineStr">
        <is>
          <t>Uploaded PDF: Munitorum Field Manual v2.3 / March 2025</t>
        </is>
      </c>
    </row>
    <row r="643">
      <c r="A643" s="54" t="inlineStr">
        <is>
          <t>Genestealer Cults</t>
        </is>
      </c>
      <c r="B643" s="54" t="inlineStr">
        <is>
          <t>Patriarch</t>
        </is>
      </c>
      <c r="C643" s="54" t="inlineStr">
        <is>
          <t>1 model</t>
        </is>
      </c>
      <c r="D643" s="55" t="n">
        <v>75</v>
      </c>
      <c r="E643" s="55" t="inlineStr">
        <is>
          <t>Patriarch — 1 model (75 pts)</t>
        </is>
      </c>
      <c r="F643" s="55" t="n">
        <v>75</v>
      </c>
      <c r="G643" s="54" t="n">
        <v>22</v>
      </c>
      <c r="H643" s="54" t="inlineStr">
        <is>
          <t>Uploaded PDF: Munitorum Field Manual v2.3 / March 2025</t>
        </is>
      </c>
    </row>
    <row r="644">
      <c r="A644" s="54" t="inlineStr">
        <is>
          <t>Genestealer Cults</t>
        </is>
      </c>
      <c r="B644" s="54" t="inlineStr">
        <is>
          <t>Primus</t>
        </is>
      </c>
      <c r="C644" s="54" t="inlineStr">
        <is>
          <t>1 model</t>
        </is>
      </c>
      <c r="D644" s="55" t="n">
        <v>80</v>
      </c>
      <c r="E644" s="55" t="inlineStr">
        <is>
          <t>Primus — 1 model (80 pts)</t>
        </is>
      </c>
      <c r="F644" s="55" t="n">
        <v>80</v>
      </c>
      <c r="G644" s="54" t="n">
        <v>22</v>
      </c>
      <c r="H644" s="54" t="inlineStr">
        <is>
          <t>Uploaded PDF: Munitorum Field Manual v2.3 / March 2025</t>
        </is>
      </c>
    </row>
    <row r="645">
      <c r="A645" s="54" t="inlineStr">
        <is>
          <t>Genestealer Cults</t>
        </is>
      </c>
      <c r="B645" s="54" t="inlineStr">
        <is>
          <t>Purestrain Genestealers</t>
        </is>
      </c>
      <c r="C645" s="54" t="inlineStr">
        <is>
          <t>5 models</t>
        </is>
      </c>
      <c r="D645" s="55" t="n">
        <v>75</v>
      </c>
      <c r="E645" s="55" t="inlineStr">
        <is>
          <t>Purestrain Genestealers — 5 models (75 pts)</t>
        </is>
      </c>
      <c r="F645" s="55" t="n">
        <v>75</v>
      </c>
      <c r="G645" s="54" t="n">
        <v>22</v>
      </c>
      <c r="H645" s="54" t="inlineStr">
        <is>
          <t>Uploaded PDF: Munitorum Field Manual v2.3 / March 2025</t>
        </is>
      </c>
    </row>
    <row r="646">
      <c r="A646" s="54" t="inlineStr">
        <is>
          <t>Genestealer Cults</t>
        </is>
      </c>
      <c r="B646" s="54" t="inlineStr">
        <is>
          <t>Purestrain Genestealers</t>
        </is>
      </c>
      <c r="C646" s="54" t="inlineStr">
        <is>
          <t>10 models</t>
        </is>
      </c>
      <c r="D646" s="55" t="n">
        <v>150</v>
      </c>
      <c r="E646" s="55" t="inlineStr">
        <is>
          <t>Purestrain Genestealers — 10 models (150 pts)</t>
        </is>
      </c>
      <c r="F646" s="55" t="n">
        <v>150</v>
      </c>
      <c r="G646" s="54" t="n">
        <v>22</v>
      </c>
      <c r="H646" s="54" t="inlineStr">
        <is>
          <t>Uploaded PDF: Munitorum Field Manual v2.3 / March 2025</t>
        </is>
      </c>
    </row>
    <row r="647">
      <c r="A647" s="54" t="inlineStr">
        <is>
          <t>Genestealer Cults</t>
        </is>
      </c>
      <c r="B647" s="54" t="inlineStr">
        <is>
          <t>Reductus Saboteur</t>
        </is>
      </c>
      <c r="C647" s="54" t="inlineStr">
        <is>
          <t>1 model</t>
        </is>
      </c>
      <c r="D647" s="55" t="n">
        <v>65</v>
      </c>
      <c r="E647" s="55" t="inlineStr">
        <is>
          <t>Reductus Saboteur — 1 model (65 pts)</t>
        </is>
      </c>
      <c r="F647" s="55" t="n">
        <v>65</v>
      </c>
      <c r="G647" s="54" t="n">
        <v>22</v>
      </c>
      <c r="H647" s="54" t="inlineStr">
        <is>
          <t>Uploaded PDF: Munitorum Field Manual v2.3 / March 2025</t>
        </is>
      </c>
    </row>
    <row r="648">
      <c r="A648" s="54" t="inlineStr">
        <is>
          <t>Genestealer Cults</t>
        </is>
      </c>
      <c r="B648" s="54" t="inlineStr">
        <is>
          <t>Sanctus</t>
        </is>
      </c>
      <c r="C648" s="54" t="inlineStr">
        <is>
          <t>1 model</t>
        </is>
      </c>
      <c r="D648" s="55" t="n">
        <v>50</v>
      </c>
      <c r="E648" s="55" t="inlineStr">
        <is>
          <t>Sanctus — 1 model (50 pts)</t>
        </is>
      </c>
      <c r="F648" s="55" t="n">
        <v>50</v>
      </c>
      <c r="G648" s="54" t="n">
        <v>22</v>
      </c>
      <c r="H648" s="54" t="inlineStr">
        <is>
          <t>Uploaded PDF: Munitorum Field Manual v2.3 / March 2025</t>
        </is>
      </c>
    </row>
    <row r="649">
      <c r="A649" s="54" t="inlineStr">
        <is>
          <t>Grey Knights</t>
        </is>
      </c>
      <c r="B649" s="54" t="inlineStr">
        <is>
          <t>Brother-Captain</t>
        </is>
      </c>
      <c r="C649" s="54" t="inlineStr">
        <is>
          <t>1 model</t>
        </is>
      </c>
      <c r="D649" s="55" t="n">
        <v>90</v>
      </c>
      <c r="E649" s="55" t="inlineStr">
        <is>
          <t>Brother-Captain — 1 model (90 pts)</t>
        </is>
      </c>
      <c r="F649" s="55" t="n">
        <v>90</v>
      </c>
      <c r="G649" s="54" t="n">
        <v>23</v>
      </c>
      <c r="H649" s="54" t="inlineStr">
        <is>
          <t>Uploaded PDF: Munitorum Field Manual v2.3 / March 2025</t>
        </is>
      </c>
    </row>
    <row r="650">
      <c r="A650" s="54" t="inlineStr">
        <is>
          <t>Grey Knights</t>
        </is>
      </c>
      <c r="B650" s="54" t="inlineStr">
        <is>
          <t>Brother-Captain Stern</t>
        </is>
      </c>
      <c r="C650" s="54" t="inlineStr">
        <is>
          <t>1 model</t>
        </is>
      </c>
      <c r="D650" s="55" t="n">
        <v>90</v>
      </c>
      <c r="E650" s="55" t="inlineStr">
        <is>
          <t>Brother-Captain Stern — 1 model (90 pts)</t>
        </is>
      </c>
      <c r="F650" s="55" t="n">
        <v>90</v>
      </c>
      <c r="G650" s="54" t="n">
        <v>23</v>
      </c>
      <c r="H650" s="54" t="inlineStr">
        <is>
          <t>Uploaded PDF: Munitorum Field Manual v2.3 / March 2025</t>
        </is>
      </c>
    </row>
    <row r="651">
      <c r="A651" s="54" t="inlineStr">
        <is>
          <t>Grey Knights</t>
        </is>
      </c>
      <c r="B651" s="54" t="inlineStr">
        <is>
          <t>Brotherhood Champion</t>
        </is>
      </c>
      <c r="C651" s="54" t="inlineStr">
        <is>
          <t>1 model</t>
        </is>
      </c>
      <c r="D651" s="55" t="n">
        <v>80</v>
      </c>
      <c r="E651" s="55" t="inlineStr">
        <is>
          <t>Brotherhood Champion — 1 model (80 pts)</t>
        </is>
      </c>
      <c r="F651" s="55" t="n">
        <v>80</v>
      </c>
      <c r="G651" s="54" t="n">
        <v>23</v>
      </c>
      <c r="H651" s="54" t="inlineStr">
        <is>
          <t>Uploaded PDF: Munitorum Field Manual v2.3 / March 2025</t>
        </is>
      </c>
    </row>
    <row r="652">
      <c r="A652" s="54" t="inlineStr">
        <is>
          <t>Grey Knights</t>
        </is>
      </c>
      <c r="B652" s="54" t="inlineStr">
        <is>
          <t>Brotherhood Chaplain</t>
        </is>
      </c>
      <c r="C652" s="54" t="inlineStr">
        <is>
          <t>1 model</t>
        </is>
      </c>
      <c r="D652" s="55" t="n">
        <v>75</v>
      </c>
      <c r="E652" s="55" t="inlineStr">
        <is>
          <t>Brotherhood Chaplain — 1 model (75 pts)</t>
        </is>
      </c>
      <c r="F652" s="55" t="n">
        <v>75</v>
      </c>
      <c r="G652" s="54" t="n">
        <v>23</v>
      </c>
      <c r="H652" s="54" t="inlineStr">
        <is>
          <t>Uploaded PDF: Munitorum Field Manual v2.3 / March 2025</t>
        </is>
      </c>
    </row>
    <row r="653">
      <c r="A653" s="54" t="inlineStr">
        <is>
          <t>Grey Knights</t>
        </is>
      </c>
      <c r="B653" s="54" t="inlineStr">
        <is>
          <t>Brotherhood Librarian</t>
        </is>
      </c>
      <c r="C653" s="54" t="inlineStr">
        <is>
          <t>1 model</t>
        </is>
      </c>
      <c r="D653" s="55" t="n">
        <v>120</v>
      </c>
      <c r="E653" s="55" t="inlineStr">
        <is>
          <t>Brotherhood Librarian — 1 model (120 pts)</t>
        </is>
      </c>
      <c r="F653" s="55" t="n">
        <v>120</v>
      </c>
      <c r="G653" s="54" t="n">
        <v>23</v>
      </c>
      <c r="H653" s="54" t="inlineStr">
        <is>
          <t>Uploaded PDF: Munitorum Field Manual v2.3 / March 2025</t>
        </is>
      </c>
    </row>
    <row r="654">
      <c r="A654" s="54" t="inlineStr">
        <is>
          <t>Grey Knights</t>
        </is>
      </c>
      <c r="B654" s="54" t="inlineStr">
        <is>
          <t>Brotherhood Techmarine</t>
        </is>
      </c>
      <c r="C654" s="54" t="inlineStr">
        <is>
          <t>1 model</t>
        </is>
      </c>
      <c r="D654" s="55" t="n">
        <v>70</v>
      </c>
      <c r="E654" s="55" t="inlineStr">
        <is>
          <t>Brotherhood Techmarine — 1 model (70 pts)</t>
        </is>
      </c>
      <c r="F654" s="55" t="n">
        <v>70</v>
      </c>
      <c r="G654" s="54" t="n">
        <v>23</v>
      </c>
      <c r="H654" s="54" t="inlineStr">
        <is>
          <t>Uploaded PDF: Munitorum Field Manual v2.3 / March 2025</t>
        </is>
      </c>
    </row>
    <row r="655">
      <c r="A655" s="54" t="inlineStr">
        <is>
          <t>Grey Knights</t>
        </is>
      </c>
      <c r="B655" s="54" t="inlineStr">
        <is>
          <t>Brotherhood Terminator Squad</t>
        </is>
      </c>
      <c r="C655" s="54" t="inlineStr">
        <is>
          <t>5 models</t>
        </is>
      </c>
      <c r="D655" s="55" t="n">
        <v>200</v>
      </c>
      <c r="E655" s="55" t="inlineStr">
        <is>
          <t>Brotherhood Terminator Squad — 5 models (200 pts)</t>
        </is>
      </c>
      <c r="F655" s="55" t="n">
        <v>200</v>
      </c>
      <c r="G655" s="54" t="n">
        <v>23</v>
      </c>
      <c r="H655" s="54" t="inlineStr">
        <is>
          <t>Uploaded PDF: Munitorum Field Manual v2.3 / March 2025</t>
        </is>
      </c>
    </row>
    <row r="656">
      <c r="A656" s="54" t="inlineStr">
        <is>
          <t>Grey Knights</t>
        </is>
      </c>
      <c r="B656" s="54" t="inlineStr">
        <is>
          <t>Brotherhood Terminator Squad</t>
        </is>
      </c>
      <c r="C656" s="54" t="inlineStr">
        <is>
          <t>10 models</t>
        </is>
      </c>
      <c r="D656" s="55" t="n">
        <v>420</v>
      </c>
      <c r="E656" s="55" t="inlineStr">
        <is>
          <t>Brotherhood Terminator Squad — 10 models (420 pts)</t>
        </is>
      </c>
      <c r="F656" s="55" t="n">
        <v>420</v>
      </c>
      <c r="G656" s="54" t="n">
        <v>23</v>
      </c>
      <c r="H656" s="54" t="inlineStr">
        <is>
          <t>Uploaded PDF: Munitorum Field Manual v2.3 / March 2025</t>
        </is>
      </c>
    </row>
    <row r="657">
      <c r="A657" s="54" t="inlineStr">
        <is>
          <t>Grey Knights</t>
        </is>
      </c>
      <c r="B657" s="54" t="inlineStr">
        <is>
          <t>Castellan Crowe</t>
        </is>
      </c>
      <c r="C657" s="54" t="inlineStr">
        <is>
          <t>1 model</t>
        </is>
      </c>
      <c r="D657" s="55" t="n">
        <v>90</v>
      </c>
      <c r="E657" s="55" t="inlineStr">
        <is>
          <t>Castellan Crowe — 1 model (90 pts)</t>
        </is>
      </c>
      <c r="F657" s="55" t="n">
        <v>90</v>
      </c>
      <c r="G657" s="54" t="n">
        <v>23</v>
      </c>
      <c r="H657" s="54" t="inlineStr">
        <is>
          <t>Uploaded PDF: Munitorum Field Manual v2.3 / March 2025</t>
        </is>
      </c>
    </row>
    <row r="658">
      <c r="A658" s="54" t="inlineStr">
        <is>
          <t>Grey Knights</t>
        </is>
      </c>
      <c r="B658" s="54" t="inlineStr">
        <is>
          <t>Grand Master</t>
        </is>
      </c>
      <c r="C658" s="54" t="inlineStr">
        <is>
          <t>1 model</t>
        </is>
      </c>
      <c r="D658" s="55" t="n">
        <v>95</v>
      </c>
      <c r="E658" s="55" t="inlineStr">
        <is>
          <t>Grand Master — 1 model (95 pts)</t>
        </is>
      </c>
      <c r="F658" s="55" t="n">
        <v>95</v>
      </c>
      <c r="G658" s="54" t="n">
        <v>23</v>
      </c>
      <c r="H658" s="54" t="inlineStr">
        <is>
          <t>Uploaded PDF: Munitorum Field Manual v2.3 / March 2025</t>
        </is>
      </c>
    </row>
    <row r="659">
      <c r="A659" s="54" t="inlineStr">
        <is>
          <t>Grey Knights</t>
        </is>
      </c>
      <c r="B659" s="54" t="inlineStr">
        <is>
          <t>Grand Master in Nemesis Dreadknight</t>
        </is>
      </c>
      <c r="C659" s="54" t="inlineStr">
        <is>
          <t>1 model</t>
        </is>
      </c>
      <c r="D659" s="55" t="n">
        <v>210</v>
      </c>
      <c r="E659" s="55" t="inlineStr">
        <is>
          <t>Grand Master in Nemesis Dreadknight — 1 model (210 pts)</t>
        </is>
      </c>
      <c r="F659" s="55" t="n">
        <v>210</v>
      </c>
      <c r="G659" s="54" t="n">
        <v>23</v>
      </c>
      <c r="H659" s="54" t="inlineStr">
        <is>
          <t>Uploaded PDF: Munitorum Field Manual v2.3 / March 2025</t>
        </is>
      </c>
    </row>
    <row r="660">
      <c r="A660" s="54" t="inlineStr">
        <is>
          <t>Grey Knights</t>
        </is>
      </c>
      <c r="B660" s="54" t="inlineStr">
        <is>
          <t>Grand Master Voldus</t>
        </is>
      </c>
      <c r="C660" s="54" t="inlineStr">
        <is>
          <t>1 model</t>
        </is>
      </c>
      <c r="D660" s="55" t="n">
        <v>95</v>
      </c>
      <c r="E660" s="55" t="inlineStr">
        <is>
          <t>Grand Master Voldus — 1 model (95 pts)</t>
        </is>
      </c>
      <c r="F660" s="55" t="n">
        <v>95</v>
      </c>
      <c r="G660" s="54" t="n">
        <v>23</v>
      </c>
      <c r="H660" s="54" t="inlineStr">
        <is>
          <t>Uploaded PDF: Munitorum Field Manual v2.3 / March 2025</t>
        </is>
      </c>
    </row>
    <row r="661">
      <c r="A661" s="54" t="inlineStr">
        <is>
          <t>Grey Knights</t>
        </is>
      </c>
      <c r="B661" s="54" t="inlineStr">
        <is>
          <t>Grey Knights Land Raider</t>
        </is>
      </c>
      <c r="C661" s="54" t="inlineStr">
        <is>
          <t>1 model</t>
        </is>
      </c>
      <c r="D661" s="55" t="n">
        <v>240</v>
      </c>
      <c r="E661" s="55" t="inlineStr">
        <is>
          <t>Grey Knights Land Raider — 1 model (240 pts)</t>
        </is>
      </c>
      <c r="F661" s="55" t="n">
        <v>240</v>
      </c>
      <c r="G661" s="54" t="n">
        <v>23</v>
      </c>
      <c r="H661" s="54" t="inlineStr">
        <is>
          <t>Uploaded PDF: Munitorum Field Manual v2.3 / March 2025</t>
        </is>
      </c>
    </row>
    <row r="662">
      <c r="A662" s="54" t="inlineStr">
        <is>
          <t>Grey Knights</t>
        </is>
      </c>
      <c r="B662" s="54" t="inlineStr">
        <is>
          <t>Grey Knights Land Raider Crusader</t>
        </is>
      </c>
      <c r="C662" s="54" t="inlineStr">
        <is>
          <t>1 model</t>
        </is>
      </c>
      <c r="D662" s="55" t="n">
        <v>220</v>
      </c>
      <c r="E662" s="55" t="inlineStr">
        <is>
          <t>Grey Knights Land Raider Crusader — 1 model (220 pts)</t>
        </is>
      </c>
      <c r="F662" s="55" t="n">
        <v>220</v>
      </c>
      <c r="G662" s="54" t="n">
        <v>23</v>
      </c>
      <c r="H662" s="54" t="inlineStr">
        <is>
          <t>Uploaded PDF: Munitorum Field Manual v2.3 / March 2025</t>
        </is>
      </c>
    </row>
    <row r="663">
      <c r="A663" s="54" t="inlineStr">
        <is>
          <t>Grey Knights</t>
        </is>
      </c>
      <c r="B663" s="54" t="inlineStr">
        <is>
          <t>Grey Knights Land Raider Redeemer</t>
        </is>
      </c>
      <c r="C663" s="54" t="inlineStr">
        <is>
          <t>1 model</t>
        </is>
      </c>
      <c r="D663" s="55" t="n">
        <v>285</v>
      </c>
      <c r="E663" s="55" t="inlineStr">
        <is>
          <t>Grey Knights Land Raider Redeemer — 1 model (285 pts)</t>
        </is>
      </c>
      <c r="F663" s="55" t="n">
        <v>285</v>
      </c>
      <c r="G663" s="54" t="n">
        <v>23</v>
      </c>
      <c r="H663" s="54" t="inlineStr">
        <is>
          <t>Uploaded PDF: Munitorum Field Manual v2.3 / March 2025</t>
        </is>
      </c>
    </row>
    <row r="664">
      <c r="A664" s="54" t="inlineStr">
        <is>
          <t>Grey Knights</t>
        </is>
      </c>
      <c r="B664" s="54" t="inlineStr">
        <is>
          <t>Grey Knights Razorback</t>
        </is>
      </c>
      <c r="C664" s="54" t="inlineStr">
        <is>
          <t>1 model</t>
        </is>
      </c>
      <c r="D664" s="55" t="n">
        <v>85</v>
      </c>
      <c r="E664" s="55" t="inlineStr">
        <is>
          <t>Grey Knights Razorback — 1 model (85 pts)</t>
        </is>
      </c>
      <c r="F664" s="55" t="n">
        <v>85</v>
      </c>
      <c r="G664" s="54" t="n">
        <v>23</v>
      </c>
      <c r="H664" s="54" t="inlineStr">
        <is>
          <t>Uploaded PDF: Munitorum Field Manual v2.3 / March 2025</t>
        </is>
      </c>
    </row>
    <row r="665">
      <c r="A665" s="54" t="inlineStr">
        <is>
          <t>Grey Knights</t>
        </is>
      </c>
      <c r="B665" s="54" t="inlineStr">
        <is>
          <t>Grey Knights Rhino</t>
        </is>
      </c>
      <c r="C665" s="54" t="inlineStr">
        <is>
          <t>1 model</t>
        </is>
      </c>
      <c r="D665" s="55" t="n">
        <v>75</v>
      </c>
      <c r="E665" s="55" t="inlineStr">
        <is>
          <t>Grey Knights Rhino — 1 model (75 pts)</t>
        </is>
      </c>
      <c r="F665" s="55" t="n">
        <v>75</v>
      </c>
      <c r="G665" s="54" t="n">
        <v>23</v>
      </c>
      <c r="H665" s="54" t="inlineStr">
        <is>
          <t>Uploaded PDF: Munitorum Field Manual v2.3 / March 2025</t>
        </is>
      </c>
    </row>
    <row r="666">
      <c r="A666" s="54" t="inlineStr">
        <is>
          <t>Grey Knights</t>
        </is>
      </c>
      <c r="B666" s="54" t="inlineStr">
        <is>
          <t>Grey Knights Stormhawk Interceptor</t>
        </is>
      </c>
      <c r="C666" s="54" t="inlineStr">
        <is>
          <t>1 model</t>
        </is>
      </c>
      <c r="D666" s="55" t="n">
        <v>160</v>
      </c>
      <c r="E666" s="55" t="inlineStr">
        <is>
          <t>Grey Knights Stormhawk Interceptor — 1 model (160 pts)</t>
        </is>
      </c>
      <c r="F666" s="55" t="n">
        <v>160</v>
      </c>
      <c r="G666" s="54" t="n">
        <v>23</v>
      </c>
      <c r="H666" s="54" t="inlineStr">
        <is>
          <t>Uploaded PDF: Munitorum Field Manual v2.3 / March 2025</t>
        </is>
      </c>
    </row>
    <row r="667">
      <c r="A667" s="54" t="inlineStr">
        <is>
          <t>Grey Knights</t>
        </is>
      </c>
      <c r="B667" s="54" t="inlineStr">
        <is>
          <t>Grey Knights Stormraven Gunship</t>
        </is>
      </c>
      <c r="C667" s="54" t="inlineStr">
        <is>
          <t>1 model</t>
        </is>
      </c>
      <c r="D667" s="55" t="n">
        <v>280</v>
      </c>
      <c r="E667" s="55" t="inlineStr">
        <is>
          <t>Grey Knights Stormraven Gunship — 1 model (280 pts)</t>
        </is>
      </c>
      <c r="F667" s="55" t="n">
        <v>280</v>
      </c>
      <c r="G667" s="54" t="n">
        <v>23</v>
      </c>
      <c r="H667" s="54" t="inlineStr">
        <is>
          <t>Uploaded PDF: Munitorum Field Manual v2.3 / March 2025</t>
        </is>
      </c>
    </row>
    <row r="668">
      <c r="A668" s="54" t="inlineStr">
        <is>
          <t>Grey Knights</t>
        </is>
      </c>
      <c r="B668" s="54" t="inlineStr">
        <is>
          <t>Grey Knights Stormtalon Gunship</t>
        </is>
      </c>
      <c r="C668" s="54" t="inlineStr">
        <is>
          <t>1 model</t>
        </is>
      </c>
      <c r="D668" s="55" t="n">
        <v>170</v>
      </c>
      <c r="E668" s="55" t="inlineStr">
        <is>
          <t>Grey Knights Stormtalon Gunship — 1 model (170 pts)</t>
        </is>
      </c>
      <c r="F668" s="55" t="n">
        <v>170</v>
      </c>
      <c r="G668" s="54" t="n">
        <v>23</v>
      </c>
      <c r="H668" s="54" t="inlineStr">
        <is>
          <t>Uploaded PDF: Munitorum Field Manual v2.3 / March 2025</t>
        </is>
      </c>
    </row>
    <row r="669">
      <c r="A669" s="54" t="inlineStr">
        <is>
          <t>Grey Knights</t>
        </is>
      </c>
      <c r="B669" s="54" t="inlineStr">
        <is>
          <t>Grey Knights Venerable Dreadnought</t>
        </is>
      </c>
      <c r="C669" s="54" t="inlineStr">
        <is>
          <t>1 model</t>
        </is>
      </c>
      <c r="D669" s="55" t="n">
        <v>155</v>
      </c>
      <c r="E669" s="55" t="inlineStr">
        <is>
          <t>Grey Knights Venerable Dreadnought — 1 model (155 pts)</t>
        </is>
      </c>
      <c r="F669" s="55" t="n">
        <v>155</v>
      </c>
      <c r="G669" s="54" t="n">
        <v>23</v>
      </c>
      <c r="H669" s="54" t="inlineStr">
        <is>
          <t>Uploaded PDF: Munitorum Field Manual v2.3 / March 2025</t>
        </is>
      </c>
    </row>
    <row r="670">
      <c r="A670" s="54" t="inlineStr">
        <is>
          <t>Grey Knights</t>
        </is>
      </c>
      <c r="B670" s="54" t="inlineStr">
        <is>
          <t>Interceptor Squad</t>
        </is>
      </c>
      <c r="C670" s="54" t="inlineStr">
        <is>
          <t>5 models</t>
        </is>
      </c>
      <c r="D670" s="55" t="n">
        <v>125</v>
      </c>
      <c r="E670" s="55" t="inlineStr">
        <is>
          <t>Interceptor Squad — 5 models (125 pts)</t>
        </is>
      </c>
      <c r="F670" s="55" t="n">
        <v>125</v>
      </c>
      <c r="G670" s="54" t="n">
        <v>23</v>
      </c>
      <c r="H670" s="54" t="inlineStr">
        <is>
          <t>Uploaded PDF: Munitorum Field Manual v2.3 / March 2025</t>
        </is>
      </c>
    </row>
    <row r="671">
      <c r="A671" s="54" t="inlineStr">
        <is>
          <t>Grey Knights</t>
        </is>
      </c>
      <c r="B671" s="54" t="inlineStr">
        <is>
          <t>Interceptor Squad</t>
        </is>
      </c>
      <c r="C671" s="54" t="inlineStr">
        <is>
          <t>10 models</t>
        </is>
      </c>
      <c r="D671" s="55" t="n">
        <v>250</v>
      </c>
      <c r="E671" s="55" t="inlineStr">
        <is>
          <t>Interceptor Squad — 10 models (250 pts)</t>
        </is>
      </c>
      <c r="F671" s="55" t="n">
        <v>250</v>
      </c>
      <c r="G671" s="54" t="n">
        <v>23</v>
      </c>
      <c r="H671" s="54" t="inlineStr">
        <is>
          <t>Uploaded PDF: Munitorum Field Manual v2.3 / March 2025</t>
        </is>
      </c>
    </row>
    <row r="672">
      <c r="A672" s="54" t="inlineStr">
        <is>
          <t>Grey Knights</t>
        </is>
      </c>
      <c r="B672" s="54" t="inlineStr">
        <is>
          <t>Kaldor Draigo</t>
        </is>
      </c>
      <c r="C672" s="54" t="inlineStr">
        <is>
          <t>1 model</t>
        </is>
      </c>
      <c r="D672" s="55" t="n">
        <v>125</v>
      </c>
      <c r="E672" s="55" t="inlineStr">
        <is>
          <t>Kaldor Draigo — 1 model (125 pts)</t>
        </is>
      </c>
      <c r="F672" s="55" t="n">
        <v>125</v>
      </c>
      <c r="G672" s="54" t="n">
        <v>23</v>
      </c>
      <c r="H672" s="54" t="inlineStr">
        <is>
          <t>Uploaded PDF: Munitorum Field Manual v2.3 / March 2025</t>
        </is>
      </c>
    </row>
    <row r="673">
      <c r="A673" s="54" t="inlineStr">
        <is>
          <t>Grey Knights</t>
        </is>
      </c>
      <c r="B673" s="54" t="inlineStr">
        <is>
          <t>Nemesis Dreadknight</t>
        </is>
      </c>
      <c r="C673" s="54" t="inlineStr">
        <is>
          <t>1 model</t>
        </is>
      </c>
      <c r="D673" s="55" t="n">
        <v>210</v>
      </c>
      <c r="E673" s="55" t="inlineStr">
        <is>
          <t>Nemesis Dreadknight — 1 model (210 pts)</t>
        </is>
      </c>
      <c r="F673" s="55" t="n">
        <v>210</v>
      </c>
      <c r="G673" s="54" t="n">
        <v>23</v>
      </c>
      <c r="H673" s="54" t="inlineStr">
        <is>
          <t>Uploaded PDF: Munitorum Field Manual v2.3 / March 2025</t>
        </is>
      </c>
    </row>
    <row r="674">
      <c r="A674" s="54" t="inlineStr">
        <is>
          <t>Grey Knights</t>
        </is>
      </c>
      <c r="B674" s="54" t="inlineStr">
        <is>
          <t>Paladin Squad</t>
        </is>
      </c>
      <c r="C674" s="54" t="inlineStr">
        <is>
          <t>5 models</t>
        </is>
      </c>
      <c r="D674" s="55" t="n">
        <v>215</v>
      </c>
      <c r="E674" s="55" t="inlineStr">
        <is>
          <t>Paladin Squad — 5 models (215 pts)</t>
        </is>
      </c>
      <c r="F674" s="55" t="n">
        <v>215</v>
      </c>
      <c r="G674" s="54" t="n">
        <v>23</v>
      </c>
      <c r="H674" s="54" t="inlineStr">
        <is>
          <t>Uploaded PDF: Munitorum Field Manual v2.3 / March 2025</t>
        </is>
      </c>
    </row>
    <row r="675">
      <c r="A675" s="54" t="inlineStr">
        <is>
          <t>Grey Knights</t>
        </is>
      </c>
      <c r="B675" s="54" t="inlineStr">
        <is>
          <t>Paladin Squad</t>
        </is>
      </c>
      <c r="C675" s="54" t="inlineStr">
        <is>
          <t>10 models</t>
        </is>
      </c>
      <c r="D675" s="55" t="n">
        <v>450</v>
      </c>
      <c r="E675" s="55" t="inlineStr">
        <is>
          <t>Paladin Squad — 10 models (450 pts)</t>
        </is>
      </c>
      <c r="F675" s="55" t="n">
        <v>450</v>
      </c>
      <c r="G675" s="54" t="n">
        <v>23</v>
      </c>
      <c r="H675" s="54" t="inlineStr">
        <is>
          <t>Uploaded PDF: Munitorum Field Manual v2.3 / March 2025</t>
        </is>
      </c>
    </row>
    <row r="676">
      <c r="A676" s="54" t="inlineStr">
        <is>
          <t>Grey Knights</t>
        </is>
      </c>
      <c r="B676" s="54" t="inlineStr">
        <is>
          <t>Purgation Squad</t>
        </is>
      </c>
      <c r="C676" s="54" t="inlineStr">
        <is>
          <t>5 models</t>
        </is>
      </c>
      <c r="D676" s="55" t="n">
        <v>120</v>
      </c>
      <c r="E676" s="55" t="inlineStr">
        <is>
          <t>Purgation Squad — 5 models (120 pts)</t>
        </is>
      </c>
      <c r="F676" s="55" t="n">
        <v>120</v>
      </c>
      <c r="G676" s="54" t="n">
        <v>23</v>
      </c>
      <c r="H676" s="54" t="inlineStr">
        <is>
          <t>Uploaded PDF: Munitorum Field Manual v2.3 / March 2025</t>
        </is>
      </c>
    </row>
    <row r="677">
      <c r="A677" s="54" t="inlineStr">
        <is>
          <t>Grey Knights</t>
        </is>
      </c>
      <c r="B677" s="54" t="inlineStr">
        <is>
          <t>Purgation Squad</t>
        </is>
      </c>
      <c r="C677" s="54" t="inlineStr">
        <is>
          <t>10 models</t>
        </is>
      </c>
      <c r="D677" s="55" t="n">
        <v>240</v>
      </c>
      <c r="E677" s="55" t="inlineStr">
        <is>
          <t>Purgation Squad — 10 models (240 pts)</t>
        </is>
      </c>
      <c r="F677" s="55" t="n">
        <v>240</v>
      </c>
      <c r="G677" s="54" t="n">
        <v>23</v>
      </c>
      <c r="H677" s="54" t="inlineStr">
        <is>
          <t>Uploaded PDF: Munitorum Field Manual v2.3 / March 2025</t>
        </is>
      </c>
    </row>
    <row r="678">
      <c r="A678" s="54" t="inlineStr">
        <is>
          <t>Grey Knights</t>
        </is>
      </c>
      <c r="B678" s="54" t="inlineStr">
        <is>
          <t>Purifier Squad</t>
        </is>
      </c>
      <c r="C678" s="54" t="inlineStr">
        <is>
          <t>5 models</t>
        </is>
      </c>
      <c r="D678" s="55" t="n">
        <v>125</v>
      </c>
      <c r="E678" s="55" t="inlineStr">
        <is>
          <t>Purifier Squad — 5 models (125 pts)</t>
        </is>
      </c>
      <c r="F678" s="55" t="n">
        <v>125</v>
      </c>
      <c r="G678" s="54" t="n">
        <v>23</v>
      </c>
      <c r="H678" s="54" t="inlineStr">
        <is>
          <t>Uploaded PDF: Munitorum Field Manual v2.3 / March 2025</t>
        </is>
      </c>
    </row>
    <row r="679">
      <c r="A679" s="54" t="inlineStr">
        <is>
          <t>Grey Knights</t>
        </is>
      </c>
      <c r="B679" s="54" t="inlineStr">
        <is>
          <t>Purifier Squad</t>
        </is>
      </c>
      <c r="C679" s="54" t="inlineStr">
        <is>
          <t>10 models</t>
        </is>
      </c>
      <c r="D679" s="55" t="n">
        <v>250</v>
      </c>
      <c r="E679" s="55" t="inlineStr">
        <is>
          <t>Purifier Squad — 10 models (250 pts)</t>
        </is>
      </c>
      <c r="F679" s="55" t="n">
        <v>250</v>
      </c>
      <c r="G679" s="54" t="n">
        <v>23</v>
      </c>
      <c r="H679" s="54" t="inlineStr">
        <is>
          <t>Uploaded PDF: Munitorum Field Manual v2.3 / March 2025</t>
        </is>
      </c>
    </row>
    <row r="680">
      <c r="A680" s="54" t="inlineStr">
        <is>
          <t>Grey Knights</t>
        </is>
      </c>
      <c r="B680" s="54" t="inlineStr">
        <is>
          <t>Servitors</t>
        </is>
      </c>
      <c r="C680" s="54" t="inlineStr">
        <is>
          <t>4 models</t>
        </is>
      </c>
      <c r="D680" s="55" t="n">
        <v>50</v>
      </c>
      <c r="E680" s="55" t="inlineStr">
        <is>
          <t>Servitors — 4 models (50 pts)</t>
        </is>
      </c>
      <c r="F680" s="55" t="n">
        <v>50</v>
      </c>
      <c r="G680" s="54" t="n">
        <v>23</v>
      </c>
      <c r="H680" s="54" t="inlineStr">
        <is>
          <t>Uploaded PDF: Munitorum Field Manual v2.3 / March 2025</t>
        </is>
      </c>
    </row>
    <row r="681">
      <c r="A681" s="54" t="inlineStr">
        <is>
          <t>Grey Knights</t>
        </is>
      </c>
      <c r="B681" s="54" t="inlineStr">
        <is>
          <t>Strike Squad</t>
        </is>
      </c>
      <c r="C681" s="54" t="inlineStr">
        <is>
          <t>5 models</t>
        </is>
      </c>
      <c r="D681" s="55" t="n">
        <v>120</v>
      </c>
      <c r="E681" s="55" t="inlineStr">
        <is>
          <t>Strike Squad — 5 models (120 pts)</t>
        </is>
      </c>
      <c r="F681" s="55" t="n">
        <v>120</v>
      </c>
      <c r="G681" s="54" t="n">
        <v>23</v>
      </c>
      <c r="H681" s="54" t="inlineStr">
        <is>
          <t>Uploaded PDF: Munitorum Field Manual v2.3 / March 2025</t>
        </is>
      </c>
    </row>
    <row r="682">
      <c r="A682" s="54" t="inlineStr">
        <is>
          <t>Grey Knights</t>
        </is>
      </c>
      <c r="B682" s="54" t="inlineStr">
        <is>
          <t>Strike Squad</t>
        </is>
      </c>
      <c r="C682" s="54" t="inlineStr">
        <is>
          <t>10 models</t>
        </is>
      </c>
      <c r="D682" s="55" t="n">
        <v>240</v>
      </c>
      <c r="E682" s="55" t="inlineStr">
        <is>
          <t>Strike Squad — 10 models (240 pts)</t>
        </is>
      </c>
      <c r="F682" s="55" t="n">
        <v>240</v>
      </c>
      <c r="G682" s="54" t="n">
        <v>23</v>
      </c>
      <c r="H682" s="54" t="inlineStr">
        <is>
          <t>Uploaded PDF: Munitorum Field Manual v2.3 / March 2025</t>
        </is>
      </c>
    </row>
    <row r="683">
      <c r="A683" s="54" t="inlineStr">
        <is>
          <t>Grey Knights</t>
        </is>
      </c>
      <c r="B683" s="54" t="inlineStr">
        <is>
          <t>Grey Knights Thunderhawk Gunship</t>
        </is>
      </c>
      <c r="C683" s="54" t="inlineStr">
        <is>
          <t>1 model</t>
        </is>
      </c>
      <c r="D683" s="55" t="n">
        <v>805</v>
      </c>
      <c r="E683" s="55" t="inlineStr">
        <is>
          <t>Grey Knights Thunderhawk Gunship — 1 model (805 pts)</t>
        </is>
      </c>
      <c r="F683" s="55" t="n">
        <v>805</v>
      </c>
      <c r="G683" s="54" t="n">
        <v>23</v>
      </c>
      <c r="H683" s="54" t="inlineStr">
        <is>
          <t>Uploaded PDF: Munitorum Field Manual v2.3 / March 2025</t>
        </is>
      </c>
    </row>
    <row r="684">
      <c r="A684" s="54" t="inlineStr">
        <is>
          <t>Grey Knights</t>
        </is>
      </c>
      <c r="B684" s="54" t="inlineStr">
        <is>
          <t>Land Raider Banisher</t>
        </is>
      </c>
      <c r="C684" s="54" t="inlineStr">
        <is>
          <t>1 model</t>
        </is>
      </c>
      <c r="D684" s="55" t="n">
        <v>255</v>
      </c>
      <c r="E684" s="55" t="inlineStr">
        <is>
          <t>Land Raider Banisher — 1 model (255 pts)</t>
        </is>
      </c>
      <c r="F684" s="55" t="n">
        <v>255</v>
      </c>
      <c r="G684" s="54" t="n">
        <v>23</v>
      </c>
      <c r="H684" s="54" t="inlineStr">
        <is>
          <t>Uploaded PDF: Munitorum Field Manual v2.3 / March 2025</t>
        </is>
      </c>
    </row>
    <row r="685">
      <c r="A685" s="54" t="inlineStr">
        <is>
          <t>Imperial Agents</t>
        </is>
      </c>
      <c r="B685" s="54" t="inlineStr">
        <is>
          <t>If your Army Faction is not Agents of the Imperium, but every model in your army has the Imperium keyword, you can include Agents of the Imperium units in your army even if they do not have the Faction keyword you selected in the Select Army Faction step When doing so, use the points values shown on the following page ARMY FACTION: AGENTS OF THE IMPERIUM Callidus Assassin</t>
        </is>
      </c>
      <c r="C685" s="54" t="inlineStr">
        <is>
          <t>1 model</t>
        </is>
      </c>
      <c r="D685" s="55" t="n">
        <v>100</v>
      </c>
      <c r="E685" s="55" t="inlineStr">
        <is>
          <t>If your Army Faction is not Agents of the Imperium, but every model in your army has the Imperium keyword, you can include Agents of the Imperium units in your army even if they do not have the Faction keyword you selected in the Select Army Faction step When doing so, use the points values shown on the following page ARMY FACTION: AGENTS OF THE IMPERIUM Callidus Assassin — 1 model (100 pts)</t>
        </is>
      </c>
      <c r="F685" s="55" t="n">
        <v>100</v>
      </c>
      <c r="G685" s="54" t="n">
        <v>24</v>
      </c>
      <c r="H685" s="54" t="inlineStr">
        <is>
          <t>Uploaded PDF: Munitorum Field Manual v2.3 / March 2025</t>
        </is>
      </c>
    </row>
    <row r="686">
      <c r="A686" s="54" t="inlineStr">
        <is>
          <t>Imperial Agents</t>
        </is>
      </c>
      <c r="B686" s="54" t="inlineStr">
        <is>
          <t>Corvus Blackstar</t>
        </is>
      </c>
      <c r="C686" s="54" t="inlineStr">
        <is>
          <t>1 model</t>
        </is>
      </c>
      <c r="D686" s="55" t="n">
        <v>180</v>
      </c>
      <c r="E686" s="55" t="inlineStr">
        <is>
          <t>Corvus Blackstar — 1 model (180 pts)</t>
        </is>
      </c>
      <c r="F686" s="55" t="n">
        <v>180</v>
      </c>
      <c r="G686" s="54" t="n">
        <v>24</v>
      </c>
      <c r="H686" s="54" t="inlineStr">
        <is>
          <t>Uploaded PDF: Munitorum Field Manual v2.3 / March 2025</t>
        </is>
      </c>
    </row>
    <row r="687">
      <c r="A687" s="54" t="inlineStr">
        <is>
          <t>Imperial Agents</t>
        </is>
      </c>
      <c r="B687" s="54" t="inlineStr">
        <is>
          <t>Culexus Assassin</t>
        </is>
      </c>
      <c r="C687" s="54" t="inlineStr">
        <is>
          <t>1 model</t>
        </is>
      </c>
      <c r="D687" s="55" t="n">
        <v>85</v>
      </c>
      <c r="E687" s="55" t="inlineStr">
        <is>
          <t>Culexus Assassin — 1 model (85 pts)</t>
        </is>
      </c>
      <c r="F687" s="55" t="n">
        <v>85</v>
      </c>
      <c r="G687" s="54" t="n">
        <v>24</v>
      </c>
      <c r="H687" s="54" t="inlineStr">
        <is>
          <t>Uploaded PDF: Munitorum Field Manual v2.3 / March 2025</t>
        </is>
      </c>
    </row>
    <row r="688">
      <c r="A688" s="54" t="inlineStr">
        <is>
          <t>Imperial Agents</t>
        </is>
      </c>
      <c r="B688" s="54" t="inlineStr">
        <is>
          <t>Deathwatch Kill Team</t>
        </is>
      </c>
      <c r="C688" s="54" t="inlineStr">
        <is>
          <t>5 models</t>
        </is>
      </c>
      <c r="D688" s="55" t="n">
        <v>100</v>
      </c>
      <c r="E688" s="55" t="inlineStr">
        <is>
          <t>Deathwatch Kill Team — 5 models (100 pts)</t>
        </is>
      </c>
      <c r="F688" s="55" t="n">
        <v>100</v>
      </c>
      <c r="G688" s="54" t="n">
        <v>24</v>
      </c>
      <c r="H688" s="54" t="inlineStr">
        <is>
          <t>Uploaded PDF: Munitorum Field Manual v2.3 / March 2025</t>
        </is>
      </c>
    </row>
    <row r="689">
      <c r="A689" s="54" t="inlineStr">
        <is>
          <t>Imperial Agents</t>
        </is>
      </c>
      <c r="B689" s="54" t="inlineStr">
        <is>
          <t>Deathwatch Kill Team</t>
        </is>
      </c>
      <c r="C689" s="54" t="inlineStr">
        <is>
          <t>10 models</t>
        </is>
      </c>
      <c r="D689" s="55" t="n">
        <v>200</v>
      </c>
      <c r="E689" s="55" t="inlineStr">
        <is>
          <t>Deathwatch Kill Team — 10 models (200 pts)</t>
        </is>
      </c>
      <c r="F689" s="55" t="n">
        <v>200</v>
      </c>
      <c r="G689" s="54" t="n">
        <v>24</v>
      </c>
      <c r="H689" s="54" t="inlineStr">
        <is>
          <t>Uploaded PDF: Munitorum Field Manual v2.3 / March 2025</t>
        </is>
      </c>
    </row>
    <row r="690">
      <c r="A690" s="54" t="inlineStr">
        <is>
          <t>Imperial Agents</t>
        </is>
      </c>
      <c r="B690" s="54" t="inlineStr">
        <is>
          <t>Eversor Assassin</t>
        </is>
      </c>
      <c r="C690" s="54" t="inlineStr">
        <is>
          <t>1 model</t>
        </is>
      </c>
      <c r="D690" s="55" t="n">
        <v>110</v>
      </c>
      <c r="E690" s="55" t="inlineStr">
        <is>
          <t>Eversor Assassin — 1 model (110 pts)</t>
        </is>
      </c>
      <c r="F690" s="55" t="n">
        <v>110</v>
      </c>
      <c r="G690" s="54" t="n">
        <v>24</v>
      </c>
      <c r="H690" s="54" t="inlineStr">
        <is>
          <t>Uploaded PDF: Munitorum Field Manual v2.3 / March 2025</t>
        </is>
      </c>
    </row>
    <row r="691">
      <c r="A691" s="54" t="inlineStr">
        <is>
          <t>Imperial Agents</t>
        </is>
      </c>
      <c r="B691" s="54" t="inlineStr">
        <is>
          <t>Exaction Squad</t>
        </is>
      </c>
      <c r="C691" s="54" t="inlineStr">
        <is>
          <t>11 models</t>
        </is>
      </c>
      <c r="D691" s="55" t="n">
        <v>90</v>
      </c>
      <c r="E691" s="55" t="inlineStr">
        <is>
          <t>Exaction Squad — 11 models (90 pts)</t>
        </is>
      </c>
      <c r="F691" s="55" t="n">
        <v>90</v>
      </c>
      <c r="G691" s="54" t="n">
        <v>24</v>
      </c>
      <c r="H691" s="54" t="inlineStr">
        <is>
          <t>Uploaded PDF: Munitorum Field Manual v2.3 / March 2025</t>
        </is>
      </c>
    </row>
    <row r="692">
      <c r="A692" s="54" t="inlineStr">
        <is>
          <t>Imperial Agents</t>
        </is>
      </c>
      <c r="B692" s="54" t="inlineStr">
        <is>
          <t>Grey Knights Terminator Squad</t>
        </is>
      </c>
      <c r="C692" s="54" t="inlineStr">
        <is>
          <t>5 models</t>
        </is>
      </c>
      <c r="D692" s="55" t="n">
        <v>190</v>
      </c>
      <c r="E692" s="55" t="inlineStr">
        <is>
          <t>Grey Knights Terminator Squad — 5 models (190 pts)</t>
        </is>
      </c>
      <c r="F692" s="55" t="n">
        <v>190</v>
      </c>
      <c r="G692" s="54" t="n">
        <v>24</v>
      </c>
      <c r="H692" s="54" t="inlineStr">
        <is>
          <t>Uploaded PDF: Munitorum Field Manual v2.3 / March 2025</t>
        </is>
      </c>
    </row>
    <row r="693">
      <c r="A693" s="54" t="inlineStr">
        <is>
          <t>Imperial Agents</t>
        </is>
      </c>
      <c r="B693" s="54" t="inlineStr">
        <is>
          <t>Imperial Navy Breachers</t>
        </is>
      </c>
      <c r="C693" s="54" t="inlineStr">
        <is>
          <t>10 models</t>
        </is>
      </c>
      <c r="D693" s="55" t="n">
        <v>90</v>
      </c>
      <c r="E693" s="55" t="inlineStr">
        <is>
          <t>Imperial Navy Breachers — 10 models (90 pts)</t>
        </is>
      </c>
      <c r="F693" s="55" t="n">
        <v>90</v>
      </c>
      <c r="G693" s="54" t="n">
        <v>24</v>
      </c>
      <c r="H693" s="54" t="inlineStr">
        <is>
          <t>Uploaded PDF: Munitorum Field Manual v2.3 / March 2025</t>
        </is>
      </c>
    </row>
    <row r="694">
      <c r="A694" s="54" t="inlineStr">
        <is>
          <t>Imperial Agents</t>
        </is>
      </c>
      <c r="B694" s="54" t="inlineStr">
        <is>
          <t>Imperial Rhino</t>
        </is>
      </c>
      <c r="C694" s="54" t="inlineStr">
        <is>
          <t>1 model</t>
        </is>
      </c>
      <c r="D694" s="55" t="n">
        <v>75</v>
      </c>
      <c r="E694" s="55" t="inlineStr">
        <is>
          <t>Imperial Rhino — 1 model (75 pts)</t>
        </is>
      </c>
      <c r="F694" s="55" t="n">
        <v>75</v>
      </c>
      <c r="G694" s="54" t="n">
        <v>24</v>
      </c>
      <c r="H694" s="54" t="inlineStr">
        <is>
          <t>Uploaded PDF: Munitorum Field Manual v2.3 / March 2025</t>
        </is>
      </c>
    </row>
    <row r="695">
      <c r="A695" s="54" t="inlineStr">
        <is>
          <t>Imperial Agents</t>
        </is>
      </c>
      <c r="B695" s="54" t="inlineStr">
        <is>
          <t>Inquisitor</t>
        </is>
      </c>
      <c r="C695" s="54" t="inlineStr">
        <is>
          <t>1 model</t>
        </is>
      </c>
      <c r="D695" s="55" t="n">
        <v>55</v>
      </c>
      <c r="E695" s="55" t="inlineStr">
        <is>
          <t>Inquisitor — 1 model (55 pts)</t>
        </is>
      </c>
      <c r="F695" s="55" t="n">
        <v>55</v>
      </c>
      <c r="G695" s="54" t="n">
        <v>24</v>
      </c>
      <c r="H695" s="54" t="inlineStr">
        <is>
          <t>Uploaded PDF: Munitorum Field Manual v2.3 / March 2025</t>
        </is>
      </c>
    </row>
    <row r="696">
      <c r="A696" s="54" t="inlineStr">
        <is>
          <t>Imperial Agents</t>
        </is>
      </c>
      <c r="B696" s="54" t="inlineStr">
        <is>
          <t>Inquisitor Coteaz</t>
        </is>
      </c>
      <c r="C696" s="54" t="inlineStr">
        <is>
          <t>1 model</t>
        </is>
      </c>
      <c r="D696" s="55" t="n">
        <v>75</v>
      </c>
      <c r="E696" s="55" t="inlineStr">
        <is>
          <t>Inquisitor Coteaz — 1 model (75 pts)</t>
        </is>
      </c>
      <c r="F696" s="55" t="n">
        <v>75</v>
      </c>
      <c r="G696" s="54" t="n">
        <v>24</v>
      </c>
      <c r="H696" s="54" t="inlineStr">
        <is>
          <t>Uploaded PDF: Munitorum Field Manual v2.3 / March 2025</t>
        </is>
      </c>
    </row>
    <row r="697">
      <c r="A697" s="54" t="inlineStr">
        <is>
          <t>Imperial Agents</t>
        </is>
      </c>
      <c r="B697" s="54" t="inlineStr">
        <is>
          <t>Inquisitor Draxus</t>
        </is>
      </c>
      <c r="C697" s="54" t="inlineStr">
        <is>
          <t>1 model</t>
        </is>
      </c>
      <c r="D697" s="55" t="n">
        <v>75</v>
      </c>
      <c r="E697" s="55" t="inlineStr">
        <is>
          <t>Inquisitor Draxus — 1 model (75 pts)</t>
        </is>
      </c>
      <c r="F697" s="55" t="n">
        <v>75</v>
      </c>
      <c r="G697" s="54" t="n">
        <v>24</v>
      </c>
      <c r="H697" s="54" t="inlineStr">
        <is>
          <t>Uploaded PDF: Munitorum Field Manual v2.3 / March 2025</t>
        </is>
      </c>
    </row>
    <row r="698">
      <c r="A698" s="54" t="inlineStr">
        <is>
          <t>Imperial Agents</t>
        </is>
      </c>
      <c r="B698" s="54" t="inlineStr">
        <is>
          <t>Inquisitor Greyfax</t>
        </is>
      </c>
      <c r="C698" s="54" t="inlineStr">
        <is>
          <t>1 model</t>
        </is>
      </c>
      <c r="D698" s="55" t="n">
        <v>65</v>
      </c>
      <c r="E698" s="55" t="inlineStr">
        <is>
          <t>Inquisitor Greyfax — 1 model (65 pts)</t>
        </is>
      </c>
      <c r="F698" s="55" t="n">
        <v>65</v>
      </c>
      <c r="G698" s="54" t="n">
        <v>24</v>
      </c>
      <c r="H698" s="54" t="inlineStr">
        <is>
          <t>Uploaded PDF: Munitorum Field Manual v2.3 / March 2025</t>
        </is>
      </c>
    </row>
    <row r="699">
      <c r="A699" s="54" t="inlineStr">
        <is>
          <t>Imperial Agents</t>
        </is>
      </c>
      <c r="B699" s="54" t="inlineStr">
        <is>
          <t>Inquisitorial Agents</t>
        </is>
      </c>
      <c r="C699" s="54" t="inlineStr">
        <is>
          <t>6 models</t>
        </is>
      </c>
      <c r="D699" s="55" t="n">
        <v>50</v>
      </c>
      <c r="E699" s="55" t="inlineStr">
        <is>
          <t>Inquisitorial Agents — 6 models (50 pts)</t>
        </is>
      </c>
      <c r="F699" s="55" t="n">
        <v>50</v>
      </c>
      <c r="G699" s="54" t="n">
        <v>24</v>
      </c>
      <c r="H699" s="54" t="inlineStr">
        <is>
          <t>Uploaded PDF: Munitorum Field Manual v2.3 / March 2025</t>
        </is>
      </c>
    </row>
    <row r="700">
      <c r="A700" s="54" t="inlineStr">
        <is>
          <t>Imperial Agents</t>
        </is>
      </c>
      <c r="B700" s="54" t="inlineStr">
        <is>
          <t>Inquisitorial Agents</t>
        </is>
      </c>
      <c r="C700" s="54" t="inlineStr">
        <is>
          <t>12 models</t>
        </is>
      </c>
      <c r="D700" s="55" t="n">
        <v>100</v>
      </c>
      <c r="E700" s="55" t="inlineStr">
        <is>
          <t>Inquisitorial Agents — 12 models (100 pts)</t>
        </is>
      </c>
      <c r="F700" s="55" t="n">
        <v>100</v>
      </c>
      <c r="G700" s="54" t="n">
        <v>24</v>
      </c>
      <c r="H700" s="54" t="inlineStr">
        <is>
          <t>Uploaded PDF: Munitorum Field Manual v2.3 / March 2025</t>
        </is>
      </c>
    </row>
    <row r="701">
      <c r="A701" s="54" t="inlineStr">
        <is>
          <t>Imperial Agents</t>
        </is>
      </c>
      <c r="B701" s="54" t="inlineStr">
        <is>
          <t>Inquisitorial Chimera</t>
        </is>
      </c>
      <c r="C701" s="54" t="inlineStr">
        <is>
          <t>1 model</t>
        </is>
      </c>
      <c r="D701" s="55" t="n">
        <v>70</v>
      </c>
      <c r="E701" s="55" t="inlineStr">
        <is>
          <t>Inquisitorial Chimera — 1 model (70 pts)</t>
        </is>
      </c>
      <c r="F701" s="55" t="n">
        <v>70</v>
      </c>
      <c r="G701" s="54" t="n">
        <v>24</v>
      </c>
      <c r="H701" s="54" t="inlineStr">
        <is>
          <t>Uploaded PDF: Munitorum Field Manual v2.3 / March 2025</t>
        </is>
      </c>
    </row>
    <row r="702">
      <c r="A702" s="54" t="inlineStr">
        <is>
          <t>Imperial Agents</t>
        </is>
      </c>
      <c r="B702" s="54" t="inlineStr">
        <is>
          <t>Ministorum Priest</t>
        </is>
      </c>
      <c r="C702" s="54" t="inlineStr">
        <is>
          <t>1 model</t>
        </is>
      </c>
      <c r="D702" s="55" t="n">
        <v>40</v>
      </c>
      <c r="E702" s="55" t="inlineStr">
        <is>
          <t>Ministorum Priest — 1 model (40 pts)</t>
        </is>
      </c>
      <c r="F702" s="55" t="n">
        <v>40</v>
      </c>
      <c r="G702" s="54" t="n">
        <v>24</v>
      </c>
      <c r="H702" s="54" t="inlineStr">
        <is>
          <t>Uploaded PDF: Munitorum Field Manual v2.3 / March 2025</t>
        </is>
      </c>
    </row>
    <row r="703">
      <c r="A703" s="54" t="inlineStr">
        <is>
          <t>Imperial Agents</t>
        </is>
      </c>
      <c r="B703" s="54" t="inlineStr">
        <is>
          <t>Navigator</t>
        </is>
      </c>
      <c r="C703" s="54" t="inlineStr">
        <is>
          <t>1 model</t>
        </is>
      </c>
      <c r="D703" s="55" t="n">
        <v>60</v>
      </c>
      <c r="E703" s="55" t="inlineStr">
        <is>
          <t>Navigator — 1 model (60 pts)</t>
        </is>
      </c>
      <c r="F703" s="55" t="n">
        <v>60</v>
      </c>
      <c r="G703" s="54" t="n">
        <v>24</v>
      </c>
      <c r="H703" s="54" t="inlineStr">
        <is>
          <t>Uploaded PDF: Munitorum Field Manual v2.3 / March 2025</t>
        </is>
      </c>
    </row>
    <row r="704">
      <c r="A704" s="54" t="inlineStr">
        <is>
          <t>Imperial Agents</t>
        </is>
      </c>
      <c r="B704" s="54" t="inlineStr">
        <is>
          <t>Rogue Trader Entourage</t>
        </is>
      </c>
      <c r="C704" s="54" t="inlineStr">
        <is>
          <t>4 models</t>
        </is>
      </c>
      <c r="D704" s="55" t="n">
        <v>75</v>
      </c>
      <c r="E704" s="55" t="inlineStr">
        <is>
          <t>Rogue Trader Entourage — 4 models (75 pts)</t>
        </is>
      </c>
      <c r="F704" s="55" t="n">
        <v>75</v>
      </c>
      <c r="G704" s="54" t="n">
        <v>24</v>
      </c>
      <c r="H704" s="54" t="inlineStr">
        <is>
          <t>Uploaded PDF: Munitorum Field Manual v2.3 / March 2025</t>
        </is>
      </c>
    </row>
    <row r="705">
      <c r="A705" s="54" t="inlineStr">
        <is>
          <t>Imperial Agents</t>
        </is>
      </c>
      <c r="B705" s="54" t="inlineStr">
        <is>
          <t>Sisters of Battle Immolator</t>
        </is>
      </c>
      <c r="C705" s="54" t="inlineStr">
        <is>
          <t>1 model</t>
        </is>
      </c>
      <c r="D705" s="55" t="n">
        <v>100</v>
      </c>
      <c r="E705" s="55" t="inlineStr">
        <is>
          <t>Sisters of Battle Immolator — 1 model (100 pts)</t>
        </is>
      </c>
      <c r="F705" s="55" t="n">
        <v>100</v>
      </c>
      <c r="G705" s="54" t="n">
        <v>24</v>
      </c>
      <c r="H705" s="54" t="inlineStr">
        <is>
          <t>Uploaded PDF: Munitorum Field Manual v2.3 / March 2025</t>
        </is>
      </c>
    </row>
    <row r="706">
      <c r="A706" s="54" t="inlineStr">
        <is>
          <t>Imperial Agents</t>
        </is>
      </c>
      <c r="B706" s="54" t="inlineStr">
        <is>
          <t>Sisters of Battle Squad</t>
        </is>
      </c>
      <c r="C706" s="54" t="inlineStr">
        <is>
          <t>10 models</t>
        </is>
      </c>
      <c r="D706" s="55" t="n">
        <v>100</v>
      </c>
      <c r="E706" s="55" t="inlineStr">
        <is>
          <t>Sisters of Battle Squad — 10 models (100 pts)</t>
        </is>
      </c>
      <c r="F706" s="55" t="n">
        <v>100</v>
      </c>
      <c r="G706" s="54" t="n">
        <v>24</v>
      </c>
      <c r="H706" s="54" t="inlineStr">
        <is>
          <t>Uploaded PDF: Munitorum Field Manual v2.3 / March 2025</t>
        </is>
      </c>
    </row>
    <row r="707">
      <c r="A707" s="54" t="inlineStr">
        <is>
          <t>Imperial Agents</t>
        </is>
      </c>
      <c r="B707" s="54" t="inlineStr">
        <is>
          <t>Subductor Squad</t>
        </is>
      </c>
      <c r="C707" s="54" t="inlineStr">
        <is>
          <t>11 models</t>
        </is>
      </c>
      <c r="D707" s="55" t="n">
        <v>85</v>
      </c>
      <c r="E707" s="55" t="inlineStr">
        <is>
          <t>Subductor Squad — 11 models (85 pts)</t>
        </is>
      </c>
      <c r="F707" s="55" t="n">
        <v>85</v>
      </c>
      <c r="G707" s="54" t="n">
        <v>24</v>
      </c>
      <c r="H707" s="54" t="inlineStr">
        <is>
          <t>Uploaded PDF: Munitorum Field Manual v2.3 / March 2025</t>
        </is>
      </c>
    </row>
    <row r="708">
      <c r="A708" s="54" t="inlineStr">
        <is>
          <t>Imperial Agents</t>
        </is>
      </c>
      <c r="B708" s="54" t="inlineStr">
        <is>
          <t>Vigilant Squad</t>
        </is>
      </c>
      <c r="C708" s="54" t="inlineStr">
        <is>
          <t>11 models</t>
        </is>
      </c>
      <c r="D708" s="55" t="n">
        <v>85</v>
      </c>
      <c r="E708" s="55" t="inlineStr">
        <is>
          <t>Vigilant Squad — 11 models (85 pts)</t>
        </is>
      </c>
      <c r="F708" s="55" t="n">
        <v>85</v>
      </c>
      <c r="G708" s="54" t="n">
        <v>24</v>
      </c>
      <c r="H708" s="54" t="inlineStr">
        <is>
          <t>Uploaded PDF: Munitorum Field Manual v2.3 / March 2025</t>
        </is>
      </c>
    </row>
    <row r="709">
      <c r="A709" s="54" t="inlineStr">
        <is>
          <t>Imperial Agents</t>
        </is>
      </c>
      <c r="B709" s="54" t="inlineStr">
        <is>
          <t>Vindicare Assassin</t>
        </is>
      </c>
      <c r="C709" s="54" t="inlineStr">
        <is>
          <t>1 model</t>
        </is>
      </c>
      <c r="D709" s="55" t="n">
        <v>110</v>
      </c>
      <c r="E709" s="55" t="inlineStr">
        <is>
          <t>Vindicare Assassin — 1 model (110 pts)</t>
        </is>
      </c>
      <c r="F709" s="55" t="n">
        <v>110</v>
      </c>
      <c r="G709" s="54" t="n">
        <v>24</v>
      </c>
      <c r="H709" s="54" t="inlineStr">
        <is>
          <t>Uploaded PDF: Munitorum Field Manual v2.3 / March 2025</t>
        </is>
      </c>
    </row>
    <row r="710">
      <c r="A710" s="54" t="inlineStr">
        <is>
          <t>Imperial Agents</t>
        </is>
      </c>
      <c r="B710" s="54" t="inlineStr">
        <is>
          <t>Voidsmen-at-Arms</t>
        </is>
      </c>
      <c r="C710" s="54" t="inlineStr">
        <is>
          <t>6 models</t>
        </is>
      </c>
      <c r="D710" s="55" t="n">
        <v>50</v>
      </c>
      <c r="E710" s="55" t="inlineStr">
        <is>
          <t>Voidsmen-at-Arms — 6 models (50 pts)</t>
        </is>
      </c>
      <c r="F710" s="55" t="n">
        <v>50</v>
      </c>
      <c r="G710" s="54" t="n">
        <v>24</v>
      </c>
      <c r="H710" s="54" t="inlineStr">
        <is>
          <t>Uploaded PDF: Munitorum Field Manual v2.3 / March 2025</t>
        </is>
      </c>
    </row>
    <row r="711">
      <c r="A711" s="54" t="inlineStr">
        <is>
          <t>Imperial Agents</t>
        </is>
      </c>
      <c r="B711" s="54" t="inlineStr">
        <is>
          <t>Watch Captain Artemis</t>
        </is>
      </c>
      <c r="C711" s="54" t="inlineStr">
        <is>
          <t>1 model</t>
        </is>
      </c>
      <c r="D711" s="55" t="n">
        <v>65</v>
      </c>
      <c r="E711" s="55" t="inlineStr">
        <is>
          <t>Watch Captain Artemis — 1 model (65 pts)</t>
        </is>
      </c>
      <c r="F711" s="55" t="n">
        <v>65</v>
      </c>
      <c r="G711" s="54" t="n">
        <v>24</v>
      </c>
      <c r="H711" s="54" t="inlineStr">
        <is>
          <t>Uploaded PDF: Munitorum Field Manual v2.3 / March 2025</t>
        </is>
      </c>
    </row>
    <row r="712">
      <c r="A712" s="54" t="inlineStr">
        <is>
          <t>Imperial Agents</t>
        </is>
      </c>
      <c r="B712" s="54" t="inlineStr">
        <is>
          <t>Watch Master</t>
        </is>
      </c>
      <c r="C712" s="54" t="inlineStr">
        <is>
          <t>1 model</t>
        </is>
      </c>
      <c r="D712" s="55" t="n">
        <v>105</v>
      </c>
      <c r="E712" s="55" t="inlineStr">
        <is>
          <t>Watch Master — 1 model (105 pts)</t>
        </is>
      </c>
      <c r="F712" s="55" t="n">
        <v>105</v>
      </c>
      <c r="G712" s="54" t="n">
        <v>24</v>
      </c>
      <c r="H712" s="54" t="inlineStr">
        <is>
          <t>Uploaded PDF: Munitorum Field Manual v2.3 / March 2025</t>
        </is>
      </c>
    </row>
    <row r="713">
      <c r="A713" s="54" t="inlineStr">
        <is>
          <t>Imperial Agents</t>
        </is>
      </c>
      <c r="B713" s="54" t="inlineStr">
        <is>
          <t>EVERY MODEL HAS IMPERIUM KEYWORD Callidus Assassin</t>
        </is>
      </c>
      <c r="C713" s="54" t="inlineStr">
        <is>
          <t>1 model</t>
        </is>
      </c>
      <c r="D713" s="55" t="n">
        <v>100</v>
      </c>
      <c r="E713" s="55" t="inlineStr">
        <is>
          <t>EVERY MODEL HAS IMPERIUM KEYWORD Callidus Assassin — 1 model (100 pts)</t>
        </is>
      </c>
      <c r="F713" s="55" t="n">
        <v>100</v>
      </c>
      <c r="G713" s="54" t="n">
        <v>25</v>
      </c>
      <c r="H713" s="54" t="inlineStr">
        <is>
          <t>Uploaded PDF: Munitorum Field Manual v2.3 / March 2025</t>
        </is>
      </c>
    </row>
    <row r="714">
      <c r="A714" s="54" t="inlineStr">
        <is>
          <t>Imperial Agents</t>
        </is>
      </c>
      <c r="B714" s="54" t="inlineStr">
        <is>
          <t>Corvus Blackstar</t>
        </is>
      </c>
      <c r="C714" s="54" t="inlineStr">
        <is>
          <t>1 model</t>
        </is>
      </c>
      <c r="D714" s="55" t="n">
        <v>180</v>
      </c>
      <c r="E714" s="55" t="inlineStr">
        <is>
          <t>Corvus Blackstar — 1 model (180 pts)</t>
        </is>
      </c>
      <c r="F714" s="55" t="n">
        <v>180</v>
      </c>
      <c r="G714" s="54" t="n">
        <v>25</v>
      </c>
      <c r="H714" s="54" t="inlineStr">
        <is>
          <t>Uploaded PDF: Munitorum Field Manual v2.3 / March 2025</t>
        </is>
      </c>
    </row>
    <row r="715">
      <c r="A715" s="54" t="inlineStr">
        <is>
          <t>Imperial Agents</t>
        </is>
      </c>
      <c r="B715" s="54" t="inlineStr">
        <is>
          <t>Culexus Assassin</t>
        </is>
      </c>
      <c r="C715" s="54" t="inlineStr">
        <is>
          <t>1 model</t>
        </is>
      </c>
      <c r="D715" s="55" t="n">
        <v>85</v>
      </c>
      <c r="E715" s="55" t="inlineStr">
        <is>
          <t>Culexus Assassin — 1 model (85 pts)</t>
        </is>
      </c>
      <c r="F715" s="55" t="n">
        <v>85</v>
      </c>
      <c r="G715" s="54" t="n">
        <v>25</v>
      </c>
      <c r="H715" s="54" t="inlineStr">
        <is>
          <t>Uploaded PDF: Munitorum Field Manual v2.3 / March 2025</t>
        </is>
      </c>
    </row>
    <row r="716">
      <c r="A716" s="54" t="inlineStr">
        <is>
          <t>Imperial Agents</t>
        </is>
      </c>
      <c r="B716" s="54" t="inlineStr">
        <is>
          <t>Deathwatch Kill Team</t>
        </is>
      </c>
      <c r="C716" s="54" t="inlineStr">
        <is>
          <t>5 models</t>
        </is>
      </c>
      <c r="D716" s="55" t="n">
        <v>100</v>
      </c>
      <c r="E716" s="55" t="inlineStr">
        <is>
          <t>Deathwatch Kill Team — 5 models (100 pts)</t>
        </is>
      </c>
      <c r="F716" s="55" t="n">
        <v>100</v>
      </c>
      <c r="G716" s="54" t="n">
        <v>25</v>
      </c>
      <c r="H716" s="54" t="inlineStr">
        <is>
          <t>Uploaded PDF: Munitorum Field Manual v2.3 / March 2025</t>
        </is>
      </c>
    </row>
    <row r="717">
      <c r="A717" s="54" t="inlineStr">
        <is>
          <t>Imperial Agents</t>
        </is>
      </c>
      <c r="B717" s="54" t="inlineStr">
        <is>
          <t>Deathwatch Kill Team</t>
        </is>
      </c>
      <c r="C717" s="54" t="inlineStr">
        <is>
          <t>10 models</t>
        </is>
      </c>
      <c r="D717" s="55" t="n">
        <v>200</v>
      </c>
      <c r="E717" s="55" t="inlineStr">
        <is>
          <t>Deathwatch Kill Team — 10 models (200 pts)</t>
        </is>
      </c>
      <c r="F717" s="55" t="n">
        <v>200</v>
      </c>
      <c r="G717" s="54" t="n">
        <v>25</v>
      </c>
      <c r="H717" s="54" t="inlineStr">
        <is>
          <t>Uploaded PDF: Munitorum Field Manual v2.3 / March 2025</t>
        </is>
      </c>
    </row>
    <row r="718">
      <c r="A718" s="54" t="inlineStr">
        <is>
          <t>Imperial Agents</t>
        </is>
      </c>
      <c r="B718" s="54" t="inlineStr">
        <is>
          <t>Eversor Assassin</t>
        </is>
      </c>
      <c r="C718" s="54" t="inlineStr">
        <is>
          <t>1 model</t>
        </is>
      </c>
      <c r="D718" s="55" t="n">
        <v>120</v>
      </c>
      <c r="E718" s="55" t="inlineStr">
        <is>
          <t>Eversor Assassin — 1 model (120 pts)</t>
        </is>
      </c>
      <c r="F718" s="55" t="n">
        <v>120</v>
      </c>
      <c r="G718" s="54" t="n">
        <v>25</v>
      </c>
      <c r="H718" s="54" t="inlineStr">
        <is>
          <t>Uploaded PDF: Munitorum Field Manual v2.3 / March 2025</t>
        </is>
      </c>
    </row>
    <row r="719">
      <c r="A719" s="54" t="inlineStr">
        <is>
          <t>Imperial Agents</t>
        </is>
      </c>
      <c r="B719" s="54" t="inlineStr">
        <is>
          <t>Exaction Squad</t>
        </is>
      </c>
      <c r="C719" s="54" t="inlineStr">
        <is>
          <t>11 models</t>
        </is>
      </c>
      <c r="D719" s="55" t="n">
        <v>90</v>
      </c>
      <c r="E719" s="55" t="inlineStr">
        <is>
          <t>Exaction Squad — 11 models (90 pts)</t>
        </is>
      </c>
      <c r="F719" s="55" t="n">
        <v>90</v>
      </c>
      <c r="G719" s="54" t="n">
        <v>25</v>
      </c>
      <c r="H719" s="54" t="inlineStr">
        <is>
          <t>Uploaded PDF: Munitorum Field Manual v2.3 / March 2025</t>
        </is>
      </c>
    </row>
    <row r="720">
      <c r="A720" s="54" t="inlineStr">
        <is>
          <t>Imperial Agents</t>
        </is>
      </c>
      <c r="B720" s="54" t="inlineStr">
        <is>
          <t>Grey Knights Terminator Squad</t>
        </is>
      </c>
      <c r="C720" s="54" t="inlineStr">
        <is>
          <t>5 models</t>
        </is>
      </c>
      <c r="D720" s="55" t="n">
        <v>210</v>
      </c>
      <c r="E720" s="55" t="inlineStr">
        <is>
          <t>Grey Knights Terminator Squad — 5 models (210 pts)</t>
        </is>
      </c>
      <c r="F720" s="55" t="n">
        <v>210</v>
      </c>
      <c r="G720" s="54" t="n">
        <v>25</v>
      </c>
      <c r="H720" s="54" t="inlineStr">
        <is>
          <t>Uploaded PDF: Munitorum Field Manual v2.3 / March 2025</t>
        </is>
      </c>
    </row>
    <row r="721">
      <c r="A721" s="54" t="inlineStr">
        <is>
          <t>Imperial Agents</t>
        </is>
      </c>
      <c r="B721" s="54" t="inlineStr">
        <is>
          <t>Imperial Navy Breachers</t>
        </is>
      </c>
      <c r="C721" s="54" t="inlineStr">
        <is>
          <t>10 models</t>
        </is>
      </c>
      <c r="D721" s="55" t="n">
        <v>90</v>
      </c>
      <c r="E721" s="55" t="inlineStr">
        <is>
          <t>Imperial Navy Breachers — 10 models (90 pts)</t>
        </is>
      </c>
      <c r="F721" s="55" t="n">
        <v>90</v>
      </c>
      <c r="G721" s="54" t="n">
        <v>25</v>
      </c>
      <c r="H721" s="54" t="inlineStr">
        <is>
          <t>Uploaded PDF: Munitorum Field Manual v2.3 / March 2025</t>
        </is>
      </c>
    </row>
    <row r="722">
      <c r="A722" s="54" t="inlineStr">
        <is>
          <t>Imperial Agents</t>
        </is>
      </c>
      <c r="B722" s="54" t="inlineStr">
        <is>
          <t>Imperial Rhino</t>
        </is>
      </c>
      <c r="C722" s="54" t="inlineStr">
        <is>
          <t>1 model</t>
        </is>
      </c>
      <c r="D722" s="55" t="n">
        <v>75</v>
      </c>
      <c r="E722" s="55" t="inlineStr">
        <is>
          <t>Imperial Rhino — 1 model (75 pts)</t>
        </is>
      </c>
      <c r="F722" s="55" t="n">
        <v>75</v>
      </c>
      <c r="G722" s="54" t="n">
        <v>25</v>
      </c>
      <c r="H722" s="54" t="inlineStr">
        <is>
          <t>Uploaded PDF: Munitorum Field Manual v2.3 / March 2025</t>
        </is>
      </c>
    </row>
    <row r="723">
      <c r="A723" s="54" t="inlineStr">
        <is>
          <t>Imperial Agents</t>
        </is>
      </c>
      <c r="B723" s="54" t="inlineStr">
        <is>
          <t>Inquisitor</t>
        </is>
      </c>
      <c r="C723" s="54" t="inlineStr">
        <is>
          <t>1 model</t>
        </is>
      </c>
      <c r="D723" s="55" t="n">
        <v>55</v>
      </c>
      <c r="E723" s="55" t="inlineStr">
        <is>
          <t>Inquisitor — 1 model (55 pts)</t>
        </is>
      </c>
      <c r="F723" s="55" t="n">
        <v>55</v>
      </c>
      <c r="G723" s="54" t="n">
        <v>25</v>
      </c>
      <c r="H723" s="54" t="inlineStr">
        <is>
          <t>Uploaded PDF: Munitorum Field Manual v2.3 / March 2025</t>
        </is>
      </c>
    </row>
    <row r="724">
      <c r="A724" s="54" t="inlineStr">
        <is>
          <t>Imperial Agents</t>
        </is>
      </c>
      <c r="B724" s="54" t="inlineStr">
        <is>
          <t>Inquisitor Coteaz</t>
        </is>
      </c>
      <c r="C724" s="54" t="inlineStr">
        <is>
          <t>1 model</t>
        </is>
      </c>
      <c r="D724" s="55" t="n">
        <v>95</v>
      </c>
      <c r="E724" s="55" t="inlineStr">
        <is>
          <t>Inquisitor Coteaz — 1 model (95 pts)</t>
        </is>
      </c>
      <c r="F724" s="55" t="n">
        <v>95</v>
      </c>
      <c r="G724" s="54" t="n">
        <v>25</v>
      </c>
      <c r="H724" s="54" t="inlineStr">
        <is>
          <t>Uploaded PDF: Munitorum Field Manual v2.3 / March 2025</t>
        </is>
      </c>
    </row>
    <row r="725">
      <c r="A725" s="54" t="inlineStr">
        <is>
          <t>Imperial Agents</t>
        </is>
      </c>
      <c r="B725" s="54" t="inlineStr">
        <is>
          <t>Inquisitor Draxus</t>
        </is>
      </c>
      <c r="C725" s="54" t="inlineStr">
        <is>
          <t>1 model</t>
        </is>
      </c>
      <c r="D725" s="55" t="n">
        <v>95</v>
      </c>
      <c r="E725" s="55" t="inlineStr">
        <is>
          <t>Inquisitor Draxus — 1 model (95 pts)</t>
        </is>
      </c>
      <c r="F725" s="55" t="n">
        <v>95</v>
      </c>
      <c r="G725" s="54" t="n">
        <v>25</v>
      </c>
      <c r="H725" s="54" t="inlineStr">
        <is>
          <t>Uploaded PDF: Munitorum Field Manual v2.3 / March 2025</t>
        </is>
      </c>
    </row>
    <row r="726">
      <c r="A726" s="54" t="inlineStr">
        <is>
          <t>Imperial Agents</t>
        </is>
      </c>
      <c r="B726" s="54" t="inlineStr">
        <is>
          <t>Inquisitor Greyfax</t>
        </is>
      </c>
      <c r="C726" s="54" t="inlineStr">
        <is>
          <t>1 model</t>
        </is>
      </c>
      <c r="D726" s="55" t="n">
        <v>65</v>
      </c>
      <c r="E726" s="55" t="inlineStr">
        <is>
          <t>Inquisitor Greyfax — 1 model (65 pts)</t>
        </is>
      </c>
      <c r="F726" s="55" t="n">
        <v>65</v>
      </c>
      <c r="G726" s="54" t="n">
        <v>25</v>
      </c>
      <c r="H726" s="54" t="inlineStr">
        <is>
          <t>Uploaded PDF: Munitorum Field Manual v2.3 / March 2025</t>
        </is>
      </c>
    </row>
    <row r="727">
      <c r="A727" s="54" t="inlineStr">
        <is>
          <t>Imperial Agents</t>
        </is>
      </c>
      <c r="B727" s="54" t="inlineStr">
        <is>
          <t>Inquisitorial Agents</t>
        </is>
      </c>
      <c r="C727" s="54" t="inlineStr">
        <is>
          <t>6 models</t>
        </is>
      </c>
      <c r="D727" s="55" t="n">
        <v>60</v>
      </c>
      <c r="E727" s="55" t="inlineStr">
        <is>
          <t>Inquisitorial Agents — 6 models (60 pts)</t>
        </is>
      </c>
      <c r="F727" s="55" t="n">
        <v>60</v>
      </c>
      <c r="G727" s="54" t="n">
        <v>25</v>
      </c>
      <c r="H727" s="54" t="inlineStr">
        <is>
          <t>Uploaded PDF: Munitorum Field Manual v2.3 / March 2025</t>
        </is>
      </c>
    </row>
    <row r="728">
      <c r="A728" s="54" t="inlineStr">
        <is>
          <t>Imperial Agents</t>
        </is>
      </c>
      <c r="B728" s="54" t="inlineStr">
        <is>
          <t>Inquisitorial Agents</t>
        </is>
      </c>
      <c r="C728" s="54" t="inlineStr">
        <is>
          <t>12 models</t>
        </is>
      </c>
      <c r="D728" s="55" t="n">
        <v>120</v>
      </c>
      <c r="E728" s="55" t="inlineStr">
        <is>
          <t>Inquisitorial Agents — 12 models (120 pts)</t>
        </is>
      </c>
      <c r="F728" s="55" t="n">
        <v>120</v>
      </c>
      <c r="G728" s="54" t="n">
        <v>25</v>
      </c>
      <c r="H728" s="54" t="inlineStr">
        <is>
          <t>Uploaded PDF: Munitorum Field Manual v2.3 / March 2025</t>
        </is>
      </c>
    </row>
    <row r="729">
      <c r="A729" s="54" t="inlineStr">
        <is>
          <t>Imperial Agents</t>
        </is>
      </c>
      <c r="B729" s="54" t="inlineStr">
        <is>
          <t>Inquisitorial Chimera</t>
        </is>
      </c>
      <c r="C729" s="54" t="inlineStr">
        <is>
          <t>1 model</t>
        </is>
      </c>
      <c r="D729" s="55" t="n">
        <v>70</v>
      </c>
      <c r="E729" s="55" t="inlineStr">
        <is>
          <t>Inquisitorial Chimera — 1 model (70 pts)</t>
        </is>
      </c>
      <c r="F729" s="55" t="n">
        <v>70</v>
      </c>
      <c r="G729" s="54" t="n">
        <v>25</v>
      </c>
      <c r="H729" s="54" t="inlineStr">
        <is>
          <t>Uploaded PDF: Munitorum Field Manual v2.3 / March 2025</t>
        </is>
      </c>
    </row>
    <row r="730">
      <c r="A730" s="54" t="inlineStr">
        <is>
          <t>Imperial Agents</t>
        </is>
      </c>
      <c r="B730" s="54" t="inlineStr">
        <is>
          <t>Ministorum Priest</t>
        </is>
      </c>
      <c r="C730" s="54" t="inlineStr">
        <is>
          <t>1 model</t>
        </is>
      </c>
      <c r="D730" s="55" t="n">
        <v>40</v>
      </c>
      <c r="E730" s="55" t="inlineStr">
        <is>
          <t>Ministorum Priest — 1 model (40 pts)</t>
        </is>
      </c>
      <c r="F730" s="55" t="n">
        <v>40</v>
      </c>
      <c r="G730" s="54" t="n">
        <v>25</v>
      </c>
      <c r="H730" s="54" t="inlineStr">
        <is>
          <t>Uploaded PDF: Munitorum Field Manual v2.3 / March 2025</t>
        </is>
      </c>
    </row>
    <row r="731">
      <c r="A731" s="54" t="inlineStr">
        <is>
          <t>Imperial Agents</t>
        </is>
      </c>
      <c r="B731" s="54" t="inlineStr">
        <is>
          <t>Navigator</t>
        </is>
      </c>
      <c r="C731" s="54" t="inlineStr">
        <is>
          <t>1 model</t>
        </is>
      </c>
      <c r="D731" s="55" t="n">
        <v>75</v>
      </c>
      <c r="E731" s="55" t="inlineStr">
        <is>
          <t>Navigator — 1 model (75 pts)</t>
        </is>
      </c>
      <c r="F731" s="55" t="n">
        <v>75</v>
      </c>
      <c r="G731" s="54" t="n">
        <v>25</v>
      </c>
      <c r="H731" s="54" t="inlineStr">
        <is>
          <t>Uploaded PDF: Munitorum Field Manual v2.3 / March 2025</t>
        </is>
      </c>
    </row>
    <row r="732">
      <c r="A732" s="54" t="inlineStr">
        <is>
          <t>Imperial Agents</t>
        </is>
      </c>
      <c r="B732" s="54" t="inlineStr">
        <is>
          <t>Rogue Trader Entourage</t>
        </is>
      </c>
      <c r="C732" s="54" t="inlineStr">
        <is>
          <t>4 models</t>
        </is>
      </c>
      <c r="D732" s="55" t="n">
        <v>105</v>
      </c>
      <c r="E732" s="55" t="inlineStr">
        <is>
          <t>Rogue Trader Entourage — 4 models (105 pts)</t>
        </is>
      </c>
      <c r="F732" s="55" t="n">
        <v>105</v>
      </c>
      <c r="G732" s="54" t="n">
        <v>25</v>
      </c>
      <c r="H732" s="54" t="inlineStr">
        <is>
          <t>Uploaded PDF: Munitorum Field Manual v2.3 / March 2025</t>
        </is>
      </c>
    </row>
    <row r="733">
      <c r="A733" s="54" t="inlineStr">
        <is>
          <t>Imperial Agents</t>
        </is>
      </c>
      <c r="B733" s="54" t="inlineStr">
        <is>
          <t>Sisters of Battle Immolator</t>
        </is>
      </c>
      <c r="C733" s="54" t="inlineStr">
        <is>
          <t>1 model</t>
        </is>
      </c>
      <c r="D733" s="55" t="n">
        <v>115</v>
      </c>
      <c r="E733" s="55" t="inlineStr">
        <is>
          <t>Sisters of Battle Immolator — 1 model (115 pts)</t>
        </is>
      </c>
      <c r="F733" s="55" t="n">
        <v>115</v>
      </c>
      <c r="G733" s="54" t="n">
        <v>25</v>
      </c>
      <c r="H733" s="54" t="inlineStr">
        <is>
          <t>Uploaded PDF: Munitorum Field Manual v2.3 / March 2025</t>
        </is>
      </c>
    </row>
    <row r="734">
      <c r="A734" s="54" t="inlineStr">
        <is>
          <t>Imperial Agents</t>
        </is>
      </c>
      <c r="B734" s="54" t="inlineStr">
        <is>
          <t>Sisters of Battle Squad</t>
        </is>
      </c>
      <c r="C734" s="54" t="inlineStr">
        <is>
          <t>1 model</t>
        </is>
      </c>
      <c r="D734" s="55" t="n">
        <v>115</v>
      </c>
      <c r="E734" s="55" t="inlineStr">
        <is>
          <t>Sisters of Battle Squad — 1 model (115 pts)</t>
        </is>
      </c>
      <c r="F734" s="55" t="n">
        <v>115</v>
      </c>
      <c r="G734" s="54" t="n">
        <v>25</v>
      </c>
      <c r="H734" s="54" t="inlineStr">
        <is>
          <t>Uploaded PDF: Munitorum Field Manual v2.3 / March 2025</t>
        </is>
      </c>
    </row>
    <row r="735">
      <c r="A735" s="54" t="inlineStr">
        <is>
          <t>Imperial Agents</t>
        </is>
      </c>
      <c r="B735" s="54" t="inlineStr">
        <is>
          <t>Subductor Squad</t>
        </is>
      </c>
      <c r="C735" s="54" t="inlineStr">
        <is>
          <t>11 models</t>
        </is>
      </c>
      <c r="D735" s="55" t="n">
        <v>100</v>
      </c>
      <c r="E735" s="55" t="inlineStr">
        <is>
          <t>Subductor Squad — 11 models (100 pts)</t>
        </is>
      </c>
      <c r="F735" s="55" t="n">
        <v>100</v>
      </c>
      <c r="G735" s="54" t="n">
        <v>25</v>
      </c>
      <c r="H735" s="54" t="inlineStr">
        <is>
          <t>Uploaded PDF: Munitorum Field Manual v2.3 / March 2025</t>
        </is>
      </c>
    </row>
    <row r="736">
      <c r="A736" s="54" t="inlineStr">
        <is>
          <t>Imperial Agents</t>
        </is>
      </c>
      <c r="B736" s="54" t="inlineStr">
        <is>
          <t>Vigilant Squad</t>
        </is>
      </c>
      <c r="C736" s="54" t="inlineStr">
        <is>
          <t>11 models</t>
        </is>
      </c>
      <c r="D736" s="55" t="n">
        <v>85</v>
      </c>
      <c r="E736" s="55" t="inlineStr">
        <is>
          <t>Vigilant Squad — 11 models (85 pts)</t>
        </is>
      </c>
      <c r="F736" s="55" t="n">
        <v>85</v>
      </c>
      <c r="G736" s="54" t="n">
        <v>25</v>
      </c>
      <c r="H736" s="54" t="inlineStr">
        <is>
          <t>Uploaded PDF: Munitorum Field Manual v2.3 / March 2025</t>
        </is>
      </c>
    </row>
    <row r="737">
      <c r="A737" s="54" t="inlineStr">
        <is>
          <t>Imperial Agents</t>
        </is>
      </c>
      <c r="B737" s="54" t="inlineStr">
        <is>
          <t>Vindicare Assassin</t>
        </is>
      </c>
      <c r="C737" s="54" t="inlineStr">
        <is>
          <t>1 model</t>
        </is>
      </c>
      <c r="D737" s="55" t="n">
        <v>125</v>
      </c>
      <c r="E737" s="55" t="inlineStr">
        <is>
          <t>Vindicare Assassin — 1 model (125 pts)</t>
        </is>
      </c>
      <c r="F737" s="55" t="n">
        <v>125</v>
      </c>
      <c r="G737" s="54" t="n">
        <v>25</v>
      </c>
      <c r="H737" s="54" t="inlineStr">
        <is>
          <t>Uploaded PDF: Munitorum Field Manual v2.3 / March 2025</t>
        </is>
      </c>
    </row>
    <row r="738">
      <c r="A738" s="54" t="inlineStr">
        <is>
          <t>Imperial Agents</t>
        </is>
      </c>
      <c r="B738" s="54" t="inlineStr">
        <is>
          <t>Voidsmen-at-Arms</t>
        </is>
      </c>
      <c r="C738" s="54" t="inlineStr">
        <is>
          <t>6 models</t>
        </is>
      </c>
      <c r="D738" s="55" t="n">
        <v>70</v>
      </c>
      <c r="E738" s="55" t="inlineStr">
        <is>
          <t>Voidsmen-at-Arms — 6 models (70 pts)</t>
        </is>
      </c>
      <c r="F738" s="55" t="n">
        <v>70</v>
      </c>
      <c r="G738" s="54" t="n">
        <v>25</v>
      </c>
      <c r="H738" s="54" t="inlineStr">
        <is>
          <t>Uploaded PDF: Munitorum Field Manual v2.3 / March 2025</t>
        </is>
      </c>
    </row>
    <row r="739">
      <c r="A739" s="54" t="inlineStr">
        <is>
          <t>Imperial Agents</t>
        </is>
      </c>
      <c r="B739" s="54" t="inlineStr">
        <is>
          <t>Watch Captain Artemis</t>
        </is>
      </c>
      <c r="C739" s="54" t="inlineStr">
        <is>
          <t>1 model</t>
        </is>
      </c>
      <c r="D739" s="55" t="n">
        <v>65</v>
      </c>
      <c r="E739" s="55" t="inlineStr">
        <is>
          <t>Watch Captain Artemis — 1 model (65 pts)</t>
        </is>
      </c>
      <c r="F739" s="55" t="n">
        <v>65</v>
      </c>
      <c r="G739" s="54" t="n">
        <v>25</v>
      </c>
      <c r="H739" s="54" t="inlineStr">
        <is>
          <t>Uploaded PDF: Munitorum Field Manual v2.3 / March 2025</t>
        </is>
      </c>
    </row>
    <row r="740">
      <c r="A740" s="54" t="inlineStr">
        <is>
          <t>Imperial Agents</t>
        </is>
      </c>
      <c r="B740" s="54" t="inlineStr">
        <is>
          <t>Watch Master</t>
        </is>
      </c>
      <c r="C740" s="54" t="inlineStr">
        <is>
          <t>1 model</t>
        </is>
      </c>
      <c r="D740" s="55" t="n">
        <v>105</v>
      </c>
      <c r="E740" s="55" t="inlineStr">
        <is>
          <t>Watch Master — 1 model (105 pts)</t>
        </is>
      </c>
      <c r="F740" s="55" t="n">
        <v>105</v>
      </c>
      <c r="G740" s="54" t="n">
        <v>25</v>
      </c>
      <c r="H740" s="54" t="inlineStr">
        <is>
          <t>Uploaded PDF: Munitorum Field Manual v2.3 / March 2025</t>
        </is>
      </c>
    </row>
    <row r="741">
      <c r="A741" s="54" t="inlineStr">
        <is>
          <t>Imperial Knights</t>
        </is>
      </c>
      <c r="B741" s="54" t="inlineStr">
        <is>
          <t>Armiger Helverin</t>
        </is>
      </c>
      <c r="C741" s="54" t="inlineStr">
        <is>
          <t>1 model</t>
        </is>
      </c>
      <c r="D741" s="55" t="n">
        <v>130</v>
      </c>
      <c r="E741" s="55" t="inlineStr">
        <is>
          <t>Armiger Helverin — 1 model (130 pts)</t>
        </is>
      </c>
      <c r="F741" s="55" t="n">
        <v>130</v>
      </c>
      <c r="G741" s="54" t="n">
        <v>26</v>
      </c>
      <c r="H741" s="54" t="inlineStr">
        <is>
          <t>Uploaded PDF: Munitorum Field Manual v2.3 / March 2025</t>
        </is>
      </c>
    </row>
    <row r="742">
      <c r="A742" s="54" t="inlineStr">
        <is>
          <t>Imperial Knights</t>
        </is>
      </c>
      <c r="B742" s="54" t="inlineStr">
        <is>
          <t>Armiger Warglaive</t>
        </is>
      </c>
      <c r="C742" s="54" t="inlineStr">
        <is>
          <t>1 model</t>
        </is>
      </c>
      <c r="D742" s="55" t="n">
        <v>140</v>
      </c>
      <c r="E742" s="55" t="inlineStr">
        <is>
          <t>Armiger Warglaive — 1 model (140 pts)</t>
        </is>
      </c>
      <c r="F742" s="55" t="n">
        <v>140</v>
      </c>
      <c r="G742" s="54" t="n">
        <v>26</v>
      </c>
      <c r="H742" s="54" t="inlineStr">
        <is>
          <t>Uploaded PDF: Munitorum Field Manual v2.3 / March 2025</t>
        </is>
      </c>
    </row>
    <row r="743">
      <c r="A743" s="54" t="inlineStr">
        <is>
          <t>Imperial Knights</t>
        </is>
      </c>
      <c r="B743" s="54" t="inlineStr">
        <is>
          <t>Canis Rex</t>
        </is>
      </c>
      <c r="C743" s="54" t="inlineStr">
        <is>
          <t>1 model</t>
        </is>
      </c>
      <c r="D743" s="55" t="n">
        <v>450</v>
      </c>
      <c r="E743" s="55" t="inlineStr">
        <is>
          <t>Canis Rex — 1 model (450 pts)</t>
        </is>
      </c>
      <c r="F743" s="55" t="n">
        <v>450</v>
      </c>
      <c r="G743" s="54" t="n">
        <v>26</v>
      </c>
      <c r="H743" s="54" t="inlineStr">
        <is>
          <t>Uploaded PDF: Munitorum Field Manual v2.3 / March 2025</t>
        </is>
      </c>
    </row>
    <row r="744">
      <c r="A744" s="54" t="inlineStr">
        <is>
          <t>Imperial Knights</t>
        </is>
      </c>
      <c r="B744" s="54" t="inlineStr">
        <is>
          <t>Knight Castellan</t>
        </is>
      </c>
      <c r="C744" s="54" t="inlineStr">
        <is>
          <t>1 model</t>
        </is>
      </c>
      <c r="D744" s="55" t="n">
        <v>480</v>
      </c>
      <c r="E744" s="55" t="inlineStr">
        <is>
          <t>Knight Castellan — 1 model (480 pts)</t>
        </is>
      </c>
      <c r="F744" s="55" t="n">
        <v>480</v>
      </c>
      <c r="G744" s="54" t="n">
        <v>26</v>
      </c>
      <c r="H744" s="54" t="inlineStr">
        <is>
          <t>Uploaded PDF: Munitorum Field Manual v2.3 / March 2025</t>
        </is>
      </c>
    </row>
    <row r="745">
      <c r="A745" s="54" t="inlineStr">
        <is>
          <t>Imperial Knights</t>
        </is>
      </c>
      <c r="B745" s="54" t="inlineStr">
        <is>
          <t>Knight Crusader</t>
        </is>
      </c>
      <c r="C745" s="54" t="inlineStr">
        <is>
          <t>1 model</t>
        </is>
      </c>
      <c r="D745" s="55" t="n">
        <v>445</v>
      </c>
      <c r="E745" s="55" t="inlineStr">
        <is>
          <t>Knight Crusader — 1 model (445 pts)</t>
        </is>
      </c>
      <c r="F745" s="55" t="n">
        <v>445</v>
      </c>
      <c r="G745" s="54" t="n">
        <v>26</v>
      </c>
      <c r="H745" s="54" t="inlineStr">
        <is>
          <t>Uploaded PDF: Munitorum Field Manual v2.3 / March 2025</t>
        </is>
      </c>
    </row>
    <row r="746">
      <c r="A746" s="54" t="inlineStr">
        <is>
          <t>Imperial Knights</t>
        </is>
      </c>
      <c r="B746" s="54" t="inlineStr">
        <is>
          <t>Knight Errant</t>
        </is>
      </c>
      <c r="C746" s="54" t="inlineStr">
        <is>
          <t>1 model</t>
        </is>
      </c>
      <c r="D746" s="55" t="n">
        <v>390</v>
      </c>
      <c r="E746" s="55" t="inlineStr">
        <is>
          <t>Knight Errant — 1 model (390 pts)</t>
        </is>
      </c>
      <c r="F746" s="55" t="n">
        <v>390</v>
      </c>
      <c r="G746" s="54" t="n">
        <v>26</v>
      </c>
      <c r="H746" s="54" t="inlineStr">
        <is>
          <t>Uploaded PDF: Munitorum Field Manual v2.3 / March 2025</t>
        </is>
      </c>
    </row>
    <row r="747">
      <c r="A747" s="54" t="inlineStr">
        <is>
          <t>Imperial Knights</t>
        </is>
      </c>
      <c r="B747" s="54" t="inlineStr">
        <is>
          <t>Knight Gallant</t>
        </is>
      </c>
      <c r="C747" s="54" t="inlineStr">
        <is>
          <t>1 model</t>
        </is>
      </c>
      <c r="D747" s="55" t="n">
        <v>380</v>
      </c>
      <c r="E747" s="55" t="inlineStr">
        <is>
          <t>Knight Gallant — 1 model (380 pts)</t>
        </is>
      </c>
      <c r="F747" s="55" t="n">
        <v>380</v>
      </c>
      <c r="G747" s="54" t="n">
        <v>26</v>
      </c>
      <c r="H747" s="54" t="inlineStr">
        <is>
          <t>Uploaded PDF: Munitorum Field Manual v2.3 / March 2025</t>
        </is>
      </c>
    </row>
    <row r="748">
      <c r="A748" s="54" t="inlineStr">
        <is>
          <t>Imperial Knights</t>
        </is>
      </c>
      <c r="B748" s="54" t="inlineStr">
        <is>
          <t>Knight Paladin</t>
        </is>
      </c>
      <c r="C748" s="54" t="inlineStr">
        <is>
          <t>1 model</t>
        </is>
      </c>
      <c r="D748" s="55" t="n">
        <v>405</v>
      </c>
      <c r="E748" s="55" t="inlineStr">
        <is>
          <t>Knight Paladin — 1 model (405 pts)</t>
        </is>
      </c>
      <c r="F748" s="55" t="n">
        <v>405</v>
      </c>
      <c r="G748" s="54" t="n">
        <v>26</v>
      </c>
      <c r="H748" s="54" t="inlineStr">
        <is>
          <t>Uploaded PDF: Munitorum Field Manual v2.3 / March 2025</t>
        </is>
      </c>
    </row>
    <row r="749">
      <c r="A749" s="54" t="inlineStr">
        <is>
          <t>Imperial Knights</t>
        </is>
      </c>
      <c r="B749" s="54" t="inlineStr">
        <is>
          <t>Knight Preceptor</t>
        </is>
      </c>
      <c r="C749" s="54" t="inlineStr">
        <is>
          <t>1 model</t>
        </is>
      </c>
      <c r="D749" s="55" t="n">
        <v>405</v>
      </c>
      <c r="E749" s="55" t="inlineStr">
        <is>
          <t>Knight Preceptor — 1 model (405 pts)</t>
        </is>
      </c>
      <c r="F749" s="55" t="n">
        <v>405</v>
      </c>
      <c r="G749" s="54" t="n">
        <v>26</v>
      </c>
      <c r="H749" s="54" t="inlineStr">
        <is>
          <t>Uploaded PDF: Munitorum Field Manual v2.3 / March 2025</t>
        </is>
      </c>
    </row>
    <row r="750">
      <c r="A750" s="54" t="inlineStr">
        <is>
          <t>Imperial Knights</t>
        </is>
      </c>
      <c r="B750" s="54" t="inlineStr">
        <is>
          <t>Knight Valiant</t>
        </is>
      </c>
      <c r="C750" s="54" t="inlineStr">
        <is>
          <t>1 model</t>
        </is>
      </c>
      <c r="D750" s="55" t="n">
        <v>480</v>
      </c>
      <c r="E750" s="55" t="inlineStr">
        <is>
          <t>Knight Valiant — 1 model (480 pts)</t>
        </is>
      </c>
      <c r="F750" s="55" t="n">
        <v>480</v>
      </c>
      <c r="G750" s="54" t="n">
        <v>26</v>
      </c>
      <c r="H750" s="54" t="inlineStr">
        <is>
          <t>Uploaded PDF: Munitorum Field Manual v2.3 / March 2025</t>
        </is>
      </c>
    </row>
    <row r="751">
      <c r="A751" s="54" t="inlineStr">
        <is>
          <t>Imperial Knights</t>
        </is>
      </c>
      <c r="B751" s="54" t="inlineStr">
        <is>
          <t>Knight Warden</t>
        </is>
      </c>
      <c r="C751" s="54" t="inlineStr">
        <is>
          <t>1 model</t>
        </is>
      </c>
      <c r="D751" s="55" t="n">
        <v>450</v>
      </c>
      <c r="E751" s="55" t="inlineStr">
        <is>
          <t>Knight Warden — 1 model (450 pts)</t>
        </is>
      </c>
      <c r="F751" s="55" t="n">
        <v>450</v>
      </c>
      <c r="G751" s="54" t="n">
        <v>26</v>
      </c>
      <c r="H751" s="54" t="inlineStr">
        <is>
          <t>Uploaded PDF: Munitorum Field Manual v2.3 / March 2025</t>
        </is>
      </c>
    </row>
    <row r="752">
      <c r="A752" s="54" t="inlineStr">
        <is>
          <t>Imperial Knights</t>
        </is>
      </c>
      <c r="B752" s="54" t="inlineStr">
        <is>
          <t>Acastus Knight Asterius</t>
        </is>
      </c>
      <c r="C752" s="54" t="inlineStr">
        <is>
          <t>1 model</t>
        </is>
      </c>
      <c r="D752" s="55" t="n">
        <v>765</v>
      </c>
      <c r="E752" s="55" t="inlineStr">
        <is>
          <t>Acastus Knight Asterius — 1 model (765 pts)</t>
        </is>
      </c>
      <c r="F752" s="55" t="n">
        <v>765</v>
      </c>
      <c r="G752" s="54" t="n">
        <v>26</v>
      </c>
      <c r="H752" s="54" t="inlineStr">
        <is>
          <t>Uploaded PDF: Munitorum Field Manual v2.3 / March 2025</t>
        </is>
      </c>
    </row>
    <row r="753">
      <c r="A753" s="54" t="inlineStr">
        <is>
          <t>Imperial Knights</t>
        </is>
      </c>
      <c r="B753" s="54" t="inlineStr">
        <is>
          <t>Acastus Knight Porphyrion</t>
        </is>
      </c>
      <c r="C753" s="54" t="inlineStr">
        <is>
          <t>1 model</t>
        </is>
      </c>
      <c r="D753" s="55" t="n">
        <v>710</v>
      </c>
      <c r="E753" s="55" t="inlineStr">
        <is>
          <t>Acastus Knight Porphyrion — 1 model (710 pts)</t>
        </is>
      </c>
      <c r="F753" s="55" t="n">
        <v>710</v>
      </c>
      <c r="G753" s="54" t="n">
        <v>26</v>
      </c>
      <c r="H753" s="54" t="inlineStr">
        <is>
          <t>Uploaded PDF: Munitorum Field Manual v2.3 / March 2025</t>
        </is>
      </c>
    </row>
    <row r="754">
      <c r="A754" s="54" t="inlineStr">
        <is>
          <t>Imperial Knights</t>
        </is>
      </c>
      <c r="B754" s="54" t="inlineStr">
        <is>
          <t>Armiger Moirax</t>
        </is>
      </c>
      <c r="C754" s="54" t="inlineStr">
        <is>
          <t>1 model</t>
        </is>
      </c>
      <c r="D754" s="55" t="n">
        <v>160</v>
      </c>
      <c r="E754" s="55" t="inlineStr">
        <is>
          <t>Armiger Moirax — 1 model (160 pts)</t>
        </is>
      </c>
      <c r="F754" s="55" t="n">
        <v>160</v>
      </c>
      <c r="G754" s="54" t="n">
        <v>26</v>
      </c>
      <c r="H754" s="54" t="inlineStr">
        <is>
          <t>Uploaded PDF: Munitorum Field Manual v2.3 / March 2025</t>
        </is>
      </c>
    </row>
    <row r="755">
      <c r="A755" s="54" t="inlineStr">
        <is>
          <t>Imperial Knights</t>
        </is>
      </c>
      <c r="B755" s="54" t="inlineStr">
        <is>
          <t>Cerastus Knight Acheron</t>
        </is>
      </c>
      <c r="C755" s="54" t="inlineStr">
        <is>
          <t>1 model</t>
        </is>
      </c>
      <c r="D755" s="55" t="n">
        <v>425</v>
      </c>
      <c r="E755" s="55" t="inlineStr">
        <is>
          <t>Cerastus Knight Acheron — 1 model (425 pts)</t>
        </is>
      </c>
      <c r="F755" s="55" t="n">
        <v>425</v>
      </c>
      <c r="G755" s="54" t="n">
        <v>26</v>
      </c>
      <c r="H755" s="54" t="inlineStr">
        <is>
          <t>Uploaded PDF: Munitorum Field Manual v2.3 / March 2025</t>
        </is>
      </c>
    </row>
    <row r="756">
      <c r="A756" s="54" t="inlineStr">
        <is>
          <t>Imperial Knights</t>
        </is>
      </c>
      <c r="B756" s="54" t="inlineStr">
        <is>
          <t>Cerastus Knight Atrapos</t>
        </is>
      </c>
      <c r="C756" s="54" t="inlineStr">
        <is>
          <t>1 model</t>
        </is>
      </c>
      <c r="D756" s="55" t="n">
        <v>425</v>
      </c>
      <c r="E756" s="55" t="inlineStr">
        <is>
          <t>Cerastus Knight Atrapos — 1 model (425 pts)</t>
        </is>
      </c>
      <c r="F756" s="55" t="n">
        <v>425</v>
      </c>
      <c r="G756" s="54" t="n">
        <v>26</v>
      </c>
      <c r="H756" s="54" t="inlineStr">
        <is>
          <t>Uploaded PDF: Munitorum Field Manual v2.3 / March 2025</t>
        </is>
      </c>
    </row>
    <row r="757">
      <c r="A757" s="54" t="inlineStr">
        <is>
          <t>Imperial Knights</t>
        </is>
      </c>
      <c r="B757" s="54" t="inlineStr">
        <is>
          <t>Cerastus Knight Castigator</t>
        </is>
      </c>
      <c r="C757" s="54" t="inlineStr">
        <is>
          <t>1 model</t>
        </is>
      </c>
      <c r="D757" s="55" t="n">
        <v>465</v>
      </c>
      <c r="E757" s="55" t="inlineStr">
        <is>
          <t>Cerastus Knight Castigator — 1 model (465 pts)</t>
        </is>
      </c>
      <c r="F757" s="55" t="n">
        <v>465</v>
      </c>
      <c r="G757" s="54" t="n">
        <v>26</v>
      </c>
      <c r="H757" s="54" t="inlineStr">
        <is>
          <t>Uploaded PDF: Munitorum Field Manual v2.3 / March 2025</t>
        </is>
      </c>
    </row>
    <row r="758">
      <c r="A758" s="54" t="inlineStr">
        <is>
          <t>Imperial Knights</t>
        </is>
      </c>
      <c r="B758" s="54" t="inlineStr">
        <is>
          <t>Cerastus Knight Lancer</t>
        </is>
      </c>
      <c r="C758" s="54" t="inlineStr">
        <is>
          <t>1 model</t>
        </is>
      </c>
      <c r="D758" s="55" t="n">
        <v>430</v>
      </c>
      <c r="E758" s="55" t="inlineStr">
        <is>
          <t>Cerastus Knight Lancer — 1 model (430 pts)</t>
        </is>
      </c>
      <c r="F758" s="55" t="n">
        <v>430</v>
      </c>
      <c r="G758" s="54" t="n">
        <v>26</v>
      </c>
      <c r="H758" s="54" t="inlineStr">
        <is>
          <t>Uploaded PDF: Munitorum Field Manual v2.3 / March 2025</t>
        </is>
      </c>
    </row>
    <row r="759">
      <c r="A759" s="54" t="inlineStr">
        <is>
          <t>Imperial Knights</t>
        </is>
      </c>
      <c r="B759" s="54" t="inlineStr">
        <is>
          <t>Questoris Knight Magaera</t>
        </is>
      </c>
      <c r="C759" s="54" t="inlineStr">
        <is>
          <t>1 model</t>
        </is>
      </c>
      <c r="D759" s="55" t="n">
        <v>425</v>
      </c>
      <c r="E759" s="55" t="inlineStr">
        <is>
          <t>Questoris Knight Magaera — 1 model (425 pts)</t>
        </is>
      </c>
      <c r="F759" s="55" t="n">
        <v>425</v>
      </c>
      <c r="G759" s="54" t="n">
        <v>26</v>
      </c>
      <c r="H759" s="54" t="inlineStr">
        <is>
          <t>Uploaded PDF: Munitorum Field Manual v2.3 / March 2025</t>
        </is>
      </c>
    </row>
    <row r="760">
      <c r="A760" s="54" t="inlineStr">
        <is>
          <t>Imperial Knights</t>
        </is>
      </c>
      <c r="B760" s="54" t="inlineStr">
        <is>
          <t>Questoris Knight Styrix</t>
        </is>
      </c>
      <c r="C760" s="54" t="inlineStr">
        <is>
          <t>1 model</t>
        </is>
      </c>
      <c r="D760" s="55" t="n">
        <v>430</v>
      </c>
      <c r="E760" s="55" t="inlineStr">
        <is>
          <t>Questoris Knight Styrix — 1 model (430 pts)</t>
        </is>
      </c>
      <c r="F760" s="55" t="n">
        <v>430</v>
      </c>
      <c r="G760" s="54" t="n">
        <v>26</v>
      </c>
      <c r="H760" s="54" t="inlineStr">
        <is>
          <t>Uploaded PDF: Munitorum Field Manual v2.3 / March 2025</t>
        </is>
      </c>
    </row>
    <row r="761">
      <c r="A761" s="54" t="inlineStr">
        <is>
          <t>Leagues of Votann</t>
        </is>
      </c>
      <c r="B761" s="54" t="inlineStr">
        <is>
          <t>Brôkhyr Iron-master</t>
        </is>
      </c>
      <c r="C761" s="54" t="inlineStr">
        <is>
          <t>5 models</t>
        </is>
      </c>
      <c r="D761" s="55" t="n">
        <v>65</v>
      </c>
      <c r="E761" s="55" t="inlineStr">
        <is>
          <t>Brôkhyr Iron-master — 5 models (65 pts)</t>
        </is>
      </c>
      <c r="F761" s="55" t="n">
        <v>65</v>
      </c>
      <c r="G761" s="54" t="n">
        <v>27</v>
      </c>
      <c r="H761" s="54" t="inlineStr">
        <is>
          <t>Uploaded PDF: Munitorum Field Manual v2.3 / March 2025</t>
        </is>
      </c>
    </row>
    <row r="762">
      <c r="A762" s="54" t="inlineStr">
        <is>
          <t>Leagues of Votann</t>
        </is>
      </c>
      <c r="B762" s="54" t="inlineStr">
        <is>
          <t>Brôkhyr Thunderkyn</t>
        </is>
      </c>
      <c r="C762" s="54" t="inlineStr">
        <is>
          <t>3 models</t>
        </is>
      </c>
      <c r="D762" s="55" t="n">
        <v>80</v>
      </c>
      <c r="E762" s="55" t="inlineStr">
        <is>
          <t>Brôkhyr Thunderkyn — 3 models (80 pts)</t>
        </is>
      </c>
      <c r="F762" s="55" t="n">
        <v>80</v>
      </c>
      <c r="G762" s="54" t="n">
        <v>27</v>
      </c>
      <c r="H762" s="54" t="inlineStr">
        <is>
          <t>Uploaded PDF: Munitorum Field Manual v2.3 / March 2025</t>
        </is>
      </c>
    </row>
    <row r="763">
      <c r="A763" s="54" t="inlineStr">
        <is>
          <t>Leagues of Votann</t>
        </is>
      </c>
      <c r="B763" s="54" t="inlineStr">
        <is>
          <t>Brôkhyr Thunderkyn</t>
        </is>
      </c>
      <c r="C763" s="54" t="inlineStr">
        <is>
          <t>6 models</t>
        </is>
      </c>
      <c r="D763" s="55" t="n">
        <v>160</v>
      </c>
      <c r="E763" s="55" t="inlineStr">
        <is>
          <t>Brôkhyr Thunderkyn — 6 models (160 pts)</t>
        </is>
      </c>
      <c r="F763" s="55" t="n">
        <v>160</v>
      </c>
      <c r="G763" s="54" t="n">
        <v>27</v>
      </c>
      <c r="H763" s="54" t="inlineStr">
        <is>
          <t>Uploaded PDF: Munitorum Field Manual v2.3 / March 2025</t>
        </is>
      </c>
    </row>
    <row r="764">
      <c r="A764" s="54" t="inlineStr">
        <is>
          <t>Leagues of Votann</t>
        </is>
      </c>
      <c r="B764" s="54" t="inlineStr">
        <is>
          <t>Cthonian Beserks</t>
        </is>
      </c>
      <c r="C764" s="54" t="inlineStr">
        <is>
          <t>5 models</t>
        </is>
      </c>
      <c r="D764" s="55" t="n">
        <v>100</v>
      </c>
      <c r="E764" s="55" t="inlineStr">
        <is>
          <t>Cthonian Beserks — 5 models (100 pts)</t>
        </is>
      </c>
      <c r="F764" s="55" t="n">
        <v>100</v>
      </c>
      <c r="G764" s="54" t="n">
        <v>27</v>
      </c>
      <c r="H764" s="54" t="inlineStr">
        <is>
          <t>Uploaded PDF: Munitorum Field Manual v2.3 / March 2025</t>
        </is>
      </c>
    </row>
    <row r="765">
      <c r="A765" s="54" t="inlineStr">
        <is>
          <t>Leagues of Votann</t>
        </is>
      </c>
      <c r="B765" s="54" t="inlineStr">
        <is>
          <t>Cthonian Beserks</t>
        </is>
      </c>
      <c r="C765" s="54" t="inlineStr">
        <is>
          <t>10 models</t>
        </is>
      </c>
      <c r="D765" s="55" t="n">
        <v>200</v>
      </c>
      <c r="E765" s="55" t="inlineStr">
        <is>
          <t>Cthonian Beserks — 10 models (200 pts)</t>
        </is>
      </c>
      <c r="F765" s="55" t="n">
        <v>200</v>
      </c>
      <c r="G765" s="54" t="n">
        <v>27</v>
      </c>
      <c r="H765" s="54" t="inlineStr">
        <is>
          <t>Uploaded PDF: Munitorum Field Manual v2.3 / March 2025</t>
        </is>
      </c>
    </row>
    <row r="766">
      <c r="A766" s="54" t="inlineStr">
        <is>
          <t>Leagues of Votann</t>
        </is>
      </c>
      <c r="B766" s="54" t="inlineStr">
        <is>
          <t>Einhyr Champion</t>
        </is>
      </c>
      <c r="C766" s="54" t="inlineStr">
        <is>
          <t>1 model</t>
        </is>
      </c>
      <c r="D766" s="55" t="n">
        <v>60</v>
      </c>
      <c r="E766" s="55" t="inlineStr">
        <is>
          <t>Einhyr Champion — 1 model (60 pts)</t>
        </is>
      </c>
      <c r="F766" s="55" t="n">
        <v>60</v>
      </c>
      <c r="G766" s="54" t="n">
        <v>27</v>
      </c>
      <c r="H766" s="54" t="inlineStr">
        <is>
          <t>Uploaded PDF: Munitorum Field Manual v2.3 / March 2025</t>
        </is>
      </c>
    </row>
    <row r="767">
      <c r="A767" s="54" t="inlineStr">
        <is>
          <t>Leagues of Votann</t>
        </is>
      </c>
      <c r="B767" s="54" t="inlineStr">
        <is>
          <t>Einhyr Hearthguard</t>
        </is>
      </c>
      <c r="C767" s="54" t="inlineStr">
        <is>
          <t>5 models</t>
        </is>
      </c>
      <c r="D767" s="55" t="n">
        <v>150</v>
      </c>
      <c r="E767" s="55" t="inlineStr">
        <is>
          <t>Einhyr Hearthguard — 5 models (150 pts)</t>
        </is>
      </c>
      <c r="F767" s="55" t="n">
        <v>150</v>
      </c>
      <c r="G767" s="54" t="n">
        <v>27</v>
      </c>
      <c r="H767" s="54" t="inlineStr">
        <is>
          <t>Uploaded PDF: Munitorum Field Manual v2.3 / March 2025</t>
        </is>
      </c>
    </row>
    <row r="768">
      <c r="A768" s="54" t="inlineStr">
        <is>
          <t>Leagues of Votann</t>
        </is>
      </c>
      <c r="B768" s="54" t="inlineStr">
        <is>
          <t>Einhyr Hearthguard</t>
        </is>
      </c>
      <c r="C768" s="54" t="inlineStr">
        <is>
          <t>10 models</t>
        </is>
      </c>
      <c r="D768" s="55" t="n">
        <v>320</v>
      </c>
      <c r="E768" s="55" t="inlineStr">
        <is>
          <t>Einhyr Hearthguard — 10 models (320 pts)</t>
        </is>
      </c>
      <c r="F768" s="55" t="n">
        <v>320</v>
      </c>
      <c r="G768" s="54" t="n">
        <v>27</v>
      </c>
      <c r="H768" s="54" t="inlineStr">
        <is>
          <t>Uploaded PDF: Munitorum Field Manual v2.3 / March 2025</t>
        </is>
      </c>
    </row>
    <row r="769">
      <c r="A769" s="54" t="inlineStr">
        <is>
          <t>Leagues of Votann</t>
        </is>
      </c>
      <c r="B769" s="54" t="inlineStr">
        <is>
          <t>Grimnyr</t>
        </is>
      </c>
      <c r="C769" s="54" t="inlineStr">
        <is>
          <t>3 models</t>
        </is>
      </c>
      <c r="D769" s="55" t="n">
        <v>65</v>
      </c>
      <c r="E769" s="55" t="inlineStr">
        <is>
          <t>Grimnyr — 3 models (65 pts)</t>
        </is>
      </c>
      <c r="F769" s="55" t="n">
        <v>65</v>
      </c>
      <c r="G769" s="54" t="n">
        <v>27</v>
      </c>
      <c r="H769" s="54" t="inlineStr">
        <is>
          <t>Uploaded PDF: Munitorum Field Manual v2.3 / March 2025</t>
        </is>
      </c>
    </row>
    <row r="770">
      <c r="A770" s="54" t="inlineStr">
        <is>
          <t>Leagues of Votann</t>
        </is>
      </c>
      <c r="B770" s="54" t="inlineStr">
        <is>
          <t>Hearthkyn Warriors</t>
        </is>
      </c>
      <c r="C770" s="54" t="inlineStr">
        <is>
          <t>10 models</t>
        </is>
      </c>
      <c r="D770" s="55" t="n">
        <v>100</v>
      </c>
      <c r="E770" s="55" t="inlineStr">
        <is>
          <t>Hearthkyn Warriors — 10 models (100 pts)</t>
        </is>
      </c>
      <c r="F770" s="55" t="n">
        <v>100</v>
      </c>
      <c r="G770" s="54" t="n">
        <v>27</v>
      </c>
      <c r="H770" s="54" t="inlineStr">
        <is>
          <t>Uploaded PDF: Munitorum Field Manual v2.3 / March 2025</t>
        </is>
      </c>
    </row>
    <row r="771">
      <c r="A771" s="54" t="inlineStr">
        <is>
          <t>Leagues of Votann</t>
        </is>
      </c>
      <c r="B771" s="54" t="inlineStr">
        <is>
          <t>Hekaton Land Fortress</t>
        </is>
      </c>
      <c r="C771" s="54" t="inlineStr">
        <is>
          <t>1 model</t>
        </is>
      </c>
      <c r="D771" s="55" t="n">
        <v>225</v>
      </c>
      <c r="E771" s="55" t="inlineStr">
        <is>
          <t>Hekaton Land Fortress — 1 model (225 pts)</t>
        </is>
      </c>
      <c r="F771" s="55" t="n">
        <v>225</v>
      </c>
      <c r="G771" s="54" t="n">
        <v>27</v>
      </c>
      <c r="H771" s="54" t="inlineStr">
        <is>
          <t>Uploaded PDF: Munitorum Field Manual v2.3 / March 2025</t>
        </is>
      </c>
    </row>
    <row r="772">
      <c r="A772" s="54" t="inlineStr">
        <is>
          <t>Leagues of Votann</t>
        </is>
      </c>
      <c r="B772" s="54" t="inlineStr">
        <is>
          <t>Hernkyn Pioneers</t>
        </is>
      </c>
      <c r="C772" s="54" t="inlineStr">
        <is>
          <t>3 models</t>
        </is>
      </c>
      <c r="D772" s="55" t="n">
        <v>90</v>
      </c>
      <c r="E772" s="55" t="inlineStr">
        <is>
          <t>Hernkyn Pioneers — 3 models (90 pts)</t>
        </is>
      </c>
      <c r="F772" s="55" t="n">
        <v>90</v>
      </c>
      <c r="G772" s="54" t="n">
        <v>27</v>
      </c>
      <c r="H772" s="54" t="inlineStr">
        <is>
          <t>Uploaded PDF: Munitorum Field Manual v2.3 / March 2025</t>
        </is>
      </c>
    </row>
    <row r="773">
      <c r="A773" s="54" t="inlineStr">
        <is>
          <t>Leagues of Votann</t>
        </is>
      </c>
      <c r="B773" s="54" t="inlineStr">
        <is>
          <t>Hernkyn Pioneers</t>
        </is>
      </c>
      <c r="C773" s="54" t="inlineStr">
        <is>
          <t>6 models</t>
        </is>
      </c>
      <c r="D773" s="55" t="n">
        <v>180</v>
      </c>
      <c r="E773" s="55" t="inlineStr">
        <is>
          <t>Hernkyn Pioneers — 6 models (180 pts)</t>
        </is>
      </c>
      <c r="F773" s="55" t="n">
        <v>180</v>
      </c>
      <c r="G773" s="54" t="n">
        <v>27</v>
      </c>
      <c r="H773" s="54" t="inlineStr">
        <is>
          <t>Uploaded PDF: Munitorum Field Manual v2.3 / March 2025</t>
        </is>
      </c>
    </row>
    <row r="774">
      <c r="A774" s="54" t="inlineStr">
        <is>
          <t>Leagues of Votann</t>
        </is>
      </c>
      <c r="B774" s="54" t="inlineStr">
        <is>
          <t>Hernkyn Yaegirs</t>
        </is>
      </c>
      <c r="C774" s="54" t="inlineStr">
        <is>
          <t>10 models</t>
        </is>
      </c>
      <c r="D774" s="55" t="n">
        <v>90</v>
      </c>
      <c r="E774" s="55" t="inlineStr">
        <is>
          <t>Hernkyn Yaegirs — 10 models (90 pts)</t>
        </is>
      </c>
      <c r="F774" s="55" t="n">
        <v>90</v>
      </c>
      <c r="G774" s="54" t="n">
        <v>27</v>
      </c>
      <c r="H774" s="54" t="inlineStr">
        <is>
          <t>Uploaded PDF: Munitorum Field Manual v2.3 / March 2025</t>
        </is>
      </c>
    </row>
    <row r="775">
      <c r="A775" s="54" t="inlineStr">
        <is>
          <t>Leagues of Votann</t>
        </is>
      </c>
      <c r="B775" s="54" t="inlineStr">
        <is>
          <t>Kâhl</t>
        </is>
      </c>
      <c r="C775" s="54" t="inlineStr">
        <is>
          <t>1 model</t>
        </is>
      </c>
      <c r="D775" s="55" t="n">
        <v>70</v>
      </c>
      <c r="E775" s="55" t="inlineStr">
        <is>
          <t>Kâhl — 1 model (70 pts)</t>
        </is>
      </c>
      <c r="F775" s="55" t="n">
        <v>70</v>
      </c>
      <c r="G775" s="54" t="n">
        <v>27</v>
      </c>
      <c r="H775" s="54" t="inlineStr">
        <is>
          <t>Uploaded PDF: Munitorum Field Manual v2.3 / March 2025</t>
        </is>
      </c>
    </row>
    <row r="776">
      <c r="A776" s="54" t="inlineStr">
        <is>
          <t>Leagues of Votann</t>
        </is>
      </c>
      <c r="B776" s="54" t="inlineStr">
        <is>
          <t>Sagitaur</t>
        </is>
      </c>
      <c r="C776" s="54" t="inlineStr">
        <is>
          <t>1 model</t>
        </is>
      </c>
      <c r="D776" s="55" t="n">
        <v>115</v>
      </c>
      <c r="E776" s="55" t="inlineStr">
        <is>
          <t>Sagitaur — 1 model (115 pts)</t>
        </is>
      </c>
      <c r="F776" s="55" t="n">
        <v>115</v>
      </c>
      <c r="G776" s="54" t="n">
        <v>27</v>
      </c>
      <c r="H776" s="54" t="inlineStr">
        <is>
          <t>Uploaded PDF: Munitorum Field Manual v2.3 / March 2025</t>
        </is>
      </c>
    </row>
    <row r="777">
      <c r="A777" s="54" t="inlineStr">
        <is>
          <t>Leagues of Votann</t>
        </is>
      </c>
      <c r="B777" s="54" t="inlineStr">
        <is>
          <t>Ûthar the Destined</t>
        </is>
      </c>
      <c r="C777" s="54" t="inlineStr">
        <is>
          <t>1 model</t>
        </is>
      </c>
      <c r="D777" s="55" t="n">
        <v>80</v>
      </c>
      <c r="E777" s="55" t="inlineStr">
        <is>
          <t>Ûthar the Destined — 1 model (80 pts)</t>
        </is>
      </c>
      <c r="F777" s="55" t="n">
        <v>80</v>
      </c>
      <c r="G777" s="54" t="n">
        <v>27</v>
      </c>
      <c r="H777" s="54" t="inlineStr">
        <is>
          <t>Uploaded PDF: Munitorum Field Manual v2.3 / March 2025</t>
        </is>
      </c>
    </row>
    <row r="778">
      <c r="A778" s="54" t="inlineStr">
        <is>
          <t>Necrons</t>
        </is>
      </c>
      <c r="B778" s="54" t="inlineStr">
        <is>
          <t>Annihilation Barge</t>
        </is>
      </c>
      <c r="C778" s="54" t="inlineStr">
        <is>
          <t>1 model</t>
        </is>
      </c>
      <c r="D778" s="55" t="n">
        <v>105</v>
      </c>
      <c r="E778" s="55" t="inlineStr">
        <is>
          <t>Annihilation Barge — 1 model (105 pts)</t>
        </is>
      </c>
      <c r="F778" s="55" t="n">
        <v>105</v>
      </c>
      <c r="G778" s="54" t="n">
        <v>28</v>
      </c>
      <c r="H778" s="54" t="inlineStr">
        <is>
          <t>Uploaded PDF: Munitorum Field Manual v2.3 / March 2025</t>
        </is>
      </c>
    </row>
    <row r="779">
      <c r="A779" s="54" t="inlineStr">
        <is>
          <t>Necrons</t>
        </is>
      </c>
      <c r="B779" s="54" t="inlineStr">
        <is>
          <t>C’tan Shard of the Deceiver</t>
        </is>
      </c>
      <c r="C779" s="54" t="inlineStr">
        <is>
          <t>1 model</t>
        </is>
      </c>
      <c r="D779" s="55" t="n">
        <v>265</v>
      </c>
      <c r="E779" s="55" t="inlineStr">
        <is>
          <t>C’tan Shard of the Deceiver — 1 model (265 pts)</t>
        </is>
      </c>
      <c r="F779" s="55" t="n">
        <v>265</v>
      </c>
      <c r="G779" s="54" t="n">
        <v>28</v>
      </c>
      <c r="H779" s="54" t="inlineStr">
        <is>
          <t>Uploaded PDF: Munitorum Field Manual v2.3 / March 2025</t>
        </is>
      </c>
    </row>
    <row r="780">
      <c r="A780" s="54" t="inlineStr">
        <is>
          <t>Necrons</t>
        </is>
      </c>
      <c r="B780" s="54" t="inlineStr">
        <is>
          <t>C’tan Shard of the Nightbringer</t>
        </is>
      </c>
      <c r="C780" s="54" t="inlineStr">
        <is>
          <t>1 model</t>
        </is>
      </c>
      <c r="D780" s="55" t="n">
        <v>305</v>
      </c>
      <c r="E780" s="55" t="inlineStr">
        <is>
          <t>C’tan Shard of the Nightbringer — 1 model (305 pts)</t>
        </is>
      </c>
      <c r="F780" s="55" t="n">
        <v>305</v>
      </c>
      <c r="G780" s="54" t="n">
        <v>28</v>
      </c>
      <c r="H780" s="54" t="inlineStr">
        <is>
          <t>Uploaded PDF: Munitorum Field Manual v2.3 / March 2025</t>
        </is>
      </c>
    </row>
    <row r="781">
      <c r="A781" s="54" t="inlineStr">
        <is>
          <t>Necrons</t>
        </is>
      </c>
      <c r="B781" s="54" t="inlineStr">
        <is>
          <t>C’tan Shard of the Void Dragon</t>
        </is>
      </c>
      <c r="C781" s="54" t="inlineStr">
        <is>
          <t>1 model</t>
        </is>
      </c>
      <c r="D781" s="55" t="n">
        <v>300</v>
      </c>
      <c r="E781" s="55" t="inlineStr">
        <is>
          <t>C’tan Shard of the Void Dragon — 1 model (300 pts)</t>
        </is>
      </c>
      <c r="F781" s="55" t="n">
        <v>300</v>
      </c>
      <c r="G781" s="54" t="n">
        <v>28</v>
      </c>
      <c r="H781" s="54" t="inlineStr">
        <is>
          <t>Uploaded PDF: Munitorum Field Manual v2.3 / March 2025</t>
        </is>
      </c>
    </row>
    <row r="782">
      <c r="A782" s="54" t="inlineStr">
        <is>
          <t>Necrons</t>
        </is>
      </c>
      <c r="B782" s="54" t="inlineStr">
        <is>
          <t>Canoptek Doomstalker</t>
        </is>
      </c>
      <c r="C782" s="54" t="inlineStr">
        <is>
          <t>1 model</t>
        </is>
      </c>
      <c r="D782" s="55" t="n">
        <v>145</v>
      </c>
      <c r="E782" s="55" t="inlineStr">
        <is>
          <t>Canoptek Doomstalker — 1 model (145 pts)</t>
        </is>
      </c>
      <c r="F782" s="55" t="n">
        <v>145</v>
      </c>
      <c r="G782" s="54" t="n">
        <v>28</v>
      </c>
      <c r="H782" s="54" t="inlineStr">
        <is>
          <t>Uploaded PDF: Munitorum Field Manual v2.3 / March 2025</t>
        </is>
      </c>
    </row>
    <row r="783">
      <c r="A783" s="54" t="inlineStr">
        <is>
          <t>Necrons</t>
        </is>
      </c>
      <c r="B783" s="54" t="inlineStr">
        <is>
          <t>Canoptek Reanimator</t>
        </is>
      </c>
      <c r="C783" s="54" t="inlineStr">
        <is>
          <t>1 model</t>
        </is>
      </c>
      <c r="D783" s="55" t="n">
        <v>75</v>
      </c>
      <c r="E783" s="55" t="inlineStr">
        <is>
          <t>Canoptek Reanimator — 1 model (75 pts)</t>
        </is>
      </c>
      <c r="F783" s="55" t="n">
        <v>75</v>
      </c>
      <c r="G783" s="54" t="n">
        <v>28</v>
      </c>
      <c r="H783" s="54" t="inlineStr">
        <is>
          <t>Uploaded PDF: Munitorum Field Manual v2.3 / March 2025</t>
        </is>
      </c>
    </row>
    <row r="784">
      <c r="A784" s="54" t="inlineStr">
        <is>
          <t>Necrons</t>
        </is>
      </c>
      <c r="B784" s="54" t="inlineStr">
        <is>
          <t>Canoptek Scarab Swarms</t>
        </is>
      </c>
      <c r="C784" s="54" t="inlineStr">
        <is>
          <t>3 models</t>
        </is>
      </c>
      <c r="D784" s="55" t="n">
        <v>40</v>
      </c>
      <c r="E784" s="55" t="inlineStr">
        <is>
          <t>Canoptek Scarab Swarms — 3 models (40 pts)</t>
        </is>
      </c>
      <c r="F784" s="55" t="n">
        <v>40</v>
      </c>
      <c r="G784" s="54" t="n">
        <v>28</v>
      </c>
      <c r="H784" s="54" t="inlineStr">
        <is>
          <t>Uploaded PDF: Munitorum Field Manual v2.3 / March 2025</t>
        </is>
      </c>
    </row>
    <row r="785">
      <c r="A785" s="54" t="inlineStr">
        <is>
          <t>Necrons</t>
        </is>
      </c>
      <c r="B785" s="54" t="inlineStr">
        <is>
          <t>Canoptek Scarab Swarms</t>
        </is>
      </c>
      <c r="C785" s="54" t="inlineStr">
        <is>
          <t>6 models</t>
        </is>
      </c>
      <c r="D785" s="55" t="n">
        <v>80</v>
      </c>
      <c r="E785" s="55" t="inlineStr">
        <is>
          <t>Canoptek Scarab Swarms — 6 models (80 pts)</t>
        </is>
      </c>
      <c r="F785" s="55" t="n">
        <v>80</v>
      </c>
      <c r="G785" s="54" t="n">
        <v>28</v>
      </c>
      <c r="H785" s="54" t="inlineStr">
        <is>
          <t>Uploaded PDF: Munitorum Field Manual v2.3 / March 2025</t>
        </is>
      </c>
    </row>
    <row r="786">
      <c r="A786" s="54" t="inlineStr">
        <is>
          <t>Necrons</t>
        </is>
      </c>
      <c r="B786" s="54" t="inlineStr">
        <is>
          <t>Canoptek Spyders</t>
        </is>
      </c>
      <c r="C786" s="54" t="inlineStr">
        <is>
          <t>1 model</t>
        </is>
      </c>
      <c r="D786" s="55" t="n">
        <v>75</v>
      </c>
      <c r="E786" s="55" t="inlineStr">
        <is>
          <t>Canoptek Spyders — 1 model (75 pts)</t>
        </is>
      </c>
      <c r="F786" s="55" t="n">
        <v>75</v>
      </c>
      <c r="G786" s="54" t="n">
        <v>28</v>
      </c>
      <c r="H786" s="54" t="inlineStr">
        <is>
          <t>Uploaded PDF: Munitorum Field Manual v2.3 / March 2025</t>
        </is>
      </c>
    </row>
    <row r="787">
      <c r="A787" s="54" t="inlineStr">
        <is>
          <t>Necrons</t>
        </is>
      </c>
      <c r="B787" s="54" t="inlineStr">
        <is>
          <t>Canoptek Spyders</t>
        </is>
      </c>
      <c r="C787" s="54" t="inlineStr">
        <is>
          <t>2 models</t>
        </is>
      </c>
      <c r="D787" s="55" t="n">
        <v>150</v>
      </c>
      <c r="E787" s="55" t="inlineStr">
        <is>
          <t>Canoptek Spyders — 2 models (150 pts)</t>
        </is>
      </c>
      <c r="F787" s="55" t="n">
        <v>150</v>
      </c>
      <c r="G787" s="54" t="n">
        <v>28</v>
      </c>
      <c r="H787" s="54" t="inlineStr">
        <is>
          <t>Uploaded PDF: Munitorum Field Manual v2.3 / March 2025</t>
        </is>
      </c>
    </row>
    <row r="788">
      <c r="A788" s="54" t="inlineStr">
        <is>
          <t>Necrons</t>
        </is>
      </c>
      <c r="B788" s="54" t="inlineStr">
        <is>
          <t>Canoptek Wraiths</t>
        </is>
      </c>
      <c r="C788" s="54" t="inlineStr">
        <is>
          <t>3 models</t>
        </is>
      </c>
      <c r="D788" s="55" t="n">
        <v>115</v>
      </c>
      <c r="E788" s="55" t="inlineStr">
        <is>
          <t>Canoptek Wraiths — 3 models (115 pts)</t>
        </is>
      </c>
      <c r="F788" s="55" t="n">
        <v>115</v>
      </c>
      <c r="G788" s="54" t="n">
        <v>28</v>
      </c>
      <c r="H788" s="54" t="inlineStr">
        <is>
          <t>Uploaded PDF: Munitorum Field Manual v2.3 / March 2025</t>
        </is>
      </c>
    </row>
    <row r="789">
      <c r="A789" s="54" t="inlineStr">
        <is>
          <t>Necrons</t>
        </is>
      </c>
      <c r="B789" s="54" t="inlineStr">
        <is>
          <t>Canoptek Wraiths</t>
        </is>
      </c>
      <c r="C789" s="54" t="inlineStr">
        <is>
          <t>6 models</t>
        </is>
      </c>
      <c r="D789" s="55" t="n">
        <v>230</v>
      </c>
      <c r="E789" s="55" t="inlineStr">
        <is>
          <t>Canoptek Wraiths — 6 models (230 pts)</t>
        </is>
      </c>
      <c r="F789" s="55" t="n">
        <v>230</v>
      </c>
      <c r="G789" s="54" t="n">
        <v>28</v>
      </c>
      <c r="H789" s="54" t="inlineStr">
        <is>
          <t>Uploaded PDF: Munitorum Field Manual v2.3 / March 2025</t>
        </is>
      </c>
    </row>
    <row r="790">
      <c r="A790" s="54" t="inlineStr">
        <is>
          <t>Necrons</t>
        </is>
      </c>
      <c r="B790" s="54" t="inlineStr">
        <is>
          <t>Catacomb Command Barge</t>
        </is>
      </c>
      <c r="C790" s="54" t="inlineStr">
        <is>
          <t>1 model</t>
        </is>
      </c>
      <c r="D790" s="55" t="n">
        <v>120</v>
      </c>
      <c r="E790" s="55" t="inlineStr">
        <is>
          <t>Catacomb Command Barge — 1 model (120 pts)</t>
        </is>
      </c>
      <c r="F790" s="55" t="n">
        <v>120</v>
      </c>
      <c r="G790" s="54" t="n">
        <v>28</v>
      </c>
      <c r="H790" s="54" t="inlineStr">
        <is>
          <t>Uploaded PDF: Munitorum Field Manual v2.3 / March 2025</t>
        </is>
      </c>
    </row>
    <row r="791">
      <c r="A791" s="54" t="inlineStr">
        <is>
          <t>Necrons</t>
        </is>
      </c>
      <c r="B791" s="54" t="inlineStr">
        <is>
          <t>Chronomancer</t>
        </is>
      </c>
      <c r="C791" s="54" t="inlineStr">
        <is>
          <t>1 model</t>
        </is>
      </c>
      <c r="D791" s="55" t="n">
        <v>65</v>
      </c>
      <c r="E791" s="55" t="inlineStr">
        <is>
          <t>Chronomancer — 1 model (65 pts)</t>
        </is>
      </c>
      <c r="F791" s="55" t="n">
        <v>65</v>
      </c>
      <c r="G791" s="54" t="n">
        <v>28</v>
      </c>
      <c r="H791" s="54" t="inlineStr">
        <is>
          <t>Uploaded PDF: Munitorum Field Manual v2.3 / March 2025</t>
        </is>
      </c>
    </row>
    <row r="792">
      <c r="A792" s="54" t="inlineStr">
        <is>
          <t>Necrons</t>
        </is>
      </c>
      <c r="B792" s="54" t="inlineStr">
        <is>
          <t>Convergence of Dominion</t>
        </is>
      </c>
      <c r="C792" s="54" t="inlineStr">
        <is>
          <t>1 model</t>
        </is>
      </c>
      <c r="D792" s="55" t="n">
        <v>60</v>
      </c>
      <c r="E792" s="55" t="inlineStr">
        <is>
          <t>Convergence of Dominion — 1 model (60 pts)</t>
        </is>
      </c>
      <c r="F792" s="55" t="n">
        <v>60</v>
      </c>
      <c r="G792" s="54" t="n">
        <v>28</v>
      </c>
      <c r="H792" s="54" t="inlineStr">
        <is>
          <t>Uploaded PDF: Munitorum Field Manual v2.3 / March 2025</t>
        </is>
      </c>
    </row>
    <row r="793">
      <c r="A793" s="54" t="inlineStr">
        <is>
          <t>Necrons</t>
        </is>
      </c>
      <c r="B793" s="54" t="inlineStr">
        <is>
          <t>Convergence of Dominion</t>
        </is>
      </c>
      <c r="C793" s="54" t="inlineStr">
        <is>
          <t>2 models</t>
        </is>
      </c>
      <c r="D793" s="55" t="n">
        <v>120</v>
      </c>
      <c r="E793" s="55" t="inlineStr">
        <is>
          <t>Convergence of Dominion — 2 models (120 pts)</t>
        </is>
      </c>
      <c r="F793" s="55" t="n">
        <v>120</v>
      </c>
      <c r="G793" s="54" t="n">
        <v>28</v>
      </c>
      <c r="H793" s="54" t="inlineStr">
        <is>
          <t>Uploaded PDF: Munitorum Field Manual v2.3 / March 2025</t>
        </is>
      </c>
    </row>
    <row r="794">
      <c r="A794" s="54" t="inlineStr">
        <is>
          <t>Necrons</t>
        </is>
      </c>
      <c r="B794" s="54" t="inlineStr">
        <is>
          <t>Convergence of Dominion</t>
        </is>
      </c>
      <c r="C794" s="54" t="inlineStr">
        <is>
          <t>3 models</t>
        </is>
      </c>
      <c r="D794" s="55" t="n">
        <v>180</v>
      </c>
      <c r="E794" s="55" t="inlineStr">
        <is>
          <t>Convergence of Dominion — 3 models (180 pts)</t>
        </is>
      </c>
      <c r="F794" s="55" t="n">
        <v>180</v>
      </c>
      <c r="G794" s="54" t="n">
        <v>28</v>
      </c>
      <c r="H794" s="54" t="inlineStr">
        <is>
          <t>Uploaded PDF: Munitorum Field Manual v2.3 / March 2025</t>
        </is>
      </c>
    </row>
    <row r="795">
      <c r="A795" s="54" t="inlineStr">
        <is>
          <t>Necrons</t>
        </is>
      </c>
      <c r="B795" s="54" t="inlineStr">
        <is>
          <t>Cryptothralls</t>
        </is>
      </c>
      <c r="C795" s="54" t="inlineStr">
        <is>
          <t>2 models</t>
        </is>
      </c>
      <c r="D795" s="55" t="n">
        <v>60</v>
      </c>
      <c r="E795" s="55" t="inlineStr">
        <is>
          <t>Cryptothralls — 2 models (60 pts)</t>
        </is>
      </c>
      <c r="F795" s="55" t="n">
        <v>60</v>
      </c>
      <c r="G795" s="54" t="n">
        <v>28</v>
      </c>
      <c r="H795" s="54" t="inlineStr">
        <is>
          <t>Uploaded PDF: Munitorum Field Manual v2.3 / March 2025</t>
        </is>
      </c>
    </row>
    <row r="796">
      <c r="A796" s="54" t="inlineStr">
        <is>
          <t>Necrons</t>
        </is>
      </c>
      <c r="B796" s="54" t="inlineStr">
        <is>
          <t>Deathmarks</t>
        </is>
      </c>
      <c r="C796" s="54" t="inlineStr">
        <is>
          <t>5 models</t>
        </is>
      </c>
      <c r="D796" s="55" t="n">
        <v>65</v>
      </c>
      <c r="E796" s="55" t="inlineStr">
        <is>
          <t>Deathmarks — 5 models (65 pts)</t>
        </is>
      </c>
      <c r="F796" s="55" t="n">
        <v>65</v>
      </c>
      <c r="G796" s="54" t="n">
        <v>28</v>
      </c>
      <c r="H796" s="54" t="inlineStr">
        <is>
          <t>Uploaded PDF: Munitorum Field Manual v2.3 / March 2025</t>
        </is>
      </c>
    </row>
    <row r="797">
      <c r="A797" s="54" t="inlineStr">
        <is>
          <t>Necrons</t>
        </is>
      </c>
      <c r="B797" s="54" t="inlineStr">
        <is>
          <t>Deathmarks</t>
        </is>
      </c>
      <c r="C797" s="54" t="inlineStr">
        <is>
          <t>10 models</t>
        </is>
      </c>
      <c r="D797" s="55" t="n">
        <v>130</v>
      </c>
      <c r="E797" s="55" t="inlineStr">
        <is>
          <t>Deathmarks — 10 models (130 pts)</t>
        </is>
      </c>
      <c r="F797" s="55" t="n">
        <v>130</v>
      </c>
      <c r="G797" s="54" t="n">
        <v>28</v>
      </c>
      <c r="H797" s="54" t="inlineStr">
        <is>
          <t>Uploaded PDF: Munitorum Field Manual v2.3 / March 2025</t>
        </is>
      </c>
    </row>
    <row r="798">
      <c r="A798" s="54" t="inlineStr">
        <is>
          <t>Necrons</t>
        </is>
      </c>
      <c r="B798" s="54" t="inlineStr">
        <is>
          <t>Doom Scythe</t>
        </is>
      </c>
      <c r="C798" s="54" t="inlineStr">
        <is>
          <t>1 model</t>
        </is>
      </c>
      <c r="D798" s="55" t="n">
        <v>230</v>
      </c>
      <c r="E798" s="55" t="inlineStr">
        <is>
          <t>Doom Scythe — 1 model (230 pts)</t>
        </is>
      </c>
      <c r="F798" s="55" t="n">
        <v>230</v>
      </c>
      <c r="G798" s="54" t="n">
        <v>28</v>
      </c>
      <c r="H798" s="54" t="inlineStr">
        <is>
          <t>Uploaded PDF: Munitorum Field Manual v2.3 / March 2025</t>
        </is>
      </c>
    </row>
    <row r="799">
      <c r="A799" s="54" t="inlineStr">
        <is>
          <t>Necrons</t>
        </is>
      </c>
      <c r="B799" s="54" t="inlineStr">
        <is>
          <t>Doomsday Ark</t>
        </is>
      </c>
      <c r="C799" s="54" t="inlineStr">
        <is>
          <t>1 model</t>
        </is>
      </c>
      <c r="D799" s="55" t="n">
        <v>200</v>
      </c>
      <c r="E799" s="55" t="inlineStr">
        <is>
          <t>Doomsday Ark — 1 model (200 pts)</t>
        </is>
      </c>
      <c r="F799" s="55" t="n">
        <v>200</v>
      </c>
      <c r="G799" s="54" t="n">
        <v>28</v>
      </c>
      <c r="H799" s="54" t="inlineStr">
        <is>
          <t>Uploaded PDF: Munitorum Field Manual v2.3 / March 2025</t>
        </is>
      </c>
    </row>
    <row r="800">
      <c r="A800" s="54" t="inlineStr">
        <is>
          <t>Necrons</t>
        </is>
      </c>
      <c r="B800" s="54" t="inlineStr">
        <is>
          <t>Flayed Ones</t>
        </is>
      </c>
      <c r="C800" s="54" t="inlineStr">
        <is>
          <t>5 models</t>
        </is>
      </c>
      <c r="D800" s="55" t="n">
        <v>60</v>
      </c>
      <c r="E800" s="55" t="inlineStr">
        <is>
          <t>Flayed Ones — 5 models (60 pts)</t>
        </is>
      </c>
      <c r="F800" s="55" t="n">
        <v>60</v>
      </c>
      <c r="G800" s="54" t="n">
        <v>28</v>
      </c>
      <c r="H800" s="54" t="inlineStr">
        <is>
          <t>Uploaded PDF: Munitorum Field Manual v2.3 / March 2025</t>
        </is>
      </c>
    </row>
    <row r="801">
      <c r="A801" s="54" t="inlineStr">
        <is>
          <t>Necrons</t>
        </is>
      </c>
      <c r="B801" s="54" t="inlineStr">
        <is>
          <t>Flayed Ones</t>
        </is>
      </c>
      <c r="C801" s="54" t="inlineStr">
        <is>
          <t>10 models</t>
        </is>
      </c>
      <c r="D801" s="55" t="n">
        <v>120</v>
      </c>
      <c r="E801" s="55" t="inlineStr">
        <is>
          <t>Flayed Ones — 10 models (120 pts)</t>
        </is>
      </c>
      <c r="F801" s="55" t="n">
        <v>120</v>
      </c>
      <c r="G801" s="54" t="n">
        <v>28</v>
      </c>
      <c r="H801" s="54" t="inlineStr">
        <is>
          <t>Uploaded PDF: Munitorum Field Manual v2.3 / March 2025</t>
        </is>
      </c>
    </row>
    <row r="802">
      <c r="A802" s="54" t="inlineStr">
        <is>
          <t>Necrons</t>
        </is>
      </c>
      <c r="B802" s="54" t="inlineStr">
        <is>
          <t>Ghost Ark</t>
        </is>
      </c>
      <c r="C802" s="54" t="inlineStr">
        <is>
          <t>1 model</t>
        </is>
      </c>
      <c r="D802" s="55" t="n">
        <v>115</v>
      </c>
      <c r="E802" s="55" t="inlineStr">
        <is>
          <t>Ghost Ark — 1 model (115 pts)</t>
        </is>
      </c>
      <c r="F802" s="55" t="n">
        <v>115</v>
      </c>
      <c r="G802" s="54" t="n">
        <v>28</v>
      </c>
      <c r="H802" s="54" t="inlineStr">
        <is>
          <t>Uploaded PDF: Munitorum Field Manual v2.3 / March 2025</t>
        </is>
      </c>
    </row>
    <row r="803">
      <c r="A803" s="54" t="inlineStr">
        <is>
          <t>Necrons</t>
        </is>
      </c>
      <c r="B803" s="54" t="inlineStr">
        <is>
          <t>Hexmark Destroyer</t>
        </is>
      </c>
      <c r="C803" s="54" t="inlineStr">
        <is>
          <t>1 model</t>
        </is>
      </c>
      <c r="D803" s="55" t="n">
        <v>75</v>
      </c>
      <c r="E803" s="55" t="inlineStr">
        <is>
          <t>Hexmark Destroyer — 1 model (75 pts)</t>
        </is>
      </c>
      <c r="F803" s="55" t="n">
        <v>75</v>
      </c>
      <c r="G803" s="54" t="n">
        <v>28</v>
      </c>
      <c r="H803" s="54" t="inlineStr">
        <is>
          <t>Uploaded PDF: Munitorum Field Manual v2.3 / March 2025</t>
        </is>
      </c>
    </row>
    <row r="804">
      <c r="A804" s="54" t="inlineStr">
        <is>
          <t>Necrons</t>
        </is>
      </c>
      <c r="B804" s="54" t="inlineStr">
        <is>
          <t>Illuminor Szeras</t>
        </is>
      </c>
      <c r="C804" s="54" t="inlineStr">
        <is>
          <t>1 model</t>
        </is>
      </c>
      <c r="D804" s="55" t="n">
        <v>175</v>
      </c>
      <c r="E804" s="55" t="inlineStr">
        <is>
          <t>Illuminor Szeras — 1 model (175 pts)</t>
        </is>
      </c>
      <c r="F804" s="55" t="n">
        <v>175</v>
      </c>
      <c r="G804" s="54" t="n">
        <v>28</v>
      </c>
      <c r="H804" s="54" t="inlineStr">
        <is>
          <t>Uploaded PDF: Munitorum Field Manual v2.3 / March 2025</t>
        </is>
      </c>
    </row>
    <row r="805">
      <c r="A805" s="54" t="inlineStr">
        <is>
          <t>Necrons</t>
        </is>
      </c>
      <c r="B805" s="54" t="inlineStr">
        <is>
          <t>Immortals</t>
        </is>
      </c>
      <c r="C805" s="54" t="inlineStr">
        <is>
          <t>5 models</t>
        </is>
      </c>
      <c r="D805" s="55" t="n">
        <v>70</v>
      </c>
      <c r="E805" s="55" t="inlineStr">
        <is>
          <t>Immortals — 5 models (70 pts)</t>
        </is>
      </c>
      <c r="F805" s="55" t="n">
        <v>70</v>
      </c>
      <c r="G805" s="54" t="n">
        <v>28</v>
      </c>
      <c r="H805" s="54" t="inlineStr">
        <is>
          <t>Uploaded PDF: Munitorum Field Manual v2.3 / March 2025</t>
        </is>
      </c>
    </row>
    <row r="806">
      <c r="A806" s="54" t="inlineStr">
        <is>
          <t>Necrons</t>
        </is>
      </c>
      <c r="B806" s="54" t="inlineStr">
        <is>
          <t>Immortals</t>
        </is>
      </c>
      <c r="C806" s="54" t="inlineStr">
        <is>
          <t>10 models</t>
        </is>
      </c>
      <c r="D806" s="55" t="n">
        <v>150</v>
      </c>
      <c r="E806" s="55" t="inlineStr">
        <is>
          <t>Immortals — 10 models (150 pts)</t>
        </is>
      </c>
      <c r="F806" s="55" t="n">
        <v>150</v>
      </c>
      <c r="G806" s="54" t="n">
        <v>28</v>
      </c>
      <c r="H806" s="54" t="inlineStr">
        <is>
          <t>Uploaded PDF: Munitorum Field Manual v2.3 / March 2025</t>
        </is>
      </c>
    </row>
    <row r="807">
      <c r="A807" s="54" t="inlineStr">
        <is>
          <t>Necrons</t>
        </is>
      </c>
      <c r="B807" s="54" t="inlineStr">
        <is>
          <t>Imotekh the Stormlord</t>
        </is>
      </c>
      <c r="C807" s="54" t="inlineStr">
        <is>
          <t>1 model</t>
        </is>
      </c>
      <c r="D807" s="55" t="n">
        <v>100</v>
      </c>
      <c r="E807" s="55" t="inlineStr">
        <is>
          <t>Imotekh the Stormlord — 1 model (100 pts)</t>
        </is>
      </c>
      <c r="F807" s="55" t="n">
        <v>100</v>
      </c>
      <c r="G807" s="54" t="n">
        <v>28</v>
      </c>
      <c r="H807" s="54" t="inlineStr">
        <is>
          <t>Uploaded PDF: Munitorum Field Manual v2.3 / March 2025</t>
        </is>
      </c>
    </row>
    <row r="808">
      <c r="A808" s="54" t="inlineStr">
        <is>
          <t>Necrons</t>
        </is>
      </c>
      <c r="B808" s="54" t="inlineStr">
        <is>
          <t>Lokhust Destroyers</t>
        </is>
      </c>
      <c r="C808" s="54" t="inlineStr">
        <is>
          <t>1 model</t>
        </is>
      </c>
      <c r="D808" s="55" t="n">
        <v>35</v>
      </c>
      <c r="E808" s="55" t="inlineStr">
        <is>
          <t>Lokhust Destroyers — 1 model (35 pts)</t>
        </is>
      </c>
      <c r="F808" s="55" t="n">
        <v>35</v>
      </c>
      <c r="G808" s="54" t="n">
        <v>28</v>
      </c>
      <c r="H808" s="54" t="inlineStr">
        <is>
          <t>Uploaded PDF: Munitorum Field Manual v2.3 / March 2025</t>
        </is>
      </c>
    </row>
    <row r="809">
      <c r="A809" s="54" t="inlineStr">
        <is>
          <t>Necrons</t>
        </is>
      </c>
      <c r="B809" s="54" t="inlineStr">
        <is>
          <t>Lokhust Destroyers</t>
        </is>
      </c>
      <c r="C809" s="54" t="inlineStr">
        <is>
          <t>2 models</t>
        </is>
      </c>
      <c r="D809" s="55" t="n">
        <v>60</v>
      </c>
      <c r="E809" s="55" t="inlineStr">
        <is>
          <t>Lokhust Destroyers — 2 models (60 pts)</t>
        </is>
      </c>
      <c r="F809" s="55" t="n">
        <v>60</v>
      </c>
      <c r="G809" s="54" t="n">
        <v>28</v>
      </c>
      <c r="H809" s="54" t="inlineStr">
        <is>
          <t>Uploaded PDF: Munitorum Field Manual v2.3 / March 2025</t>
        </is>
      </c>
    </row>
    <row r="810">
      <c r="A810" s="54" t="inlineStr">
        <is>
          <t>Necrons</t>
        </is>
      </c>
      <c r="B810" s="54" t="inlineStr">
        <is>
          <t>Lokhust Destroyers</t>
        </is>
      </c>
      <c r="C810" s="54" t="inlineStr">
        <is>
          <t>3 models</t>
        </is>
      </c>
      <c r="D810" s="55" t="n">
        <v>90</v>
      </c>
      <c r="E810" s="55" t="inlineStr">
        <is>
          <t>Lokhust Destroyers — 3 models (90 pts)</t>
        </is>
      </c>
      <c r="F810" s="55" t="n">
        <v>90</v>
      </c>
      <c r="G810" s="54" t="n">
        <v>28</v>
      </c>
      <c r="H810" s="54" t="inlineStr">
        <is>
          <t>Uploaded PDF: Munitorum Field Manual v2.3 / March 2025</t>
        </is>
      </c>
    </row>
    <row r="811">
      <c r="A811" s="54" t="inlineStr">
        <is>
          <t>Necrons</t>
        </is>
      </c>
      <c r="B811" s="54" t="inlineStr">
        <is>
          <t>Lokhust Destroyers</t>
        </is>
      </c>
      <c r="C811" s="54" t="inlineStr">
        <is>
          <t>6 models</t>
        </is>
      </c>
      <c r="D811" s="55" t="n">
        <v>180</v>
      </c>
      <c r="E811" s="55" t="inlineStr">
        <is>
          <t>Lokhust Destroyers — 6 models (180 pts)</t>
        </is>
      </c>
      <c r="F811" s="55" t="n">
        <v>180</v>
      </c>
      <c r="G811" s="54" t="n">
        <v>28</v>
      </c>
      <c r="H811" s="54" t="inlineStr">
        <is>
          <t>Uploaded PDF: Munitorum Field Manual v2.3 / March 2025</t>
        </is>
      </c>
    </row>
    <row r="812">
      <c r="A812" s="54" t="inlineStr">
        <is>
          <t>Necrons</t>
        </is>
      </c>
      <c r="B812" s="54" t="inlineStr">
        <is>
          <t>Lokhust Heavy Destroyers</t>
        </is>
      </c>
      <c r="C812" s="54" t="inlineStr">
        <is>
          <t>1 model</t>
        </is>
      </c>
      <c r="D812" s="55" t="n">
        <v>55</v>
      </c>
      <c r="E812" s="55" t="inlineStr">
        <is>
          <t>Lokhust Heavy Destroyers — 1 model (55 pts)</t>
        </is>
      </c>
      <c r="F812" s="55" t="n">
        <v>55</v>
      </c>
      <c r="G812" s="54" t="n">
        <v>28</v>
      </c>
      <c r="H812" s="54" t="inlineStr">
        <is>
          <t>Uploaded PDF: Munitorum Field Manual v2.3 / March 2025</t>
        </is>
      </c>
    </row>
    <row r="813">
      <c r="A813" s="54" t="inlineStr">
        <is>
          <t>Necrons</t>
        </is>
      </c>
      <c r="B813" s="54" t="inlineStr">
        <is>
          <t>Lokhust Heavy Destroyers</t>
        </is>
      </c>
      <c r="C813" s="54" t="inlineStr">
        <is>
          <t>2 models</t>
        </is>
      </c>
      <c r="D813" s="55" t="n">
        <v>110</v>
      </c>
      <c r="E813" s="55" t="inlineStr">
        <is>
          <t>Lokhust Heavy Destroyers — 2 models (110 pts)</t>
        </is>
      </c>
      <c r="F813" s="55" t="n">
        <v>110</v>
      </c>
      <c r="G813" s="54" t="n">
        <v>28</v>
      </c>
      <c r="H813" s="54" t="inlineStr">
        <is>
          <t>Uploaded PDF: Munitorum Field Manual v2.3 / March 2025</t>
        </is>
      </c>
    </row>
    <row r="814">
      <c r="A814" s="54" t="inlineStr">
        <is>
          <t>Necrons</t>
        </is>
      </c>
      <c r="B814" s="54" t="inlineStr">
        <is>
          <t>Lokhust Heavy Destroyers</t>
        </is>
      </c>
      <c r="C814" s="54" t="inlineStr">
        <is>
          <t>3 models</t>
        </is>
      </c>
      <c r="D814" s="55" t="n">
        <v>165</v>
      </c>
      <c r="E814" s="55" t="inlineStr">
        <is>
          <t>Lokhust Heavy Destroyers — 3 models (165 pts)</t>
        </is>
      </c>
      <c r="F814" s="55" t="n">
        <v>165</v>
      </c>
      <c r="G814" s="54" t="n">
        <v>28</v>
      </c>
      <c r="H814" s="54" t="inlineStr">
        <is>
          <t>Uploaded PDF: Munitorum Field Manual v2.3 / March 2025</t>
        </is>
      </c>
    </row>
    <row r="815">
      <c r="A815" s="54" t="inlineStr">
        <is>
          <t>Necrons</t>
        </is>
      </c>
      <c r="B815" s="54" t="inlineStr">
        <is>
          <t>Lokhust Lord</t>
        </is>
      </c>
      <c r="C815" s="54" t="inlineStr">
        <is>
          <t>1 model</t>
        </is>
      </c>
      <c r="D815" s="55" t="n">
        <v>80</v>
      </c>
      <c r="E815" s="55" t="inlineStr">
        <is>
          <t>Lokhust Lord — 1 model (80 pts)</t>
        </is>
      </c>
      <c r="F815" s="55" t="n">
        <v>80</v>
      </c>
      <c r="G815" s="54" t="n">
        <v>28</v>
      </c>
      <c r="H815" s="54" t="inlineStr">
        <is>
          <t>Uploaded PDF: Munitorum Field Manual v2.3 / March 2025</t>
        </is>
      </c>
    </row>
    <row r="816">
      <c r="A816" s="54" t="inlineStr">
        <is>
          <t>Necrons</t>
        </is>
      </c>
      <c r="B816" s="54" t="inlineStr">
        <is>
          <t>Lychguard</t>
        </is>
      </c>
      <c r="C816" s="54" t="inlineStr">
        <is>
          <t>5 models</t>
        </is>
      </c>
      <c r="D816" s="55" t="n">
        <v>85</v>
      </c>
      <c r="E816" s="55" t="inlineStr">
        <is>
          <t>Lychguard — 5 models (85 pts)</t>
        </is>
      </c>
      <c r="F816" s="55" t="n">
        <v>85</v>
      </c>
      <c r="G816" s="54" t="n">
        <v>28</v>
      </c>
      <c r="H816" s="54" t="inlineStr">
        <is>
          <t>Uploaded PDF: Munitorum Field Manual v2.3 / March 2025</t>
        </is>
      </c>
    </row>
    <row r="817">
      <c r="A817" s="54" t="inlineStr">
        <is>
          <t>Necrons</t>
        </is>
      </c>
      <c r="B817" s="54" t="inlineStr">
        <is>
          <t>Lychguard</t>
        </is>
      </c>
      <c r="C817" s="54" t="inlineStr">
        <is>
          <t>10 models</t>
        </is>
      </c>
      <c r="D817" s="55" t="n">
        <v>170</v>
      </c>
      <c r="E817" s="55" t="inlineStr">
        <is>
          <t>Lychguard — 10 models (170 pts)</t>
        </is>
      </c>
      <c r="F817" s="55" t="n">
        <v>170</v>
      </c>
      <c r="G817" s="54" t="n">
        <v>28</v>
      </c>
      <c r="H817" s="54" t="inlineStr">
        <is>
          <t>Uploaded PDF: Munitorum Field Manual v2.3 / March 2025</t>
        </is>
      </c>
    </row>
    <row r="818">
      <c r="A818" s="54" t="inlineStr">
        <is>
          <t>Necrons</t>
        </is>
      </c>
      <c r="B818" s="54" t="inlineStr">
        <is>
          <t>Monolith</t>
        </is>
      </c>
      <c r="C818" s="54" t="inlineStr">
        <is>
          <t>1 model</t>
        </is>
      </c>
      <c r="D818" s="55" t="n">
        <v>400</v>
      </c>
      <c r="E818" s="55" t="inlineStr">
        <is>
          <t>Monolith — 1 model (400 pts)</t>
        </is>
      </c>
      <c r="F818" s="55" t="n">
        <v>400</v>
      </c>
      <c r="G818" s="54" t="n">
        <v>28</v>
      </c>
      <c r="H818" s="54" t="inlineStr">
        <is>
          <t>Uploaded PDF: Munitorum Field Manual v2.3 / March 2025</t>
        </is>
      </c>
    </row>
    <row r="819">
      <c r="A819" s="54" t="inlineStr">
        <is>
          <t>Necrons</t>
        </is>
      </c>
      <c r="B819" s="54" t="inlineStr">
        <is>
          <t>Necron Warriors</t>
        </is>
      </c>
      <c r="C819" s="54" t="inlineStr">
        <is>
          <t>10 models</t>
        </is>
      </c>
      <c r="D819" s="55" t="n">
        <v>90</v>
      </c>
      <c r="E819" s="55" t="inlineStr">
        <is>
          <t>Necron Warriors — 10 models (90 pts)</t>
        </is>
      </c>
      <c r="F819" s="55" t="n">
        <v>90</v>
      </c>
      <c r="G819" s="54" t="n">
        <v>28</v>
      </c>
      <c r="H819" s="54" t="inlineStr">
        <is>
          <t>Uploaded PDF: Munitorum Field Manual v2.3 / March 2025</t>
        </is>
      </c>
    </row>
    <row r="820">
      <c r="A820" s="54" t="inlineStr">
        <is>
          <t>Necrons</t>
        </is>
      </c>
      <c r="B820" s="54" t="inlineStr">
        <is>
          <t>Necron Warriors</t>
        </is>
      </c>
      <c r="C820" s="54" t="inlineStr">
        <is>
          <t>20 models</t>
        </is>
      </c>
      <c r="D820" s="55" t="n">
        <v>200</v>
      </c>
      <c r="E820" s="55" t="inlineStr">
        <is>
          <t>Necron Warriors — 20 models (200 pts)</t>
        </is>
      </c>
      <c r="F820" s="55" t="n">
        <v>200</v>
      </c>
      <c r="G820" s="54" t="n">
        <v>28</v>
      </c>
      <c r="H820" s="54" t="inlineStr">
        <is>
          <t>Uploaded PDF: Munitorum Field Manual v2.3 / March 2025</t>
        </is>
      </c>
    </row>
    <row r="821">
      <c r="A821" s="54" t="inlineStr">
        <is>
          <t>Necrons</t>
        </is>
      </c>
      <c r="B821" s="54" t="inlineStr">
        <is>
          <t>Night Scythe</t>
        </is>
      </c>
      <c r="C821" s="54" t="inlineStr">
        <is>
          <t>1 model</t>
        </is>
      </c>
      <c r="D821" s="55" t="n">
        <v>145</v>
      </c>
      <c r="E821" s="55" t="inlineStr">
        <is>
          <t>Night Scythe — 1 model (145 pts)</t>
        </is>
      </c>
      <c r="F821" s="55" t="n">
        <v>145</v>
      </c>
      <c r="G821" s="54" t="n">
        <v>28</v>
      </c>
      <c r="H821" s="54" t="inlineStr">
        <is>
          <t>Uploaded PDF: Munitorum Field Manual v2.3 / March 2025</t>
        </is>
      </c>
    </row>
    <row r="822">
      <c r="A822" s="54" t="inlineStr">
        <is>
          <t>Necrons</t>
        </is>
      </c>
      <c r="B822" s="54" t="inlineStr">
        <is>
          <t>Obelisk</t>
        </is>
      </c>
      <c r="C822" s="54" t="inlineStr">
        <is>
          <t>1 model</t>
        </is>
      </c>
      <c r="D822" s="55" t="n">
        <v>300</v>
      </c>
      <c r="E822" s="55" t="inlineStr">
        <is>
          <t>Obelisk — 1 model (300 pts)</t>
        </is>
      </c>
      <c r="F822" s="55" t="n">
        <v>300</v>
      </c>
      <c r="G822" s="54" t="n">
        <v>28</v>
      </c>
      <c r="H822" s="54" t="inlineStr">
        <is>
          <t>Uploaded PDF: Munitorum Field Manual v2.3 / March 2025</t>
        </is>
      </c>
    </row>
    <row r="823">
      <c r="A823" s="54" t="inlineStr">
        <is>
          <t>Necrons</t>
        </is>
      </c>
      <c r="B823" s="54" t="inlineStr">
        <is>
          <t>Ophydian Destroyers</t>
        </is>
      </c>
      <c r="C823" s="54" t="inlineStr">
        <is>
          <t>3 models</t>
        </is>
      </c>
      <c r="D823" s="55" t="n">
        <v>80</v>
      </c>
      <c r="E823" s="55" t="inlineStr">
        <is>
          <t>Ophydian Destroyers — 3 models (80 pts)</t>
        </is>
      </c>
      <c r="F823" s="55" t="n">
        <v>80</v>
      </c>
      <c r="G823" s="54" t="n">
        <v>28</v>
      </c>
      <c r="H823" s="54" t="inlineStr">
        <is>
          <t>Uploaded PDF: Munitorum Field Manual v2.3 / March 2025</t>
        </is>
      </c>
    </row>
    <row r="824">
      <c r="A824" s="54" t="inlineStr">
        <is>
          <t>Necrons</t>
        </is>
      </c>
      <c r="B824" s="54" t="inlineStr">
        <is>
          <t>Ophydian Destroyers</t>
        </is>
      </c>
      <c r="C824" s="54" t="inlineStr">
        <is>
          <t>6 models</t>
        </is>
      </c>
      <c r="D824" s="55" t="n">
        <v>160</v>
      </c>
      <c r="E824" s="55" t="inlineStr">
        <is>
          <t>Ophydian Destroyers — 6 models (160 pts)</t>
        </is>
      </c>
      <c r="F824" s="55" t="n">
        <v>160</v>
      </c>
      <c r="G824" s="54" t="n">
        <v>28</v>
      </c>
      <c r="H824" s="54" t="inlineStr">
        <is>
          <t>Uploaded PDF: Munitorum Field Manual v2.3 / March 2025</t>
        </is>
      </c>
    </row>
    <row r="825">
      <c r="A825" s="54" t="inlineStr">
        <is>
          <t>Necrons</t>
        </is>
      </c>
      <c r="B825" s="54" t="inlineStr">
        <is>
          <t>Orikan the Diviner</t>
        </is>
      </c>
      <c r="C825" s="54" t="inlineStr">
        <is>
          <t>1 model</t>
        </is>
      </c>
      <c r="D825" s="55" t="n">
        <v>80</v>
      </c>
      <c r="E825" s="55" t="inlineStr">
        <is>
          <t>Orikan the Diviner — 1 model (80 pts)</t>
        </is>
      </c>
      <c r="F825" s="55" t="n">
        <v>80</v>
      </c>
      <c r="G825" s="54" t="n">
        <v>28</v>
      </c>
      <c r="H825" s="54" t="inlineStr">
        <is>
          <t>Uploaded PDF: Munitorum Field Manual v2.3 / March 2025</t>
        </is>
      </c>
    </row>
    <row r="826">
      <c r="A826" s="54" t="inlineStr">
        <is>
          <t>Necrons</t>
        </is>
      </c>
      <c r="B826" s="54" t="inlineStr">
        <is>
          <t>Overlord</t>
        </is>
      </c>
      <c r="C826" s="54" t="inlineStr">
        <is>
          <t>1 model</t>
        </is>
      </c>
      <c r="D826" s="55" t="n">
        <v>85</v>
      </c>
      <c r="E826" s="55" t="inlineStr">
        <is>
          <t>Overlord — 1 model (85 pts)</t>
        </is>
      </c>
      <c r="F826" s="55" t="n">
        <v>85</v>
      </c>
      <c r="G826" s="54" t="n">
        <v>28</v>
      </c>
      <c r="H826" s="54" t="inlineStr">
        <is>
          <t>Uploaded PDF: Munitorum Field Manual v2.3 / March 2025</t>
        </is>
      </c>
    </row>
    <row r="827">
      <c r="A827" s="54" t="inlineStr">
        <is>
          <t>Necrons</t>
        </is>
      </c>
      <c r="B827" s="54" t="inlineStr">
        <is>
          <t>Overlord with Translocation Shroud</t>
        </is>
      </c>
      <c r="C827" s="54" t="inlineStr">
        <is>
          <t>1 model</t>
        </is>
      </c>
      <c r="D827" s="55" t="n">
        <v>85</v>
      </c>
      <c r="E827" s="55" t="inlineStr">
        <is>
          <t>Overlord with Translocation Shroud — 1 model (85 pts)</t>
        </is>
      </c>
      <c r="F827" s="55" t="n">
        <v>85</v>
      </c>
      <c r="G827" s="54" t="n">
        <v>28</v>
      </c>
      <c r="H827" s="54" t="inlineStr">
        <is>
          <t>Uploaded PDF: Munitorum Field Manual v2.3 / March 2025</t>
        </is>
      </c>
    </row>
    <row r="828">
      <c r="A828" s="54" t="inlineStr">
        <is>
          <t>Necrons</t>
        </is>
      </c>
      <c r="B828" s="54" t="inlineStr">
        <is>
          <t>Plasmancer</t>
        </is>
      </c>
      <c r="C828" s="54" t="inlineStr">
        <is>
          <t>1 model</t>
        </is>
      </c>
      <c r="D828" s="55" t="n">
        <v>60</v>
      </c>
      <c r="E828" s="55" t="inlineStr">
        <is>
          <t>Plasmancer — 1 model (60 pts)</t>
        </is>
      </c>
      <c r="F828" s="55" t="n">
        <v>60</v>
      </c>
      <c r="G828" s="54" t="n">
        <v>28</v>
      </c>
      <c r="H828" s="54" t="inlineStr">
        <is>
          <t>Uploaded PDF: Munitorum Field Manual v2.3 / March 2025</t>
        </is>
      </c>
    </row>
    <row r="829">
      <c r="A829" s="54" t="inlineStr">
        <is>
          <t>Necrons</t>
        </is>
      </c>
      <c r="B829" s="54" t="inlineStr">
        <is>
          <t>Psychomancer</t>
        </is>
      </c>
      <c r="C829" s="54" t="inlineStr">
        <is>
          <t>1 model</t>
        </is>
      </c>
      <c r="D829" s="55" t="n">
        <v>55</v>
      </c>
      <c r="E829" s="55" t="inlineStr">
        <is>
          <t>Psychomancer — 1 model (55 pts)</t>
        </is>
      </c>
      <c r="F829" s="55" t="n">
        <v>55</v>
      </c>
      <c r="G829" s="54" t="n">
        <v>28</v>
      </c>
      <c r="H829" s="54" t="inlineStr">
        <is>
          <t>Uploaded PDF: Munitorum Field Manual v2.3 / March 2025</t>
        </is>
      </c>
    </row>
    <row r="830">
      <c r="A830" s="54" t="inlineStr">
        <is>
          <t>Necrons</t>
        </is>
      </c>
      <c r="B830" s="54" t="inlineStr">
        <is>
          <t>Royal Warden</t>
        </is>
      </c>
      <c r="C830" s="54" t="inlineStr">
        <is>
          <t>1 model</t>
        </is>
      </c>
      <c r="D830" s="55" t="n">
        <v>50</v>
      </c>
      <c r="E830" s="55" t="inlineStr">
        <is>
          <t>Royal Warden — 1 model (50 pts)</t>
        </is>
      </c>
      <c r="F830" s="55" t="n">
        <v>50</v>
      </c>
      <c r="G830" s="54" t="n">
        <v>28</v>
      </c>
      <c r="H830" s="54" t="inlineStr">
        <is>
          <t>Uploaded PDF: Munitorum Field Manual v2.3 / March 2025</t>
        </is>
      </c>
    </row>
    <row r="831">
      <c r="A831" s="54" t="inlineStr">
        <is>
          <t>Necrons</t>
        </is>
      </c>
      <c r="B831" s="54" t="inlineStr">
        <is>
          <t>Skorpekh Destroyers</t>
        </is>
      </c>
      <c r="C831" s="54" t="inlineStr">
        <is>
          <t>3 models</t>
        </is>
      </c>
      <c r="D831" s="55" t="n">
        <v>90</v>
      </c>
      <c r="E831" s="55" t="inlineStr">
        <is>
          <t>Skorpekh Destroyers — 3 models (90 pts)</t>
        </is>
      </c>
      <c r="F831" s="55" t="n">
        <v>90</v>
      </c>
      <c r="G831" s="54" t="n">
        <v>28</v>
      </c>
      <c r="H831" s="54" t="inlineStr">
        <is>
          <t>Uploaded PDF: Munitorum Field Manual v2.3 / March 2025</t>
        </is>
      </c>
    </row>
    <row r="832">
      <c r="A832" s="54" t="inlineStr">
        <is>
          <t>Necrons</t>
        </is>
      </c>
      <c r="B832" s="54" t="inlineStr">
        <is>
          <t>Skorpekh Destroyers</t>
        </is>
      </c>
      <c r="C832" s="54" t="inlineStr">
        <is>
          <t>6 models</t>
        </is>
      </c>
      <c r="D832" s="55" t="n">
        <v>180</v>
      </c>
      <c r="E832" s="55" t="inlineStr">
        <is>
          <t>Skorpekh Destroyers — 6 models (180 pts)</t>
        </is>
      </c>
      <c r="F832" s="55" t="n">
        <v>180</v>
      </c>
      <c r="G832" s="54" t="n">
        <v>28</v>
      </c>
      <c r="H832" s="54" t="inlineStr">
        <is>
          <t>Uploaded PDF: Munitorum Field Manual v2.3 / March 2025</t>
        </is>
      </c>
    </row>
    <row r="833">
      <c r="A833" s="54" t="inlineStr">
        <is>
          <t>Necrons</t>
        </is>
      </c>
      <c r="B833" s="54" t="inlineStr">
        <is>
          <t>Skorpekh Lord</t>
        </is>
      </c>
      <c r="C833" s="54" t="inlineStr">
        <is>
          <t>1 model</t>
        </is>
      </c>
      <c r="D833" s="55" t="n">
        <v>80</v>
      </c>
      <c r="E833" s="55" t="inlineStr">
        <is>
          <t>Skorpekh Lord — 1 model (80 pts)</t>
        </is>
      </c>
      <c r="F833" s="55" t="n">
        <v>80</v>
      </c>
      <c r="G833" s="54" t="n">
        <v>28</v>
      </c>
      <c r="H833" s="54" t="inlineStr">
        <is>
          <t>Uploaded PDF: Munitorum Field Manual v2.3 / March 2025</t>
        </is>
      </c>
    </row>
    <row r="834">
      <c r="A834" s="54" t="inlineStr">
        <is>
          <t>Necrons</t>
        </is>
      </c>
      <c r="B834" s="54" t="inlineStr">
        <is>
          <t>Technomancer</t>
        </is>
      </c>
      <c r="C834" s="54" t="inlineStr">
        <is>
          <t>1 model</t>
        </is>
      </c>
      <c r="D834" s="55" t="n">
        <v>85</v>
      </c>
      <c r="E834" s="55" t="inlineStr">
        <is>
          <t>Technomancer — 1 model (85 pts)</t>
        </is>
      </c>
      <c r="F834" s="55" t="n">
        <v>85</v>
      </c>
      <c r="G834" s="54" t="n">
        <v>28</v>
      </c>
      <c r="H834" s="54" t="inlineStr">
        <is>
          <t>Uploaded PDF: Munitorum Field Manual v2.3 / March 2025</t>
        </is>
      </c>
    </row>
    <row r="835">
      <c r="A835" s="54" t="inlineStr">
        <is>
          <t>Necrons</t>
        </is>
      </c>
      <c r="B835" s="54" t="inlineStr">
        <is>
          <t>Tesseract Vault</t>
        </is>
      </c>
      <c r="C835" s="54" t="inlineStr">
        <is>
          <t>1 model</t>
        </is>
      </c>
      <c r="D835" s="55" t="n">
        <v>425</v>
      </c>
      <c r="E835" s="55" t="inlineStr">
        <is>
          <t>Tesseract Vault — 1 model (425 pts)</t>
        </is>
      </c>
      <c r="F835" s="55" t="n">
        <v>425</v>
      </c>
      <c r="G835" s="54" t="n">
        <v>28</v>
      </c>
      <c r="H835" s="54" t="inlineStr">
        <is>
          <t>Uploaded PDF: Munitorum Field Manual v2.3 / March 2025</t>
        </is>
      </c>
    </row>
    <row r="836">
      <c r="A836" s="54" t="inlineStr">
        <is>
          <t>Necrons</t>
        </is>
      </c>
      <c r="B836" s="54" t="inlineStr">
        <is>
          <t>The Silent King</t>
        </is>
      </c>
      <c r="C836" s="54" t="inlineStr">
        <is>
          <t>3 models</t>
        </is>
      </c>
      <c r="D836" s="55" t="n">
        <v>420</v>
      </c>
      <c r="E836" s="55" t="inlineStr">
        <is>
          <t>The Silent King — 3 models (420 pts)</t>
        </is>
      </c>
      <c r="F836" s="55" t="n">
        <v>420</v>
      </c>
      <c r="G836" s="54" t="n">
        <v>28</v>
      </c>
      <c r="H836" s="54" t="inlineStr">
        <is>
          <t>Uploaded PDF: Munitorum Field Manual v2.3 / March 2025</t>
        </is>
      </c>
    </row>
    <row r="837">
      <c r="A837" s="54" t="inlineStr">
        <is>
          <t>Necrons</t>
        </is>
      </c>
      <c r="B837" s="54" t="inlineStr">
        <is>
          <t>Tomb Blades</t>
        </is>
      </c>
      <c r="C837" s="54" t="inlineStr">
        <is>
          <t>3 models</t>
        </is>
      </c>
      <c r="D837" s="55" t="n">
        <v>75</v>
      </c>
      <c r="E837" s="55" t="inlineStr">
        <is>
          <t>Tomb Blades — 3 models (75 pts)</t>
        </is>
      </c>
      <c r="F837" s="55" t="n">
        <v>75</v>
      </c>
      <c r="G837" s="54" t="n">
        <v>28</v>
      </c>
      <c r="H837" s="54" t="inlineStr">
        <is>
          <t>Uploaded PDF: Munitorum Field Manual v2.3 / March 2025</t>
        </is>
      </c>
    </row>
    <row r="838">
      <c r="A838" s="54" t="inlineStr">
        <is>
          <t>Necrons</t>
        </is>
      </c>
      <c r="B838" s="54" t="inlineStr">
        <is>
          <t>Tomb Blades</t>
        </is>
      </c>
      <c r="C838" s="54" t="inlineStr">
        <is>
          <t>6 models</t>
        </is>
      </c>
      <c r="D838" s="55" t="n">
        <v>150</v>
      </c>
      <c r="E838" s="55" t="inlineStr">
        <is>
          <t>Tomb Blades — 6 models (150 pts)</t>
        </is>
      </c>
      <c r="F838" s="55" t="n">
        <v>150</v>
      </c>
      <c r="G838" s="54" t="n">
        <v>28</v>
      </c>
      <c r="H838" s="54" t="inlineStr">
        <is>
          <t>Uploaded PDF: Munitorum Field Manual v2.3 / March 2025</t>
        </is>
      </c>
    </row>
    <row r="839">
      <c r="A839" s="54" t="inlineStr">
        <is>
          <t>Necrons</t>
        </is>
      </c>
      <c r="B839" s="54" t="inlineStr">
        <is>
          <t>Transcendent C’tan</t>
        </is>
      </c>
      <c r="C839" s="54" t="inlineStr">
        <is>
          <t>1 model</t>
        </is>
      </c>
      <c r="D839" s="55" t="n">
        <v>295</v>
      </c>
      <c r="E839" s="55" t="inlineStr">
        <is>
          <t>Transcendent C’tan — 1 model (295 pts)</t>
        </is>
      </c>
      <c r="F839" s="55" t="n">
        <v>295</v>
      </c>
      <c r="G839" s="54" t="n">
        <v>28</v>
      </c>
      <c r="H839" s="54" t="inlineStr">
        <is>
          <t>Uploaded PDF: Munitorum Field Manual v2.3 / March 2025</t>
        </is>
      </c>
    </row>
    <row r="840">
      <c r="A840" s="54" t="inlineStr">
        <is>
          <t>Necrons</t>
        </is>
      </c>
      <c r="B840" s="54" t="inlineStr">
        <is>
          <t>Trazyn the Infinite</t>
        </is>
      </c>
      <c r="C840" s="54" t="inlineStr">
        <is>
          <t>1 model</t>
        </is>
      </c>
      <c r="D840" s="55" t="n">
        <v>75</v>
      </c>
      <c r="E840" s="55" t="inlineStr">
        <is>
          <t>Trazyn the Infinite — 1 model (75 pts)</t>
        </is>
      </c>
      <c r="F840" s="55" t="n">
        <v>75</v>
      </c>
      <c r="G840" s="54" t="n">
        <v>28</v>
      </c>
      <c r="H840" s="54" t="inlineStr">
        <is>
          <t>Uploaded PDF: Munitorum Field Manual v2.3 / March 2025</t>
        </is>
      </c>
    </row>
    <row r="841">
      <c r="A841" s="54" t="inlineStr">
        <is>
          <t>Necrons</t>
        </is>
      </c>
      <c r="B841" s="54" t="inlineStr">
        <is>
          <t>Triarch Praetorians</t>
        </is>
      </c>
      <c r="C841" s="54" t="inlineStr">
        <is>
          <t>5 models</t>
        </is>
      </c>
      <c r="D841" s="55" t="n">
        <v>100</v>
      </c>
      <c r="E841" s="55" t="inlineStr">
        <is>
          <t>Triarch Praetorians — 5 models (100 pts)</t>
        </is>
      </c>
      <c r="F841" s="55" t="n">
        <v>100</v>
      </c>
      <c r="G841" s="54" t="n">
        <v>28</v>
      </c>
      <c r="H841" s="54" t="inlineStr">
        <is>
          <t>Uploaded PDF: Munitorum Field Manual v2.3 / March 2025</t>
        </is>
      </c>
    </row>
    <row r="842">
      <c r="A842" s="54" t="inlineStr">
        <is>
          <t>Necrons</t>
        </is>
      </c>
      <c r="B842" s="54" t="inlineStr">
        <is>
          <t>Triarch Praetorians</t>
        </is>
      </c>
      <c r="C842" s="54" t="inlineStr">
        <is>
          <t>10 models</t>
        </is>
      </c>
      <c r="D842" s="55" t="n">
        <v>200</v>
      </c>
      <c r="E842" s="55" t="inlineStr">
        <is>
          <t>Triarch Praetorians — 10 models (200 pts)</t>
        </is>
      </c>
      <c r="F842" s="55" t="n">
        <v>200</v>
      </c>
      <c r="G842" s="54" t="n">
        <v>28</v>
      </c>
      <c r="H842" s="54" t="inlineStr">
        <is>
          <t>Uploaded PDF: Munitorum Field Manual v2.3 / March 2025</t>
        </is>
      </c>
    </row>
    <row r="843">
      <c r="A843" s="54" t="inlineStr">
        <is>
          <t>Necrons</t>
        </is>
      </c>
      <c r="B843" s="54" t="inlineStr">
        <is>
          <t>Triarch Stalker</t>
        </is>
      </c>
      <c r="C843" s="54" t="inlineStr">
        <is>
          <t>1 model</t>
        </is>
      </c>
      <c r="D843" s="55" t="n">
        <v>110</v>
      </c>
      <c r="E843" s="55" t="inlineStr">
        <is>
          <t>Triarch Stalker — 1 model (110 pts)</t>
        </is>
      </c>
      <c r="F843" s="55" t="n">
        <v>110</v>
      </c>
      <c r="G843" s="54" t="n">
        <v>28</v>
      </c>
      <c r="H843" s="54" t="inlineStr">
        <is>
          <t>Uploaded PDF: Munitorum Field Manual v2.3 / March 2025</t>
        </is>
      </c>
    </row>
    <row r="844">
      <c r="A844" s="54" t="inlineStr">
        <is>
          <t>Necrons</t>
        </is>
      </c>
      <c r="B844" s="54" t="inlineStr">
        <is>
          <t>Seraptek Heavy Construct</t>
        </is>
      </c>
      <c r="C844" s="54" t="inlineStr">
        <is>
          <t>1 model</t>
        </is>
      </c>
      <c r="D844" s="55" t="n">
        <v>540</v>
      </c>
      <c r="E844" s="55" t="inlineStr">
        <is>
          <t>Seraptek Heavy Construct — 1 model (540 pts)</t>
        </is>
      </c>
      <c r="F844" s="55" t="n">
        <v>540</v>
      </c>
      <c r="G844" s="54" t="n">
        <v>28</v>
      </c>
      <c r="H844" s="54" t="inlineStr">
        <is>
          <t>Uploaded PDF: Munitorum Field Manual v2.3 / March 2025</t>
        </is>
      </c>
    </row>
    <row r="845">
      <c r="A845" s="54" t="inlineStr">
        <is>
          <t>Orks</t>
        </is>
      </c>
      <c r="B845" s="54" t="inlineStr">
        <is>
          <t>Battlewagon</t>
        </is>
      </c>
      <c r="C845" s="54" t="inlineStr">
        <is>
          <t>1 model</t>
        </is>
      </c>
      <c r="D845" s="55" t="n">
        <v>160</v>
      </c>
      <c r="E845" s="55" t="inlineStr">
        <is>
          <t>Battlewagon — 1 model (160 pts)</t>
        </is>
      </c>
      <c r="F845" s="55" t="n">
        <v>160</v>
      </c>
      <c r="G845" s="54" t="n">
        <v>29</v>
      </c>
      <c r="H845" s="54" t="inlineStr">
        <is>
          <t>Uploaded PDF: Munitorum Field Manual v2.3 / March 2025</t>
        </is>
      </c>
    </row>
    <row r="846">
      <c r="A846" s="54" t="inlineStr">
        <is>
          <t>Orks</t>
        </is>
      </c>
      <c r="B846" s="54" t="inlineStr">
        <is>
          <t>Beast Snagga Boyz</t>
        </is>
      </c>
      <c r="C846" s="54" t="inlineStr">
        <is>
          <t>10 models</t>
        </is>
      </c>
      <c r="D846" s="55" t="n">
        <v>95</v>
      </c>
      <c r="E846" s="55" t="inlineStr">
        <is>
          <t>Beast Snagga Boyz — 10 models (95 pts)</t>
        </is>
      </c>
      <c r="F846" s="55" t="n">
        <v>95</v>
      </c>
      <c r="G846" s="54" t="n">
        <v>29</v>
      </c>
      <c r="H846" s="54" t="inlineStr">
        <is>
          <t>Uploaded PDF: Munitorum Field Manual v2.3 / March 2025</t>
        </is>
      </c>
    </row>
    <row r="847">
      <c r="A847" s="54" t="inlineStr">
        <is>
          <t>Orks</t>
        </is>
      </c>
      <c r="B847" s="54" t="inlineStr">
        <is>
          <t>Beast Snagga Boyz</t>
        </is>
      </c>
      <c r="C847" s="54" t="inlineStr">
        <is>
          <t>20 models</t>
        </is>
      </c>
      <c r="D847" s="55" t="n">
        <v>190</v>
      </c>
      <c r="E847" s="55" t="inlineStr">
        <is>
          <t>Beast Snagga Boyz — 20 models (190 pts)</t>
        </is>
      </c>
      <c r="F847" s="55" t="n">
        <v>190</v>
      </c>
      <c r="G847" s="54" t="n">
        <v>29</v>
      </c>
      <c r="H847" s="54" t="inlineStr">
        <is>
          <t>Uploaded PDF: Munitorum Field Manual v2.3 / March 2025</t>
        </is>
      </c>
    </row>
    <row r="848">
      <c r="A848" s="54" t="inlineStr">
        <is>
          <t>Orks</t>
        </is>
      </c>
      <c r="B848" s="54" t="inlineStr">
        <is>
          <t>Beastboss</t>
        </is>
      </c>
      <c r="C848" s="54" t="inlineStr">
        <is>
          <t>1 model</t>
        </is>
      </c>
      <c r="D848" s="55" t="n">
        <v>80</v>
      </c>
      <c r="E848" s="55" t="inlineStr">
        <is>
          <t>Beastboss — 1 model (80 pts)</t>
        </is>
      </c>
      <c r="F848" s="55" t="n">
        <v>80</v>
      </c>
      <c r="G848" s="54" t="n">
        <v>29</v>
      </c>
      <c r="H848" s="54" t="inlineStr">
        <is>
          <t>Uploaded PDF: Munitorum Field Manual v2.3 / March 2025</t>
        </is>
      </c>
    </row>
    <row r="849">
      <c r="A849" s="54" t="inlineStr">
        <is>
          <t>Orks</t>
        </is>
      </c>
      <c r="B849" s="54" t="inlineStr">
        <is>
          <t>Beastboss on Squigosaur</t>
        </is>
      </c>
      <c r="C849" s="54" t="inlineStr">
        <is>
          <t>1 model</t>
        </is>
      </c>
      <c r="D849" s="55" t="n">
        <v>130</v>
      </c>
      <c r="E849" s="55" t="inlineStr">
        <is>
          <t>Beastboss on Squigosaur — 1 model (130 pts)</t>
        </is>
      </c>
      <c r="F849" s="55" t="n">
        <v>130</v>
      </c>
      <c r="G849" s="54" t="n">
        <v>29</v>
      </c>
      <c r="H849" s="54" t="inlineStr">
        <is>
          <t>Uploaded PDF: Munitorum Field Manual v2.3 / March 2025</t>
        </is>
      </c>
    </row>
    <row r="850">
      <c r="A850" s="54" t="inlineStr">
        <is>
          <t>Orks</t>
        </is>
      </c>
      <c r="B850" s="54" t="inlineStr">
        <is>
          <t>Big Mek</t>
        </is>
      </c>
      <c r="C850" s="54" t="inlineStr">
        <is>
          <t>1 model</t>
        </is>
      </c>
      <c r="D850" s="55" t="n">
        <v>70</v>
      </c>
      <c r="E850" s="55" t="inlineStr">
        <is>
          <t>Big Mek — 1 model (70 pts)</t>
        </is>
      </c>
      <c r="F850" s="55" t="n">
        <v>70</v>
      </c>
      <c r="G850" s="54" t="n">
        <v>29</v>
      </c>
      <c r="H850" s="54" t="inlineStr">
        <is>
          <t>Uploaded PDF: Munitorum Field Manual v2.3 / March 2025</t>
        </is>
      </c>
    </row>
    <row r="851">
      <c r="A851" s="54" t="inlineStr">
        <is>
          <t>Orks</t>
        </is>
      </c>
      <c r="B851" s="54" t="inlineStr">
        <is>
          <t>Big Mek in Mega Armour</t>
        </is>
      </c>
      <c r="C851" s="54" t="inlineStr">
        <is>
          <t>1 model</t>
        </is>
      </c>
      <c r="D851" s="55" t="n">
        <v>90</v>
      </c>
      <c r="E851" s="55" t="inlineStr">
        <is>
          <t>Big Mek in Mega Armour — 1 model (90 pts)</t>
        </is>
      </c>
      <c r="F851" s="55" t="n">
        <v>90</v>
      </c>
      <c r="G851" s="54" t="n">
        <v>29</v>
      </c>
      <c r="H851" s="54" t="inlineStr">
        <is>
          <t>Uploaded PDF: Munitorum Field Manual v2.3 / March 2025</t>
        </is>
      </c>
    </row>
    <row r="852">
      <c r="A852" s="54" t="inlineStr">
        <is>
          <t>Orks</t>
        </is>
      </c>
      <c r="B852" s="54" t="inlineStr">
        <is>
          <t>Big Mek with Shokk Attack Gun</t>
        </is>
      </c>
      <c r="C852" s="54" t="inlineStr">
        <is>
          <t>1 model</t>
        </is>
      </c>
      <c r="D852" s="55" t="n">
        <v>75</v>
      </c>
      <c r="E852" s="55" t="inlineStr">
        <is>
          <t>Big Mek with Shokk Attack Gun — 1 model (75 pts)</t>
        </is>
      </c>
      <c r="F852" s="55" t="n">
        <v>75</v>
      </c>
      <c r="G852" s="54" t="n">
        <v>29</v>
      </c>
      <c r="H852" s="54" t="inlineStr">
        <is>
          <t>Uploaded PDF: Munitorum Field Manual v2.3 / March 2025</t>
        </is>
      </c>
    </row>
    <row r="853">
      <c r="A853" s="54" t="inlineStr">
        <is>
          <t>Orks</t>
        </is>
      </c>
      <c r="B853" s="54" t="inlineStr">
        <is>
          <t>Big’ed Bossbunka</t>
        </is>
      </c>
      <c r="C853" s="54" t="inlineStr">
        <is>
          <t>1 model</t>
        </is>
      </c>
      <c r="D853" s="55" t="n">
        <v>135</v>
      </c>
      <c r="E853" s="55" t="inlineStr">
        <is>
          <t>Big’ed Bossbunka — 1 model (135 pts)</t>
        </is>
      </c>
      <c r="F853" s="55" t="n">
        <v>135</v>
      </c>
      <c r="G853" s="54" t="n">
        <v>29</v>
      </c>
      <c r="H853" s="54" t="inlineStr">
        <is>
          <t>Uploaded PDF: Munitorum Field Manual v2.3 / March 2025</t>
        </is>
      </c>
    </row>
    <row r="854">
      <c r="A854" s="54" t="inlineStr">
        <is>
          <t>Orks</t>
        </is>
      </c>
      <c r="B854" s="54" t="inlineStr">
        <is>
          <t>Blitza-bommer</t>
        </is>
      </c>
      <c r="C854" s="54" t="inlineStr">
        <is>
          <t>1 model</t>
        </is>
      </c>
      <c r="D854" s="55" t="n">
        <v>115</v>
      </c>
      <c r="E854" s="55" t="inlineStr">
        <is>
          <t>Blitza-bommer — 1 model (115 pts)</t>
        </is>
      </c>
      <c r="F854" s="55" t="n">
        <v>115</v>
      </c>
      <c r="G854" s="54" t="n">
        <v>29</v>
      </c>
      <c r="H854" s="54" t="inlineStr">
        <is>
          <t>Uploaded PDF: Munitorum Field Manual v2.3 / March 2025</t>
        </is>
      </c>
    </row>
    <row r="855">
      <c r="A855" s="54" t="inlineStr">
        <is>
          <t>Orks</t>
        </is>
      </c>
      <c r="B855" s="54" t="inlineStr">
        <is>
          <t>Boomdakka Snazzwagon</t>
        </is>
      </c>
      <c r="C855" s="54" t="inlineStr">
        <is>
          <t>1 model</t>
        </is>
      </c>
      <c r="D855" s="55" t="n">
        <v>80</v>
      </c>
      <c r="E855" s="55" t="inlineStr">
        <is>
          <t>Boomdakka Snazzwagon — 1 model (80 pts)</t>
        </is>
      </c>
      <c r="F855" s="55" t="n">
        <v>80</v>
      </c>
      <c r="G855" s="54" t="n">
        <v>29</v>
      </c>
      <c r="H855" s="54" t="inlineStr">
        <is>
          <t>Uploaded PDF: Munitorum Field Manual v2.3 / March 2025</t>
        </is>
      </c>
    </row>
    <row r="856">
      <c r="A856" s="54" t="inlineStr">
        <is>
          <t>Orks</t>
        </is>
      </c>
      <c r="B856" s="54" t="inlineStr">
        <is>
          <t>Boss Snikrot</t>
        </is>
      </c>
      <c r="C856" s="54" t="inlineStr">
        <is>
          <t>1 model</t>
        </is>
      </c>
      <c r="D856" s="55" t="n">
        <v>95</v>
      </c>
      <c r="E856" s="55" t="inlineStr">
        <is>
          <t>Boss Snikrot — 1 model (95 pts)</t>
        </is>
      </c>
      <c r="F856" s="55" t="n">
        <v>95</v>
      </c>
      <c r="G856" s="54" t="n">
        <v>29</v>
      </c>
      <c r="H856" s="54" t="inlineStr">
        <is>
          <t>Uploaded PDF: Munitorum Field Manual v2.3 / March 2025</t>
        </is>
      </c>
    </row>
    <row r="857">
      <c r="A857" s="54" t="inlineStr">
        <is>
          <t>Orks</t>
        </is>
      </c>
      <c r="B857" s="54" t="inlineStr">
        <is>
          <t>Boyz</t>
        </is>
      </c>
      <c r="C857" s="54" t="inlineStr">
        <is>
          <t>10 models</t>
        </is>
      </c>
      <c r="D857" s="55" t="n">
        <v>80</v>
      </c>
      <c r="E857" s="55" t="inlineStr">
        <is>
          <t>Boyz — 10 models (80 pts)</t>
        </is>
      </c>
      <c r="F857" s="55" t="n">
        <v>80</v>
      </c>
      <c r="G857" s="54" t="n">
        <v>29</v>
      </c>
      <c r="H857" s="54" t="inlineStr">
        <is>
          <t>Uploaded PDF: Munitorum Field Manual v2.3 / March 2025</t>
        </is>
      </c>
    </row>
    <row r="858">
      <c r="A858" s="54" t="inlineStr">
        <is>
          <t>Orks</t>
        </is>
      </c>
      <c r="B858" s="54" t="inlineStr">
        <is>
          <t>Boyz</t>
        </is>
      </c>
      <c r="C858" s="54" t="inlineStr">
        <is>
          <t>20 models</t>
        </is>
      </c>
      <c r="D858" s="55" t="n">
        <v>160</v>
      </c>
      <c r="E858" s="55" t="inlineStr">
        <is>
          <t>Boyz — 20 models (160 pts)</t>
        </is>
      </c>
      <c r="F858" s="55" t="n">
        <v>160</v>
      </c>
      <c r="G858" s="54" t="n">
        <v>29</v>
      </c>
      <c r="H858" s="54" t="inlineStr">
        <is>
          <t>Uploaded PDF: Munitorum Field Manual v2.3 / March 2025</t>
        </is>
      </c>
    </row>
    <row r="859">
      <c r="A859" s="54" t="inlineStr">
        <is>
          <t>Orks</t>
        </is>
      </c>
      <c r="B859" s="54" t="inlineStr">
        <is>
          <t>Breaka Boyz</t>
        </is>
      </c>
      <c r="C859" s="54" t="inlineStr">
        <is>
          <t>6 models</t>
        </is>
      </c>
      <c r="D859" s="55" t="n">
        <v>140</v>
      </c>
      <c r="E859" s="55" t="inlineStr">
        <is>
          <t>Breaka Boyz — 6 models (140 pts)</t>
        </is>
      </c>
      <c r="F859" s="55" t="n">
        <v>140</v>
      </c>
      <c r="G859" s="54" t="n">
        <v>29</v>
      </c>
      <c r="H859" s="54" t="inlineStr">
        <is>
          <t>Uploaded PDF: Munitorum Field Manual v2.3 / March 2025</t>
        </is>
      </c>
    </row>
    <row r="860">
      <c r="A860" s="54" t="inlineStr">
        <is>
          <t>Orks</t>
        </is>
      </c>
      <c r="B860" s="54" t="inlineStr">
        <is>
          <t>Burna Boyz</t>
        </is>
      </c>
      <c r="C860" s="54" t="inlineStr">
        <is>
          <t>1 Spanner and 4 Burna Boyz</t>
        </is>
      </c>
      <c r="D860" s="55" t="n">
        <v>60</v>
      </c>
      <c r="E860" s="55" t="inlineStr">
        <is>
          <t>Burna Boyz — 1 Spanner and 4 Burna Boyz (60 pts)</t>
        </is>
      </c>
      <c r="F860" s="55" t="n">
        <v>60</v>
      </c>
      <c r="G860" s="54" t="n">
        <v>29</v>
      </c>
      <c r="H860" s="54" t="inlineStr">
        <is>
          <t>Uploaded PDF: Munitorum Field Manual v2.3 / March 2025</t>
        </is>
      </c>
    </row>
    <row r="861">
      <c r="A861" s="54" t="inlineStr">
        <is>
          <t>Orks</t>
        </is>
      </c>
      <c r="B861" s="54" t="inlineStr">
        <is>
          <t>Burna Boyz</t>
        </is>
      </c>
      <c r="C861" s="54" t="inlineStr">
        <is>
          <t>2 Spanners and 8 Burna Boyz</t>
        </is>
      </c>
      <c r="D861" s="55" t="n">
        <v>120</v>
      </c>
      <c r="E861" s="55" t="inlineStr">
        <is>
          <t>Burna Boyz — 2 Spanners and 8 Burna Boyz (120 pts)</t>
        </is>
      </c>
      <c r="F861" s="55" t="n">
        <v>120</v>
      </c>
      <c r="G861" s="54" t="n">
        <v>29</v>
      </c>
      <c r="H861" s="54" t="inlineStr">
        <is>
          <t>Uploaded PDF: Munitorum Field Manual v2.3 / March 2025</t>
        </is>
      </c>
    </row>
    <row r="862">
      <c r="A862" s="54" t="inlineStr">
        <is>
          <t>Orks</t>
        </is>
      </c>
      <c r="B862" s="54" t="inlineStr">
        <is>
          <t>Burna-bommer</t>
        </is>
      </c>
      <c r="C862" s="54" t="inlineStr">
        <is>
          <t>1 model</t>
        </is>
      </c>
      <c r="D862" s="55" t="n">
        <v>125</v>
      </c>
      <c r="E862" s="55" t="inlineStr">
        <is>
          <t>Burna-bommer — 1 model (125 pts)</t>
        </is>
      </c>
      <c r="F862" s="55" t="n">
        <v>125</v>
      </c>
      <c r="G862" s="54" t="n">
        <v>29</v>
      </c>
      <c r="H862" s="54" t="inlineStr">
        <is>
          <t>Uploaded PDF: Munitorum Field Manual v2.3 / March 2025</t>
        </is>
      </c>
    </row>
    <row r="863">
      <c r="A863" s="54" t="inlineStr">
        <is>
          <t>Orks</t>
        </is>
      </c>
      <c r="B863" s="54" t="inlineStr">
        <is>
          <t>Dakkajet</t>
        </is>
      </c>
      <c r="C863" s="54" t="inlineStr">
        <is>
          <t>1 model</t>
        </is>
      </c>
      <c r="D863" s="55" t="n">
        <v>135</v>
      </c>
      <c r="E863" s="55" t="inlineStr">
        <is>
          <t>Dakkajet — 1 model (135 pts)</t>
        </is>
      </c>
      <c r="F863" s="55" t="n">
        <v>135</v>
      </c>
      <c r="G863" s="54" t="n">
        <v>29</v>
      </c>
      <c r="H863" s="54" t="inlineStr">
        <is>
          <t>Uploaded PDF: Munitorum Field Manual v2.3 / March 2025</t>
        </is>
      </c>
    </row>
    <row r="864">
      <c r="A864" s="54" t="inlineStr">
        <is>
          <t>Orks</t>
        </is>
      </c>
      <c r="B864" s="54" t="inlineStr">
        <is>
          <t>Deff Dread</t>
        </is>
      </c>
      <c r="C864" s="54" t="inlineStr">
        <is>
          <t>1 model</t>
        </is>
      </c>
      <c r="D864" s="55" t="n">
        <v>120</v>
      </c>
      <c r="E864" s="55" t="inlineStr">
        <is>
          <t>Deff Dread — 1 model (120 pts)</t>
        </is>
      </c>
      <c r="F864" s="55" t="n">
        <v>120</v>
      </c>
      <c r="G864" s="54" t="n">
        <v>29</v>
      </c>
      <c r="H864" s="54" t="inlineStr">
        <is>
          <t>Uploaded PDF: Munitorum Field Manual v2.3 / March 2025</t>
        </is>
      </c>
    </row>
    <row r="865">
      <c r="A865" s="54" t="inlineStr">
        <is>
          <t>Orks</t>
        </is>
      </c>
      <c r="B865" s="54" t="inlineStr">
        <is>
          <t>Deffkilla Wartrike</t>
        </is>
      </c>
      <c r="C865" s="54" t="inlineStr">
        <is>
          <t>1 model</t>
        </is>
      </c>
      <c r="D865" s="55" t="n">
        <v>80</v>
      </c>
      <c r="E865" s="55" t="inlineStr">
        <is>
          <t>Deffkilla Wartrike — 1 model (80 pts)</t>
        </is>
      </c>
      <c r="F865" s="55" t="n">
        <v>80</v>
      </c>
      <c r="G865" s="54" t="n">
        <v>29</v>
      </c>
      <c r="H865" s="54" t="inlineStr">
        <is>
          <t>Uploaded PDF: Munitorum Field Manual v2.3 / March 2025</t>
        </is>
      </c>
    </row>
    <row r="866">
      <c r="A866" s="54" t="inlineStr">
        <is>
          <t>Orks</t>
        </is>
      </c>
      <c r="B866" s="54" t="inlineStr">
        <is>
          <t>Deffkoptas</t>
        </is>
      </c>
      <c r="C866" s="54" t="inlineStr">
        <is>
          <t>3 models</t>
        </is>
      </c>
      <c r="D866" s="55" t="n">
        <v>90</v>
      </c>
      <c r="E866" s="55" t="inlineStr">
        <is>
          <t>Deffkoptas — 3 models (90 pts)</t>
        </is>
      </c>
      <c r="F866" s="55" t="n">
        <v>90</v>
      </c>
      <c r="G866" s="54" t="n">
        <v>29</v>
      </c>
      <c r="H866" s="54" t="inlineStr">
        <is>
          <t>Uploaded PDF: Munitorum Field Manual v2.3 / March 2025</t>
        </is>
      </c>
    </row>
    <row r="867">
      <c r="A867" s="54" t="inlineStr">
        <is>
          <t>Orks</t>
        </is>
      </c>
      <c r="B867" s="54" t="inlineStr">
        <is>
          <t>Deffkoptas</t>
        </is>
      </c>
      <c r="C867" s="54" t="inlineStr">
        <is>
          <t>6 models</t>
        </is>
      </c>
      <c r="D867" s="55" t="n">
        <v>180</v>
      </c>
      <c r="E867" s="55" t="inlineStr">
        <is>
          <t>Deffkoptas — 6 models (180 pts)</t>
        </is>
      </c>
      <c r="F867" s="55" t="n">
        <v>180</v>
      </c>
      <c r="G867" s="54" t="n">
        <v>29</v>
      </c>
      <c r="H867" s="54" t="inlineStr">
        <is>
          <t>Uploaded PDF: Munitorum Field Manual v2.3 / March 2025</t>
        </is>
      </c>
    </row>
    <row r="868">
      <c r="A868" s="54" t="inlineStr">
        <is>
          <t>Orks</t>
        </is>
      </c>
      <c r="B868" s="54" t="inlineStr">
        <is>
          <t>Flash Gitz</t>
        </is>
      </c>
      <c r="C868" s="54" t="inlineStr">
        <is>
          <t>5 models</t>
        </is>
      </c>
      <c r="D868" s="55" t="n">
        <v>80</v>
      </c>
      <c r="E868" s="55" t="inlineStr">
        <is>
          <t>Flash Gitz — 5 models (80 pts)</t>
        </is>
      </c>
      <c r="F868" s="55" t="n">
        <v>80</v>
      </c>
      <c r="G868" s="54" t="n">
        <v>29</v>
      </c>
      <c r="H868" s="54" t="inlineStr">
        <is>
          <t>Uploaded PDF: Munitorum Field Manual v2.3 / March 2025</t>
        </is>
      </c>
    </row>
    <row r="869">
      <c r="A869" s="54" t="inlineStr">
        <is>
          <t>Orks</t>
        </is>
      </c>
      <c r="B869" s="54" t="inlineStr">
        <is>
          <t>Flash Gitz</t>
        </is>
      </c>
      <c r="C869" s="54" t="inlineStr">
        <is>
          <t>10 models</t>
        </is>
      </c>
      <c r="D869" s="55" t="n">
        <v>160</v>
      </c>
      <c r="E869" s="55" t="inlineStr">
        <is>
          <t>Flash Gitz — 10 models (160 pts)</t>
        </is>
      </c>
      <c r="F869" s="55" t="n">
        <v>160</v>
      </c>
      <c r="G869" s="54" t="n">
        <v>29</v>
      </c>
      <c r="H869" s="54" t="inlineStr">
        <is>
          <t>Uploaded PDF: Munitorum Field Manual v2.3 / March 2025</t>
        </is>
      </c>
    </row>
    <row r="870">
      <c r="A870" s="54" t="inlineStr">
        <is>
          <t>Orks</t>
        </is>
      </c>
      <c r="B870" s="54" t="inlineStr">
        <is>
          <t>Ghazghkull Thraka</t>
        </is>
      </c>
      <c r="C870" s="54" t="inlineStr">
        <is>
          <t>2 models</t>
        </is>
      </c>
      <c r="D870" s="55" t="n">
        <v>235</v>
      </c>
      <c r="E870" s="55" t="inlineStr">
        <is>
          <t>Ghazghkull Thraka — 2 models (235 pts)</t>
        </is>
      </c>
      <c r="F870" s="55" t="n">
        <v>235</v>
      </c>
      <c r="G870" s="54" t="n">
        <v>29</v>
      </c>
      <c r="H870" s="54" t="inlineStr">
        <is>
          <t>Uploaded PDF: Munitorum Field Manual v2.3 / March 2025</t>
        </is>
      </c>
    </row>
    <row r="871">
      <c r="A871" s="54" t="inlineStr">
        <is>
          <t>Orks</t>
        </is>
      </c>
      <c r="B871" s="54" t="inlineStr">
        <is>
          <t>Gorkanaut</t>
        </is>
      </c>
      <c r="C871" s="54" t="inlineStr">
        <is>
          <t>1 model</t>
        </is>
      </c>
      <c r="D871" s="55" t="n">
        <v>265</v>
      </c>
      <c r="E871" s="55" t="inlineStr">
        <is>
          <t>Gorkanaut — 1 model (265 pts)</t>
        </is>
      </c>
      <c r="F871" s="55" t="n">
        <v>265</v>
      </c>
      <c r="G871" s="54" t="n">
        <v>29</v>
      </c>
      <c r="H871" s="54" t="inlineStr">
        <is>
          <t>Uploaded PDF: Munitorum Field Manual v2.3 / March 2025</t>
        </is>
      </c>
    </row>
    <row r="872">
      <c r="A872" s="54" t="inlineStr">
        <is>
          <t>Orks</t>
        </is>
      </c>
      <c r="B872" s="54" t="inlineStr">
        <is>
          <t>Gretchin</t>
        </is>
      </c>
      <c r="C872" s="54" t="inlineStr">
        <is>
          <t>11 models</t>
        </is>
      </c>
      <c r="D872" s="55" t="n">
        <v>40</v>
      </c>
      <c r="E872" s="55" t="inlineStr">
        <is>
          <t>Gretchin — 11 models (40 pts)</t>
        </is>
      </c>
      <c r="F872" s="55" t="n">
        <v>40</v>
      </c>
      <c r="G872" s="54" t="n">
        <v>29</v>
      </c>
      <c r="H872" s="54" t="inlineStr">
        <is>
          <t>Uploaded PDF: Munitorum Field Manual v2.3 / March 2025</t>
        </is>
      </c>
    </row>
    <row r="873">
      <c r="A873" s="54" t="inlineStr">
        <is>
          <t>Orks</t>
        </is>
      </c>
      <c r="B873" s="54" t="inlineStr">
        <is>
          <t>Gretchin</t>
        </is>
      </c>
      <c r="C873" s="54" t="inlineStr">
        <is>
          <t>22 models</t>
        </is>
      </c>
      <c r="D873" s="55" t="n">
        <v>80</v>
      </c>
      <c r="E873" s="55" t="inlineStr">
        <is>
          <t>Gretchin — 22 models (80 pts)</t>
        </is>
      </c>
      <c r="F873" s="55" t="n">
        <v>80</v>
      </c>
      <c r="G873" s="54" t="n">
        <v>29</v>
      </c>
      <c r="H873" s="54" t="inlineStr">
        <is>
          <t>Uploaded PDF: Munitorum Field Manual v2.3 / March 2025</t>
        </is>
      </c>
    </row>
    <row r="874">
      <c r="A874" s="54" t="inlineStr">
        <is>
          <t>Orks</t>
        </is>
      </c>
      <c r="B874" s="54" t="inlineStr">
        <is>
          <t>Hunta Rig</t>
        </is>
      </c>
      <c r="C874" s="54" t="inlineStr">
        <is>
          <t>1 model</t>
        </is>
      </c>
      <c r="D874" s="55" t="n">
        <v>135</v>
      </c>
      <c r="E874" s="55" t="inlineStr">
        <is>
          <t>Hunta Rig — 1 model (135 pts)</t>
        </is>
      </c>
      <c r="F874" s="55" t="n">
        <v>135</v>
      </c>
      <c r="G874" s="54" t="n">
        <v>29</v>
      </c>
      <c r="H874" s="54" t="inlineStr">
        <is>
          <t>Uploaded PDF: Munitorum Field Manual v2.3 / March 2025</t>
        </is>
      </c>
    </row>
    <row r="875">
      <c r="A875" s="54" t="inlineStr">
        <is>
          <t>Orks</t>
        </is>
      </c>
      <c r="B875" s="54" t="inlineStr">
        <is>
          <t>Kill Rig</t>
        </is>
      </c>
      <c r="C875" s="54" t="inlineStr">
        <is>
          <t>1 model</t>
        </is>
      </c>
      <c r="D875" s="55" t="n">
        <v>155</v>
      </c>
      <c r="E875" s="55" t="inlineStr">
        <is>
          <t>Kill Rig — 1 model (155 pts)</t>
        </is>
      </c>
      <c r="F875" s="55" t="n">
        <v>155</v>
      </c>
      <c r="G875" s="54" t="n">
        <v>29</v>
      </c>
      <c r="H875" s="54" t="inlineStr">
        <is>
          <t>Uploaded PDF: Munitorum Field Manual v2.3 / March 2025</t>
        </is>
      </c>
    </row>
    <row r="876">
      <c r="A876" s="54" t="inlineStr">
        <is>
          <t>Orks</t>
        </is>
      </c>
      <c r="B876" s="54" t="inlineStr">
        <is>
          <t>Killa Kans</t>
        </is>
      </c>
      <c r="C876" s="54" t="inlineStr">
        <is>
          <t>3 models</t>
        </is>
      </c>
      <c r="D876" s="55" t="n">
        <v>125</v>
      </c>
      <c r="E876" s="55" t="inlineStr">
        <is>
          <t>Killa Kans — 3 models (125 pts)</t>
        </is>
      </c>
      <c r="F876" s="55" t="n">
        <v>125</v>
      </c>
      <c r="G876" s="54" t="n">
        <v>29</v>
      </c>
      <c r="H876" s="54" t="inlineStr">
        <is>
          <t>Uploaded PDF: Munitorum Field Manual v2.3 / March 2025</t>
        </is>
      </c>
    </row>
    <row r="877">
      <c r="A877" s="54" t="inlineStr">
        <is>
          <t>Orks</t>
        </is>
      </c>
      <c r="B877" s="54" t="inlineStr">
        <is>
          <t>Killa Kans</t>
        </is>
      </c>
      <c r="C877" s="54" t="inlineStr">
        <is>
          <t>6 models</t>
        </is>
      </c>
      <c r="D877" s="55" t="n">
        <v>250</v>
      </c>
      <c r="E877" s="55" t="inlineStr">
        <is>
          <t>Killa Kans — 6 models (250 pts)</t>
        </is>
      </c>
      <c r="F877" s="55" t="n">
        <v>250</v>
      </c>
      <c r="G877" s="54" t="n">
        <v>29</v>
      </c>
      <c r="H877" s="54" t="inlineStr">
        <is>
          <t>Uploaded PDF: Munitorum Field Manual v2.3 / March 2025</t>
        </is>
      </c>
    </row>
    <row r="878">
      <c r="A878" s="54" t="inlineStr">
        <is>
          <t>Orks</t>
        </is>
      </c>
      <c r="B878" s="54" t="inlineStr">
        <is>
          <t>Kommandos</t>
        </is>
      </c>
      <c r="C878" s="54" t="inlineStr">
        <is>
          <t>10 models</t>
        </is>
      </c>
      <c r="D878" s="55" t="n">
        <v>120</v>
      </c>
      <c r="E878" s="55" t="inlineStr">
        <is>
          <t>Kommandos — 10 models (120 pts)</t>
        </is>
      </c>
      <c r="F878" s="55" t="n">
        <v>120</v>
      </c>
      <c r="G878" s="54" t="n">
        <v>29</v>
      </c>
      <c r="H878" s="54" t="inlineStr">
        <is>
          <t>Uploaded PDF: Munitorum Field Manual v2.3 / March 2025</t>
        </is>
      </c>
    </row>
    <row r="879">
      <c r="A879" s="54" t="inlineStr">
        <is>
          <t>Orks</t>
        </is>
      </c>
      <c r="B879" s="54" t="inlineStr">
        <is>
          <t>Kustom Boosta-blasta</t>
        </is>
      </c>
      <c r="C879" s="54" t="inlineStr">
        <is>
          <t>1 model</t>
        </is>
      </c>
      <c r="D879" s="55" t="n">
        <v>75</v>
      </c>
      <c r="E879" s="55" t="inlineStr">
        <is>
          <t>Kustom Boosta-blasta — 1 model (75 pts)</t>
        </is>
      </c>
      <c r="F879" s="55" t="n">
        <v>75</v>
      </c>
      <c r="G879" s="54" t="n">
        <v>29</v>
      </c>
      <c r="H879" s="54" t="inlineStr">
        <is>
          <t>Uploaded PDF: Munitorum Field Manual v2.3 / March 2025</t>
        </is>
      </c>
    </row>
    <row r="880">
      <c r="A880" s="54" t="inlineStr">
        <is>
          <t>Orks</t>
        </is>
      </c>
      <c r="B880" s="54" t="inlineStr">
        <is>
          <t>Lootas</t>
        </is>
      </c>
      <c r="C880" s="54" t="inlineStr">
        <is>
          <t>1 Spanner and 4 Lootas</t>
        </is>
      </c>
      <c r="D880" s="55" t="n">
        <v>50</v>
      </c>
      <c r="E880" s="55" t="inlineStr">
        <is>
          <t>Lootas — 1 Spanner and 4 Lootas (50 pts)</t>
        </is>
      </c>
      <c r="F880" s="55" t="n">
        <v>50</v>
      </c>
      <c r="G880" s="54" t="n">
        <v>29</v>
      </c>
      <c r="H880" s="54" t="inlineStr">
        <is>
          <t>Uploaded PDF: Munitorum Field Manual v2.3 / March 2025</t>
        </is>
      </c>
    </row>
    <row r="881">
      <c r="A881" s="54" t="inlineStr">
        <is>
          <t>Orks</t>
        </is>
      </c>
      <c r="B881" s="54" t="inlineStr">
        <is>
          <t>Lootas</t>
        </is>
      </c>
      <c r="C881" s="54" t="inlineStr">
        <is>
          <t>2 Spanners and 8 Lootas</t>
        </is>
      </c>
      <c r="D881" s="55" t="n">
        <v>100</v>
      </c>
      <c r="E881" s="55" t="inlineStr">
        <is>
          <t>Lootas — 2 Spanners and 8 Lootas (100 pts)</t>
        </is>
      </c>
      <c r="F881" s="55" t="n">
        <v>100</v>
      </c>
      <c r="G881" s="54" t="n">
        <v>29</v>
      </c>
      <c r="H881" s="54" t="inlineStr">
        <is>
          <t>Uploaded PDF: Munitorum Field Manual v2.3 / March 2025</t>
        </is>
      </c>
    </row>
    <row r="882">
      <c r="A882" s="54" t="inlineStr">
        <is>
          <t>Orks</t>
        </is>
      </c>
      <c r="B882" s="54" t="inlineStr">
        <is>
          <t>Meganobz</t>
        </is>
      </c>
      <c r="C882" s="54" t="inlineStr">
        <is>
          <t>2 models</t>
        </is>
      </c>
      <c r="D882" s="55" t="n">
        <v>70</v>
      </c>
      <c r="E882" s="55" t="inlineStr">
        <is>
          <t>Meganobz — 2 models (70 pts)</t>
        </is>
      </c>
      <c r="F882" s="55" t="n">
        <v>70</v>
      </c>
      <c r="G882" s="54" t="n">
        <v>29</v>
      </c>
      <c r="H882" s="54" t="inlineStr">
        <is>
          <t>Uploaded PDF: Munitorum Field Manual v2.3 / March 2025</t>
        </is>
      </c>
    </row>
    <row r="883">
      <c r="A883" s="54" t="inlineStr">
        <is>
          <t>Orks</t>
        </is>
      </c>
      <c r="B883" s="54" t="inlineStr">
        <is>
          <t>Meganobz</t>
        </is>
      </c>
      <c r="C883" s="54" t="inlineStr">
        <is>
          <t>3 models</t>
        </is>
      </c>
      <c r="D883" s="55" t="n">
        <v>105</v>
      </c>
      <c r="E883" s="55" t="inlineStr">
        <is>
          <t>Meganobz — 3 models (105 pts)</t>
        </is>
      </c>
      <c r="F883" s="55" t="n">
        <v>105</v>
      </c>
      <c r="G883" s="54" t="n">
        <v>29</v>
      </c>
      <c r="H883" s="54" t="inlineStr">
        <is>
          <t>Uploaded PDF: Munitorum Field Manual v2.3 / March 2025</t>
        </is>
      </c>
    </row>
    <row r="884">
      <c r="A884" s="54" t="inlineStr">
        <is>
          <t>Orks</t>
        </is>
      </c>
      <c r="B884" s="54" t="inlineStr">
        <is>
          <t>Meganobz</t>
        </is>
      </c>
      <c r="C884" s="54" t="inlineStr">
        <is>
          <t>5 models</t>
        </is>
      </c>
      <c r="D884" s="55" t="n">
        <v>175</v>
      </c>
      <c r="E884" s="55" t="inlineStr">
        <is>
          <t>Meganobz — 5 models (175 pts)</t>
        </is>
      </c>
      <c r="F884" s="55" t="n">
        <v>175</v>
      </c>
      <c r="G884" s="54" t="n">
        <v>29</v>
      </c>
      <c r="H884" s="54" t="inlineStr">
        <is>
          <t>Uploaded PDF: Munitorum Field Manual v2.3 / March 2025</t>
        </is>
      </c>
    </row>
    <row r="885">
      <c r="A885" s="54" t="inlineStr">
        <is>
          <t>Orks</t>
        </is>
      </c>
      <c r="B885" s="54" t="inlineStr">
        <is>
          <t>Meganobz</t>
        </is>
      </c>
      <c r="C885" s="54" t="inlineStr">
        <is>
          <t>6 models</t>
        </is>
      </c>
      <c r="D885" s="55" t="n">
        <v>210</v>
      </c>
      <c r="E885" s="55" t="inlineStr">
        <is>
          <t>Meganobz — 6 models (210 pts)</t>
        </is>
      </c>
      <c r="F885" s="55" t="n">
        <v>210</v>
      </c>
      <c r="G885" s="54" t="n">
        <v>29</v>
      </c>
      <c r="H885" s="54" t="inlineStr">
        <is>
          <t>Uploaded PDF: Munitorum Field Manual v2.3 / March 2025</t>
        </is>
      </c>
    </row>
    <row r="886">
      <c r="A886" s="54" t="inlineStr">
        <is>
          <t>Orks</t>
        </is>
      </c>
      <c r="B886" s="54" t="inlineStr">
        <is>
          <t>Megatrakk Scrapjet</t>
        </is>
      </c>
      <c r="C886" s="54" t="inlineStr">
        <is>
          <t>1 model</t>
        </is>
      </c>
      <c r="D886" s="55" t="n">
        <v>80</v>
      </c>
      <c r="E886" s="55" t="inlineStr">
        <is>
          <t>Megatrakk Scrapjet — 1 model (80 pts)</t>
        </is>
      </c>
      <c r="F886" s="55" t="n">
        <v>80</v>
      </c>
      <c r="G886" s="54" t="n">
        <v>29</v>
      </c>
      <c r="H886" s="54" t="inlineStr">
        <is>
          <t>Uploaded PDF: Munitorum Field Manual v2.3 / March 2025</t>
        </is>
      </c>
    </row>
    <row r="887">
      <c r="A887" s="54" t="inlineStr">
        <is>
          <t>Orks</t>
        </is>
      </c>
      <c r="B887" s="54" t="inlineStr">
        <is>
          <t>Mek</t>
        </is>
      </c>
      <c r="C887" s="54" t="inlineStr">
        <is>
          <t>1 model</t>
        </is>
      </c>
      <c r="D887" s="55" t="n">
        <v>45</v>
      </c>
      <c r="E887" s="55" t="inlineStr">
        <is>
          <t>Mek — 1 model (45 pts)</t>
        </is>
      </c>
      <c r="F887" s="55" t="n">
        <v>45</v>
      </c>
      <c r="G887" s="54" t="n">
        <v>29</v>
      </c>
      <c r="H887" s="54" t="inlineStr">
        <is>
          <t>Uploaded PDF: Munitorum Field Manual v2.3 / March 2025</t>
        </is>
      </c>
    </row>
    <row r="888">
      <c r="A888" s="54" t="inlineStr">
        <is>
          <t>Orks</t>
        </is>
      </c>
      <c r="B888" s="54" t="inlineStr">
        <is>
          <t>Mek Gunz</t>
        </is>
      </c>
      <c r="C888" s="54" t="inlineStr">
        <is>
          <t>1 model</t>
        </is>
      </c>
      <c r="D888" s="55" t="n">
        <v>50</v>
      </c>
      <c r="E888" s="55" t="inlineStr">
        <is>
          <t>Mek Gunz — 1 model (50 pts)</t>
        </is>
      </c>
      <c r="F888" s="55" t="n">
        <v>50</v>
      </c>
      <c r="G888" s="54" t="n">
        <v>29</v>
      </c>
      <c r="H888" s="54" t="inlineStr">
        <is>
          <t>Uploaded PDF: Munitorum Field Manual v2.3 / March 2025</t>
        </is>
      </c>
    </row>
    <row r="889">
      <c r="A889" s="54" t="inlineStr">
        <is>
          <t>Orks</t>
        </is>
      </c>
      <c r="B889" s="54" t="inlineStr">
        <is>
          <t>Mek Gunz</t>
        </is>
      </c>
      <c r="C889" s="54" t="inlineStr">
        <is>
          <t>2 models</t>
        </is>
      </c>
      <c r="D889" s="55" t="n">
        <v>100</v>
      </c>
      <c r="E889" s="55" t="inlineStr">
        <is>
          <t>Mek Gunz — 2 models (100 pts)</t>
        </is>
      </c>
      <c r="F889" s="55" t="n">
        <v>100</v>
      </c>
      <c r="G889" s="54" t="n">
        <v>29</v>
      </c>
      <c r="H889" s="54" t="inlineStr">
        <is>
          <t>Uploaded PDF: Munitorum Field Manual v2.3 / March 2025</t>
        </is>
      </c>
    </row>
    <row r="890">
      <c r="A890" s="54" t="inlineStr">
        <is>
          <t>Orks</t>
        </is>
      </c>
      <c r="B890" s="54" t="inlineStr">
        <is>
          <t>Mek Gunz</t>
        </is>
      </c>
      <c r="C890" s="54" t="inlineStr">
        <is>
          <t>3 models</t>
        </is>
      </c>
      <c r="D890" s="55" t="n">
        <v>150</v>
      </c>
      <c r="E890" s="55" t="inlineStr">
        <is>
          <t>Mek Gunz — 3 models (150 pts)</t>
        </is>
      </c>
      <c r="F890" s="55" t="n">
        <v>150</v>
      </c>
      <c r="G890" s="54" t="n">
        <v>29</v>
      </c>
      <c r="H890" s="54" t="inlineStr">
        <is>
          <t>Uploaded PDF: Munitorum Field Manual v2.3 / March 2025</t>
        </is>
      </c>
    </row>
    <row r="891">
      <c r="A891" s="54" t="inlineStr">
        <is>
          <t>Orks</t>
        </is>
      </c>
      <c r="B891" s="54" t="inlineStr">
        <is>
          <t>Morkanaut</t>
        </is>
      </c>
      <c r="C891" s="54" t="inlineStr">
        <is>
          <t>1 model</t>
        </is>
      </c>
      <c r="D891" s="55" t="n">
        <v>280</v>
      </c>
      <c r="E891" s="55" t="inlineStr">
        <is>
          <t>Morkanaut — 1 model (280 pts)</t>
        </is>
      </c>
      <c r="F891" s="55" t="n">
        <v>280</v>
      </c>
      <c r="G891" s="54" t="n">
        <v>29</v>
      </c>
      <c r="H891" s="54" t="inlineStr">
        <is>
          <t>Uploaded PDF: Munitorum Field Manual v2.3 / March 2025</t>
        </is>
      </c>
    </row>
    <row r="892">
      <c r="A892" s="54" t="inlineStr">
        <is>
          <t>Orks</t>
        </is>
      </c>
      <c r="B892" s="54" t="inlineStr">
        <is>
          <t>Mozrog Skragbad</t>
        </is>
      </c>
      <c r="C892" s="54" t="inlineStr">
        <is>
          <t>1 model</t>
        </is>
      </c>
      <c r="D892" s="55" t="n">
        <v>165</v>
      </c>
      <c r="E892" s="55" t="inlineStr">
        <is>
          <t>Mozrog Skragbad — 1 model (165 pts)</t>
        </is>
      </c>
      <c r="F892" s="55" t="n">
        <v>165</v>
      </c>
      <c r="G892" s="54" t="n">
        <v>29</v>
      </c>
      <c r="H892" s="54" t="inlineStr">
        <is>
          <t>Uploaded PDF: Munitorum Field Manual v2.3 / March 2025</t>
        </is>
      </c>
    </row>
    <row r="893">
      <c r="A893" s="54" t="inlineStr">
        <is>
          <t>Orks</t>
        </is>
      </c>
      <c r="B893" s="54" t="inlineStr">
        <is>
          <t>Nobz</t>
        </is>
      </c>
      <c r="C893" s="54" t="inlineStr">
        <is>
          <t>5 models</t>
        </is>
      </c>
      <c r="D893" s="55" t="n">
        <v>105</v>
      </c>
      <c r="E893" s="55" t="inlineStr">
        <is>
          <t>Nobz — 5 models (105 pts)</t>
        </is>
      </c>
      <c r="F893" s="55" t="n">
        <v>105</v>
      </c>
      <c r="G893" s="54" t="n">
        <v>29</v>
      </c>
      <c r="H893" s="54" t="inlineStr">
        <is>
          <t>Uploaded PDF: Munitorum Field Manual v2.3 / March 2025</t>
        </is>
      </c>
    </row>
    <row r="894">
      <c r="A894" s="54" t="inlineStr">
        <is>
          <t>Orks</t>
        </is>
      </c>
      <c r="B894" s="54" t="inlineStr">
        <is>
          <t>Nobz</t>
        </is>
      </c>
      <c r="C894" s="54" t="inlineStr">
        <is>
          <t>10 models</t>
        </is>
      </c>
      <c r="D894" s="55" t="n">
        <v>210</v>
      </c>
      <c r="E894" s="55" t="inlineStr">
        <is>
          <t>Nobz — 10 models (210 pts)</t>
        </is>
      </c>
      <c r="F894" s="55" t="n">
        <v>210</v>
      </c>
      <c r="G894" s="54" t="n">
        <v>29</v>
      </c>
      <c r="H894" s="54" t="inlineStr">
        <is>
          <t>Uploaded PDF: Munitorum Field Manual v2.3 / March 2025</t>
        </is>
      </c>
    </row>
    <row r="895">
      <c r="A895" s="54" t="inlineStr">
        <is>
          <t>Orks</t>
        </is>
      </c>
      <c r="B895" s="54" t="inlineStr">
        <is>
          <t>Painboss</t>
        </is>
      </c>
      <c r="C895" s="54" t="inlineStr">
        <is>
          <t>1 model</t>
        </is>
      </c>
      <c r="D895" s="55" t="n">
        <v>70</v>
      </c>
      <c r="E895" s="55" t="inlineStr">
        <is>
          <t>Painboss — 1 model (70 pts)</t>
        </is>
      </c>
      <c r="F895" s="55" t="n">
        <v>70</v>
      </c>
      <c r="G895" s="54" t="n">
        <v>29</v>
      </c>
      <c r="H895" s="54" t="inlineStr">
        <is>
          <t>Uploaded PDF: Munitorum Field Manual v2.3 / March 2025</t>
        </is>
      </c>
    </row>
    <row r="896">
      <c r="A896" s="54" t="inlineStr">
        <is>
          <t>Orks</t>
        </is>
      </c>
      <c r="B896" s="54" t="inlineStr">
        <is>
          <t>Painboy</t>
        </is>
      </c>
      <c r="C896" s="54" t="inlineStr">
        <is>
          <t>1 model</t>
        </is>
      </c>
      <c r="D896" s="55" t="n">
        <v>80</v>
      </c>
      <c r="E896" s="55" t="inlineStr">
        <is>
          <t>Painboy — 1 model (80 pts)</t>
        </is>
      </c>
      <c r="F896" s="55" t="n">
        <v>80</v>
      </c>
      <c r="G896" s="54" t="n">
        <v>29</v>
      </c>
      <c r="H896" s="54" t="inlineStr">
        <is>
          <t>Uploaded PDF: Munitorum Field Manual v2.3 / March 2025</t>
        </is>
      </c>
    </row>
    <row r="897">
      <c r="A897" s="54" t="inlineStr">
        <is>
          <t>Orks</t>
        </is>
      </c>
      <c r="B897" s="54" t="inlineStr">
        <is>
          <t>Rukkatrukk Squigbuggy</t>
        </is>
      </c>
      <c r="C897" s="54" t="inlineStr">
        <is>
          <t>1 model</t>
        </is>
      </c>
      <c r="D897" s="55" t="n">
        <v>100</v>
      </c>
      <c r="E897" s="55" t="inlineStr">
        <is>
          <t>Rukkatrukk Squigbuggy — 1 model (100 pts)</t>
        </is>
      </c>
      <c r="F897" s="55" t="n">
        <v>100</v>
      </c>
      <c r="G897" s="54" t="n">
        <v>29</v>
      </c>
      <c r="H897" s="54" t="inlineStr">
        <is>
          <t>Uploaded PDF: Munitorum Field Manual v2.3 / March 2025</t>
        </is>
      </c>
    </row>
    <row r="898">
      <c r="A898" s="54" t="inlineStr">
        <is>
          <t>Orks</t>
        </is>
      </c>
      <c r="B898" s="54" t="inlineStr">
        <is>
          <t>Shokkjump Dragsta</t>
        </is>
      </c>
      <c r="C898" s="54" t="inlineStr">
        <is>
          <t>1 model</t>
        </is>
      </c>
      <c r="D898" s="55" t="n">
        <v>75</v>
      </c>
      <c r="E898" s="55" t="inlineStr">
        <is>
          <t>Shokkjump Dragsta — 1 model (75 pts)</t>
        </is>
      </c>
      <c r="F898" s="55" t="n">
        <v>75</v>
      </c>
      <c r="G898" s="54" t="n">
        <v>29</v>
      </c>
      <c r="H898" s="54" t="inlineStr">
        <is>
          <t>Uploaded PDF: Munitorum Field Manual v2.3 / March 2025</t>
        </is>
      </c>
    </row>
    <row r="899">
      <c r="A899" s="54" t="inlineStr">
        <is>
          <t>Orks</t>
        </is>
      </c>
      <c r="B899" s="54" t="inlineStr">
        <is>
          <t>Squighog Boyz</t>
        </is>
      </c>
      <c r="C899" s="54" t="inlineStr">
        <is>
          <t>4 models</t>
        </is>
      </c>
      <c r="D899" s="55" t="n">
        <v>160</v>
      </c>
      <c r="E899" s="55" t="inlineStr">
        <is>
          <t>Squighog Boyz — 4 models (160 pts)</t>
        </is>
      </c>
      <c r="F899" s="55" t="n">
        <v>160</v>
      </c>
      <c r="G899" s="54" t="n">
        <v>29</v>
      </c>
      <c r="H899" s="54" t="inlineStr">
        <is>
          <t>Uploaded PDF: Munitorum Field Manual v2.3 / March 2025</t>
        </is>
      </c>
    </row>
    <row r="900">
      <c r="A900" s="54" t="inlineStr">
        <is>
          <t>Orks</t>
        </is>
      </c>
      <c r="B900" s="54" t="inlineStr">
        <is>
          <t>Squighog Boyz</t>
        </is>
      </c>
      <c r="C900" s="54" t="inlineStr">
        <is>
          <t>8 models</t>
        </is>
      </c>
      <c r="D900" s="55" t="n">
        <v>320</v>
      </c>
      <c r="E900" s="55" t="inlineStr">
        <is>
          <t>Squighog Boyz — 8 models (320 pts)</t>
        </is>
      </c>
      <c r="F900" s="55" t="n">
        <v>320</v>
      </c>
      <c r="G900" s="54" t="n">
        <v>29</v>
      </c>
      <c r="H900" s="54" t="inlineStr">
        <is>
          <t>Uploaded PDF: Munitorum Field Manual v2.3 / March 2025</t>
        </is>
      </c>
    </row>
    <row r="901">
      <c r="A901" s="54" t="inlineStr">
        <is>
          <t>Orks</t>
        </is>
      </c>
      <c r="B901" s="54" t="inlineStr">
        <is>
          <t>Stompa</t>
        </is>
      </c>
      <c r="C901" s="54" t="inlineStr">
        <is>
          <t>1 model</t>
        </is>
      </c>
      <c r="D901" s="55" t="n">
        <v>800</v>
      </c>
      <c r="E901" s="55" t="inlineStr">
        <is>
          <t>Stompa — 1 model (800 pts)</t>
        </is>
      </c>
      <c r="F901" s="55" t="n">
        <v>800</v>
      </c>
      <c r="G901" s="54" t="n">
        <v>29</v>
      </c>
      <c r="H901" s="54" t="inlineStr">
        <is>
          <t>Uploaded PDF: Munitorum Field Manual v2.3 / March 2025</t>
        </is>
      </c>
    </row>
    <row r="902">
      <c r="A902" s="54" t="inlineStr">
        <is>
          <t>Orks</t>
        </is>
      </c>
      <c r="B902" s="54" t="inlineStr">
        <is>
          <t>Stormboyz</t>
        </is>
      </c>
      <c r="C902" s="54" t="inlineStr">
        <is>
          <t>5 models</t>
        </is>
      </c>
      <c r="D902" s="55" t="n">
        <v>65</v>
      </c>
      <c r="E902" s="55" t="inlineStr">
        <is>
          <t>Stormboyz — 5 models (65 pts)</t>
        </is>
      </c>
      <c r="F902" s="55" t="n">
        <v>65</v>
      </c>
      <c r="G902" s="54" t="n">
        <v>29</v>
      </c>
      <c r="H902" s="54" t="inlineStr">
        <is>
          <t>Uploaded PDF: Munitorum Field Manual v2.3 / March 2025</t>
        </is>
      </c>
    </row>
    <row r="903">
      <c r="A903" s="54" t="inlineStr">
        <is>
          <t>Orks</t>
        </is>
      </c>
      <c r="B903" s="54" t="inlineStr">
        <is>
          <t>Stormboyz</t>
        </is>
      </c>
      <c r="C903" s="54" t="inlineStr">
        <is>
          <t>10 models</t>
        </is>
      </c>
      <c r="D903" s="55" t="n">
        <v>130</v>
      </c>
      <c r="E903" s="55" t="inlineStr">
        <is>
          <t>Stormboyz — 10 models (130 pts)</t>
        </is>
      </c>
      <c r="F903" s="55" t="n">
        <v>130</v>
      </c>
      <c r="G903" s="54" t="n">
        <v>29</v>
      </c>
      <c r="H903" s="54" t="inlineStr">
        <is>
          <t>Uploaded PDF: Munitorum Field Manual v2.3 / March 2025</t>
        </is>
      </c>
    </row>
    <row r="904">
      <c r="A904" s="54" t="inlineStr">
        <is>
          <t>Orks</t>
        </is>
      </c>
      <c r="B904" s="54" t="inlineStr">
        <is>
          <t>Tankbustas</t>
        </is>
      </c>
      <c r="C904" s="54" t="inlineStr">
        <is>
          <t>6 models</t>
        </is>
      </c>
      <c r="D904" s="55" t="n">
        <v>135</v>
      </c>
      <c r="E904" s="55" t="inlineStr">
        <is>
          <t>Tankbustas — 6 models (135 pts)</t>
        </is>
      </c>
      <c r="F904" s="55" t="n">
        <v>135</v>
      </c>
      <c r="G904" s="54" t="n">
        <v>29</v>
      </c>
      <c r="H904" s="54" t="inlineStr">
        <is>
          <t>Uploaded PDF: Munitorum Field Manual v2.3 / March 2025</t>
        </is>
      </c>
    </row>
    <row r="905">
      <c r="A905" s="54" t="inlineStr">
        <is>
          <t>Orks</t>
        </is>
      </c>
      <c r="B905" s="54" t="inlineStr">
        <is>
          <t>Trukk</t>
        </is>
      </c>
      <c r="C905" s="54" t="inlineStr">
        <is>
          <t>1 model</t>
        </is>
      </c>
      <c r="D905" s="55" t="n">
        <v>65</v>
      </c>
      <c r="E905" s="55" t="inlineStr">
        <is>
          <t>Trukk — 1 model (65 pts)</t>
        </is>
      </c>
      <c r="F905" s="55" t="n">
        <v>65</v>
      </c>
      <c r="G905" s="54" t="n">
        <v>29</v>
      </c>
      <c r="H905" s="54" t="inlineStr">
        <is>
          <t>Uploaded PDF: Munitorum Field Manual v2.3 / March 2025</t>
        </is>
      </c>
    </row>
    <row r="906">
      <c r="A906" s="54" t="inlineStr">
        <is>
          <t>Orks</t>
        </is>
      </c>
      <c r="B906" s="54" t="inlineStr">
        <is>
          <t>Warbikers</t>
        </is>
      </c>
      <c r="C906" s="54" t="inlineStr">
        <is>
          <t>3 models</t>
        </is>
      </c>
      <c r="D906" s="55" t="n">
        <v>70</v>
      </c>
      <c r="E906" s="55" t="inlineStr">
        <is>
          <t>Warbikers — 3 models (70 pts)</t>
        </is>
      </c>
      <c r="F906" s="55" t="n">
        <v>70</v>
      </c>
      <c r="G906" s="54" t="n">
        <v>29</v>
      </c>
      <c r="H906" s="54" t="inlineStr">
        <is>
          <t>Uploaded PDF: Munitorum Field Manual v2.3 / March 2025</t>
        </is>
      </c>
    </row>
    <row r="907">
      <c r="A907" s="54" t="inlineStr">
        <is>
          <t>Orks</t>
        </is>
      </c>
      <c r="B907" s="54" t="inlineStr">
        <is>
          <t>Warbikers</t>
        </is>
      </c>
      <c r="C907" s="54" t="inlineStr">
        <is>
          <t>6 models</t>
        </is>
      </c>
      <c r="D907" s="55" t="n">
        <v>140</v>
      </c>
      <c r="E907" s="55" t="inlineStr">
        <is>
          <t>Warbikers — 6 models (140 pts)</t>
        </is>
      </c>
      <c r="F907" s="55" t="n">
        <v>140</v>
      </c>
      <c r="G907" s="54" t="n">
        <v>29</v>
      </c>
      <c r="H907" s="54" t="inlineStr">
        <is>
          <t>Uploaded PDF: Munitorum Field Manual v2.3 / March 2025</t>
        </is>
      </c>
    </row>
    <row r="908">
      <c r="A908" s="54" t="inlineStr">
        <is>
          <t>Orks</t>
        </is>
      </c>
      <c r="B908" s="54" t="inlineStr">
        <is>
          <t>Warboss</t>
        </is>
      </c>
      <c r="C908" s="54" t="inlineStr">
        <is>
          <t>1 model</t>
        </is>
      </c>
      <c r="D908" s="55" t="n">
        <v>75</v>
      </c>
      <c r="E908" s="55" t="inlineStr">
        <is>
          <t>Warboss — 1 model (75 pts)</t>
        </is>
      </c>
      <c r="F908" s="55" t="n">
        <v>75</v>
      </c>
      <c r="G908" s="54" t="n">
        <v>29</v>
      </c>
      <c r="H908" s="54" t="inlineStr">
        <is>
          <t>Uploaded PDF: Munitorum Field Manual v2.3 / March 2025</t>
        </is>
      </c>
    </row>
    <row r="909">
      <c r="A909" s="54" t="inlineStr">
        <is>
          <t>Orks</t>
        </is>
      </c>
      <c r="B909" s="54" t="inlineStr">
        <is>
          <t>Warboss in Mega Armour</t>
        </is>
      </c>
      <c r="C909" s="54" t="inlineStr">
        <is>
          <t>1 model</t>
        </is>
      </c>
      <c r="D909" s="55" t="n">
        <v>90</v>
      </c>
      <c r="E909" s="55" t="inlineStr">
        <is>
          <t>Warboss in Mega Armour — 1 model (90 pts)</t>
        </is>
      </c>
      <c r="F909" s="55" t="n">
        <v>90</v>
      </c>
      <c r="G909" s="54" t="n">
        <v>29</v>
      </c>
      <c r="H909" s="54" t="inlineStr">
        <is>
          <t>Uploaded PDF: Munitorum Field Manual v2.3 / March 2025</t>
        </is>
      </c>
    </row>
    <row r="910">
      <c r="A910" s="54" t="inlineStr">
        <is>
          <t>Orks</t>
        </is>
      </c>
      <c r="B910" s="54" t="inlineStr">
        <is>
          <t>Wazbom Blastajet</t>
        </is>
      </c>
      <c r="C910" s="54" t="inlineStr">
        <is>
          <t>1 model</t>
        </is>
      </c>
      <c r="D910" s="55" t="n">
        <v>175</v>
      </c>
      <c r="E910" s="55" t="inlineStr">
        <is>
          <t>Wazbom Blastajet — 1 model (175 pts)</t>
        </is>
      </c>
      <c r="F910" s="55" t="n">
        <v>175</v>
      </c>
      <c r="G910" s="54" t="n">
        <v>29</v>
      </c>
      <c r="H910" s="54" t="inlineStr">
        <is>
          <t>Uploaded PDF: Munitorum Field Manual v2.3 / March 2025</t>
        </is>
      </c>
    </row>
    <row r="911">
      <c r="A911" s="54" t="inlineStr">
        <is>
          <t>Orks</t>
        </is>
      </c>
      <c r="B911" s="54" t="inlineStr">
        <is>
          <t>Weirdboy</t>
        </is>
      </c>
      <c r="C911" s="54" t="inlineStr">
        <is>
          <t>1 model</t>
        </is>
      </c>
      <c r="D911" s="55" t="n">
        <v>65</v>
      </c>
      <c r="E911" s="55" t="inlineStr">
        <is>
          <t>Weirdboy — 1 model (65 pts)</t>
        </is>
      </c>
      <c r="F911" s="55" t="n">
        <v>65</v>
      </c>
      <c r="G911" s="54" t="n">
        <v>29</v>
      </c>
      <c r="H911" s="54" t="inlineStr">
        <is>
          <t>Uploaded PDF: Munitorum Field Manual v2.3 / March 2025</t>
        </is>
      </c>
    </row>
    <row r="912">
      <c r="A912" s="54" t="inlineStr">
        <is>
          <t>Orks</t>
        </is>
      </c>
      <c r="B912" s="54" t="inlineStr">
        <is>
          <t>Wurrboy</t>
        </is>
      </c>
      <c r="C912" s="54" t="inlineStr">
        <is>
          <t>1 model</t>
        </is>
      </c>
      <c r="D912" s="55" t="n">
        <v>60</v>
      </c>
      <c r="E912" s="55" t="inlineStr">
        <is>
          <t>Wurrboy — 1 model (60 pts)</t>
        </is>
      </c>
      <c r="F912" s="55" t="n">
        <v>60</v>
      </c>
      <c r="G912" s="54" t="n">
        <v>29</v>
      </c>
      <c r="H912" s="54" t="inlineStr">
        <is>
          <t>Uploaded PDF: Munitorum Field Manual v2.3 / March 2025</t>
        </is>
      </c>
    </row>
    <row r="913">
      <c r="A913" s="54" t="inlineStr">
        <is>
          <t>Orks</t>
        </is>
      </c>
      <c r="B913" s="54" t="inlineStr">
        <is>
          <t>Zodgrod Wortsnagga</t>
        </is>
      </c>
      <c r="C913" s="54" t="inlineStr">
        <is>
          <t>1 model</t>
        </is>
      </c>
      <c r="D913" s="55" t="n">
        <v>80</v>
      </c>
      <c r="E913" s="55" t="inlineStr">
        <is>
          <t>Zodgrod Wortsnagga — 1 model (80 pts)</t>
        </is>
      </c>
      <c r="F913" s="55" t="n">
        <v>80</v>
      </c>
      <c r="G913" s="54" t="n">
        <v>29</v>
      </c>
      <c r="H913" s="54" t="inlineStr">
        <is>
          <t>Uploaded PDF: Munitorum Field Manual v2.3 / March 2025</t>
        </is>
      </c>
    </row>
    <row r="914">
      <c r="A914" s="54" t="inlineStr">
        <is>
          <t>Orks</t>
        </is>
      </c>
      <c r="B914" s="54" t="inlineStr">
        <is>
          <t>Gargantuan Squiggoth</t>
        </is>
      </c>
      <c r="C914" s="54" t="inlineStr">
        <is>
          <t>1 model</t>
        </is>
      </c>
      <c r="D914" s="55" t="n">
        <v>440</v>
      </c>
      <c r="E914" s="55" t="inlineStr">
        <is>
          <t>Gargantuan Squiggoth — 1 model (440 pts)</t>
        </is>
      </c>
      <c r="F914" s="55" t="n">
        <v>440</v>
      </c>
      <c r="G914" s="54" t="n">
        <v>29</v>
      </c>
      <c r="H914" s="54" t="inlineStr">
        <is>
          <t>Uploaded PDF: Munitorum Field Manual v2.3 / March 2025</t>
        </is>
      </c>
    </row>
    <row r="915">
      <c r="A915" s="54" t="inlineStr">
        <is>
          <t>Space Marines</t>
        </is>
      </c>
      <c r="B915" s="54" t="inlineStr">
        <is>
          <t>Adrax Agatone</t>
        </is>
      </c>
      <c r="C915" s="54" t="inlineStr">
        <is>
          <t>1 model</t>
        </is>
      </c>
      <c r="D915" s="55" t="n">
        <v>85</v>
      </c>
      <c r="E915" s="55" t="inlineStr">
        <is>
          <t>Adrax Agatone — 1 model (85 pts)</t>
        </is>
      </c>
      <c r="F915" s="55" t="n">
        <v>85</v>
      </c>
      <c r="G915" s="54" t="n">
        <v>31</v>
      </c>
      <c r="H915" s="54" t="inlineStr">
        <is>
          <t>Uploaded PDF: Munitorum Field Manual v2.3 / March 2025</t>
        </is>
      </c>
    </row>
    <row r="916">
      <c r="A916" s="54" t="inlineStr">
        <is>
          <t>Space Marines</t>
        </is>
      </c>
      <c r="B916" s="54" t="inlineStr">
        <is>
          <t>Aggressor Squad</t>
        </is>
      </c>
      <c r="C916" s="54" t="inlineStr">
        <is>
          <t>3 models</t>
        </is>
      </c>
      <c r="D916" s="55" t="n">
        <v>120</v>
      </c>
      <c r="E916" s="55" t="inlineStr">
        <is>
          <t>Aggressor Squad — 3 models (120 pts)</t>
        </is>
      </c>
      <c r="F916" s="55" t="n">
        <v>120</v>
      </c>
      <c r="G916" s="54" t="n">
        <v>31</v>
      </c>
      <c r="H916" s="54" t="inlineStr">
        <is>
          <t>Uploaded PDF: Munitorum Field Manual v2.3 / March 2025</t>
        </is>
      </c>
    </row>
    <row r="917">
      <c r="A917" s="54" t="inlineStr">
        <is>
          <t>Space Marines</t>
        </is>
      </c>
      <c r="B917" s="54" t="inlineStr">
        <is>
          <t>Aggressor Squad</t>
        </is>
      </c>
      <c r="C917" s="54" t="inlineStr">
        <is>
          <t>6 models</t>
        </is>
      </c>
      <c r="D917" s="55" t="n">
        <v>240</v>
      </c>
      <c r="E917" s="55" t="inlineStr">
        <is>
          <t>Aggressor Squad — 6 models (240 pts)</t>
        </is>
      </c>
      <c r="F917" s="55" t="n">
        <v>240</v>
      </c>
      <c r="G917" s="54" t="n">
        <v>31</v>
      </c>
      <c r="H917" s="54" t="inlineStr">
        <is>
          <t>Uploaded PDF: Munitorum Field Manual v2.3 / March 2025</t>
        </is>
      </c>
    </row>
    <row r="918">
      <c r="A918" s="54" t="inlineStr">
        <is>
          <t>Space Marines</t>
        </is>
      </c>
      <c r="B918" s="54" t="inlineStr">
        <is>
          <t>Ancient</t>
        </is>
      </c>
      <c r="C918" s="54" t="inlineStr">
        <is>
          <t>1 model</t>
        </is>
      </c>
      <c r="D918" s="55" t="n">
        <v>50</v>
      </c>
      <c r="E918" s="55" t="inlineStr">
        <is>
          <t>Ancient — 1 model (50 pts)</t>
        </is>
      </c>
      <c r="F918" s="55" t="n">
        <v>50</v>
      </c>
      <c r="G918" s="54" t="n">
        <v>31</v>
      </c>
      <c r="H918" s="54" t="inlineStr">
        <is>
          <t>Uploaded PDF: Munitorum Field Manual v2.3 / March 2025</t>
        </is>
      </c>
    </row>
    <row r="919">
      <c r="A919" s="54" t="inlineStr">
        <is>
          <t>Space Marines</t>
        </is>
      </c>
      <c r="B919" s="54" t="inlineStr">
        <is>
          <t>Ancient in Terminator Armour</t>
        </is>
      </c>
      <c r="C919" s="54" t="inlineStr">
        <is>
          <t>1 model</t>
        </is>
      </c>
      <c r="D919" s="55" t="n">
        <v>75</v>
      </c>
      <c r="E919" s="55" t="inlineStr">
        <is>
          <t>Ancient in Terminator Armour — 1 model (75 pts)</t>
        </is>
      </c>
      <c r="F919" s="55" t="n">
        <v>75</v>
      </c>
      <c r="G919" s="54" t="n">
        <v>31</v>
      </c>
      <c r="H919" s="54" t="inlineStr">
        <is>
          <t>Uploaded PDF: Munitorum Field Manual v2.3 / March 2025</t>
        </is>
      </c>
    </row>
    <row r="920">
      <c r="A920" s="54" t="inlineStr">
        <is>
          <t>Space Marines</t>
        </is>
      </c>
      <c r="B920" s="54" t="inlineStr">
        <is>
          <t>Apothecary</t>
        </is>
      </c>
      <c r="C920" s="54" t="inlineStr">
        <is>
          <t>1 model</t>
        </is>
      </c>
      <c r="D920" s="55" t="n">
        <v>50</v>
      </c>
      <c r="E920" s="55" t="inlineStr">
        <is>
          <t>Apothecary — 1 model (50 pts)</t>
        </is>
      </c>
      <c r="F920" s="55" t="n">
        <v>50</v>
      </c>
      <c r="G920" s="54" t="n">
        <v>31</v>
      </c>
      <c r="H920" s="54" t="inlineStr">
        <is>
          <t>Uploaded PDF: Munitorum Field Manual v2.3 / March 2025</t>
        </is>
      </c>
    </row>
    <row r="921">
      <c r="A921" s="54" t="inlineStr">
        <is>
          <t>Space Marines</t>
        </is>
      </c>
      <c r="B921" s="54" t="inlineStr">
        <is>
          <t>Apothecary Biologis</t>
        </is>
      </c>
      <c r="C921" s="54" t="inlineStr">
        <is>
          <t>1 model</t>
        </is>
      </c>
      <c r="D921" s="55" t="n">
        <v>70</v>
      </c>
      <c r="E921" s="55" t="inlineStr">
        <is>
          <t>Apothecary Biologis — 1 model (70 pts)</t>
        </is>
      </c>
      <c r="F921" s="55" t="n">
        <v>70</v>
      </c>
      <c r="G921" s="54" t="n">
        <v>31</v>
      </c>
      <c r="H921" s="54" t="inlineStr">
        <is>
          <t>Uploaded PDF: Munitorum Field Manual v2.3 / March 2025</t>
        </is>
      </c>
    </row>
    <row r="922">
      <c r="A922" s="54" t="inlineStr">
        <is>
          <t>Space Marines</t>
        </is>
      </c>
      <c r="B922" s="54" t="inlineStr">
        <is>
          <t>Assault Intercessor Squad</t>
        </is>
      </c>
      <c r="C922" s="54" t="inlineStr">
        <is>
          <t>5 models</t>
        </is>
      </c>
      <c r="D922" s="55" t="n">
        <v>75</v>
      </c>
      <c r="E922" s="55" t="inlineStr">
        <is>
          <t>Assault Intercessor Squad — 5 models (75 pts)</t>
        </is>
      </c>
      <c r="F922" s="55" t="n">
        <v>75</v>
      </c>
      <c r="G922" s="54" t="n">
        <v>31</v>
      </c>
      <c r="H922" s="54" t="inlineStr">
        <is>
          <t>Uploaded PDF: Munitorum Field Manual v2.3 / March 2025</t>
        </is>
      </c>
    </row>
    <row r="923">
      <c r="A923" s="54" t="inlineStr">
        <is>
          <t>Space Marines</t>
        </is>
      </c>
      <c r="B923" s="54" t="inlineStr">
        <is>
          <t>Assault Intercessor Squad</t>
        </is>
      </c>
      <c r="C923" s="54" t="inlineStr">
        <is>
          <t>10 models</t>
        </is>
      </c>
      <c r="D923" s="55" t="n">
        <v>150</v>
      </c>
      <c r="E923" s="55" t="inlineStr">
        <is>
          <t>Assault Intercessor Squad — 10 models (150 pts)</t>
        </is>
      </c>
      <c r="F923" s="55" t="n">
        <v>150</v>
      </c>
      <c r="G923" s="54" t="n">
        <v>31</v>
      </c>
      <c r="H923" s="54" t="inlineStr">
        <is>
          <t>Uploaded PDF: Munitorum Field Manual v2.3 / March 2025</t>
        </is>
      </c>
    </row>
    <row r="924">
      <c r="A924" s="54" t="inlineStr">
        <is>
          <t>Space Marines</t>
        </is>
      </c>
      <c r="B924" s="54" t="inlineStr">
        <is>
          <t>Assault Intercessors with Jump Packs</t>
        </is>
      </c>
      <c r="C924" s="54" t="inlineStr">
        <is>
          <t>5 models</t>
        </is>
      </c>
      <c r="D924" s="55" t="n">
        <v>90</v>
      </c>
      <c r="E924" s="55" t="inlineStr">
        <is>
          <t>Assault Intercessors with Jump Packs — 5 models (90 pts)</t>
        </is>
      </c>
      <c r="F924" s="55" t="n">
        <v>90</v>
      </c>
      <c r="G924" s="54" t="n">
        <v>31</v>
      </c>
      <c r="H924" s="54" t="inlineStr">
        <is>
          <t>Uploaded PDF: Munitorum Field Manual v2.3 / March 2025</t>
        </is>
      </c>
    </row>
    <row r="925">
      <c r="A925" s="54" t="inlineStr">
        <is>
          <t>Space Marines</t>
        </is>
      </c>
      <c r="B925" s="54" t="inlineStr">
        <is>
          <t>Assault Intercessors with Jump Packs</t>
        </is>
      </c>
      <c r="C925" s="54" t="inlineStr">
        <is>
          <t>10 models</t>
        </is>
      </c>
      <c r="D925" s="55" t="n">
        <v>160</v>
      </c>
      <c r="E925" s="55" t="inlineStr">
        <is>
          <t>Assault Intercessors with Jump Packs — 10 models (160 pts)</t>
        </is>
      </c>
      <c r="F925" s="55" t="n">
        <v>160</v>
      </c>
      <c r="G925" s="54" t="n">
        <v>31</v>
      </c>
      <c r="H925" s="54" t="inlineStr">
        <is>
          <t>Uploaded PDF: Munitorum Field Manual v2.3 / March 2025</t>
        </is>
      </c>
    </row>
    <row r="926">
      <c r="A926" s="54" t="inlineStr">
        <is>
          <t>Space Marines</t>
        </is>
      </c>
      <c r="B926" s="54" t="inlineStr">
        <is>
          <t>Ballistus Dreadnought</t>
        </is>
      </c>
      <c r="C926" s="54" t="inlineStr">
        <is>
          <t>1 model</t>
        </is>
      </c>
      <c r="D926" s="55" t="n">
        <v>140</v>
      </c>
      <c r="E926" s="55" t="inlineStr">
        <is>
          <t>Ballistus Dreadnought — 1 model (140 pts)</t>
        </is>
      </c>
      <c r="F926" s="55" t="n">
        <v>140</v>
      </c>
      <c r="G926" s="54" t="n">
        <v>31</v>
      </c>
      <c r="H926" s="54" t="inlineStr">
        <is>
          <t>Uploaded PDF: Munitorum Field Manual v2.3 / March 2025</t>
        </is>
      </c>
    </row>
    <row r="927">
      <c r="A927" s="54" t="inlineStr">
        <is>
          <t>Space Marines</t>
        </is>
      </c>
      <c r="B927" s="54" t="inlineStr">
        <is>
          <t>Bladeguard Ancient</t>
        </is>
      </c>
      <c r="C927" s="54" t="inlineStr">
        <is>
          <t>1 model</t>
        </is>
      </c>
      <c r="D927" s="55" t="n">
        <v>45</v>
      </c>
      <c r="E927" s="55" t="inlineStr">
        <is>
          <t>Bladeguard Ancient — 1 model (45 pts)</t>
        </is>
      </c>
      <c r="F927" s="55" t="n">
        <v>45</v>
      </c>
      <c r="G927" s="54" t="n">
        <v>31</v>
      </c>
      <c r="H927" s="54" t="inlineStr">
        <is>
          <t>Uploaded PDF: Munitorum Field Manual v2.3 / March 2025</t>
        </is>
      </c>
    </row>
    <row r="928">
      <c r="A928" s="54" t="inlineStr">
        <is>
          <t>Space Marines</t>
        </is>
      </c>
      <c r="B928" s="54" t="inlineStr">
        <is>
          <t>Bladeguard Veteran Squad</t>
        </is>
      </c>
      <c r="C928" s="54" t="inlineStr">
        <is>
          <t>3 models</t>
        </is>
      </c>
      <c r="D928" s="55" t="n">
        <v>80</v>
      </c>
      <c r="E928" s="55" t="inlineStr">
        <is>
          <t>Bladeguard Veteran Squad — 3 models (80 pts)</t>
        </is>
      </c>
      <c r="F928" s="55" t="n">
        <v>80</v>
      </c>
      <c r="G928" s="54" t="n">
        <v>31</v>
      </c>
      <c r="H928" s="54" t="inlineStr">
        <is>
          <t>Uploaded PDF: Munitorum Field Manual v2.3 / March 2025</t>
        </is>
      </c>
    </row>
    <row r="929">
      <c r="A929" s="54" t="inlineStr">
        <is>
          <t>Space Marines</t>
        </is>
      </c>
      <c r="B929" s="54" t="inlineStr">
        <is>
          <t>Bladeguard Veteran Squad</t>
        </is>
      </c>
      <c r="C929" s="54" t="inlineStr">
        <is>
          <t>6 models</t>
        </is>
      </c>
      <c r="D929" s="55" t="n">
        <v>160</v>
      </c>
      <c r="E929" s="55" t="inlineStr">
        <is>
          <t>Bladeguard Veteran Squad — 6 models (160 pts)</t>
        </is>
      </c>
      <c r="F929" s="55" t="n">
        <v>160</v>
      </c>
      <c r="G929" s="54" t="n">
        <v>31</v>
      </c>
      <c r="H929" s="54" t="inlineStr">
        <is>
          <t>Uploaded PDF: Munitorum Field Manual v2.3 / March 2025</t>
        </is>
      </c>
    </row>
    <row r="930">
      <c r="A930" s="54" t="inlineStr">
        <is>
          <t>Space Marines</t>
        </is>
      </c>
      <c r="B930" s="54" t="inlineStr">
        <is>
          <t>Brutalis Dreadnought</t>
        </is>
      </c>
      <c r="C930" s="54" t="inlineStr">
        <is>
          <t>1 model</t>
        </is>
      </c>
      <c r="D930" s="55" t="n">
        <v>160</v>
      </c>
      <c r="E930" s="55" t="inlineStr">
        <is>
          <t>Brutalis Dreadnought — 1 model (160 pts)</t>
        </is>
      </c>
      <c r="F930" s="55" t="n">
        <v>160</v>
      </c>
      <c r="G930" s="54" t="n">
        <v>31</v>
      </c>
      <c r="H930" s="54" t="inlineStr">
        <is>
          <t>Uploaded PDF: Munitorum Field Manual v2.3 / March 2025</t>
        </is>
      </c>
    </row>
    <row r="931">
      <c r="A931" s="54" t="inlineStr">
        <is>
          <t>Space Marines</t>
        </is>
      </c>
      <c r="B931" s="54" t="inlineStr">
        <is>
          <t>Captain</t>
        </is>
      </c>
      <c r="C931" s="54" t="inlineStr">
        <is>
          <t>1 model</t>
        </is>
      </c>
      <c r="D931" s="55" t="n">
        <v>80</v>
      </c>
      <c r="E931" s="55" t="inlineStr">
        <is>
          <t>Captain — 1 model (80 pts)</t>
        </is>
      </c>
      <c r="F931" s="55" t="n">
        <v>80</v>
      </c>
      <c r="G931" s="54" t="n">
        <v>31</v>
      </c>
      <c r="H931" s="54" t="inlineStr">
        <is>
          <t>Uploaded PDF: Munitorum Field Manual v2.3 / March 2025</t>
        </is>
      </c>
    </row>
    <row r="932">
      <c r="A932" s="54" t="inlineStr">
        <is>
          <t>Space Marines</t>
        </is>
      </c>
      <c r="B932" s="54" t="inlineStr">
        <is>
          <t>Captain in Gravis Armour</t>
        </is>
      </c>
      <c r="C932" s="54" t="inlineStr">
        <is>
          <t>1 model</t>
        </is>
      </c>
      <c r="D932" s="55" t="n">
        <v>80</v>
      </c>
      <c r="E932" s="55" t="inlineStr">
        <is>
          <t>Captain in Gravis Armour — 1 model (80 pts)</t>
        </is>
      </c>
      <c r="F932" s="55" t="n">
        <v>80</v>
      </c>
      <c r="G932" s="54" t="n">
        <v>31</v>
      </c>
      <c r="H932" s="54" t="inlineStr">
        <is>
          <t>Uploaded PDF: Munitorum Field Manual v2.3 / March 2025</t>
        </is>
      </c>
    </row>
    <row r="933">
      <c r="A933" s="54" t="inlineStr">
        <is>
          <t>Space Marines</t>
        </is>
      </c>
      <c r="B933" s="54" t="inlineStr">
        <is>
          <t>Captain in Phobos Armour</t>
        </is>
      </c>
      <c r="C933" s="54" t="inlineStr">
        <is>
          <t>1 model</t>
        </is>
      </c>
      <c r="D933" s="55" t="n">
        <v>70</v>
      </c>
      <c r="E933" s="55" t="inlineStr">
        <is>
          <t>Captain in Phobos Armour — 1 model (70 pts)</t>
        </is>
      </c>
      <c r="F933" s="55" t="n">
        <v>70</v>
      </c>
      <c r="G933" s="54" t="n">
        <v>31</v>
      </c>
      <c r="H933" s="54" t="inlineStr">
        <is>
          <t>Uploaded PDF: Munitorum Field Manual v2.3 / March 2025</t>
        </is>
      </c>
    </row>
    <row r="934">
      <c r="A934" s="54" t="inlineStr">
        <is>
          <t>Space Marines</t>
        </is>
      </c>
      <c r="B934" s="54" t="inlineStr">
        <is>
          <t>Captain in Terminator Armour</t>
        </is>
      </c>
      <c r="C934" s="54" t="inlineStr">
        <is>
          <t>1 model</t>
        </is>
      </c>
      <c r="D934" s="55" t="n">
        <v>95</v>
      </c>
      <c r="E934" s="55" t="inlineStr">
        <is>
          <t>Captain in Terminator Armour — 1 model (95 pts)</t>
        </is>
      </c>
      <c r="F934" s="55" t="n">
        <v>95</v>
      </c>
      <c r="G934" s="54" t="n">
        <v>31</v>
      </c>
      <c r="H934" s="54" t="inlineStr">
        <is>
          <t>Uploaded PDF: Munitorum Field Manual v2.3 / March 2025</t>
        </is>
      </c>
    </row>
    <row r="935">
      <c r="A935" s="54" t="inlineStr">
        <is>
          <t>Space Marines</t>
        </is>
      </c>
      <c r="B935" s="54" t="inlineStr">
        <is>
          <t>Captain Sicarius</t>
        </is>
      </c>
      <c r="C935" s="54" t="inlineStr">
        <is>
          <t>1 model</t>
        </is>
      </c>
      <c r="D935" s="55" t="n">
        <v>85</v>
      </c>
      <c r="E935" s="55" t="inlineStr">
        <is>
          <t>Captain Sicarius — 1 model (85 pts)</t>
        </is>
      </c>
      <c r="F935" s="55" t="n">
        <v>85</v>
      </c>
      <c r="G935" s="54" t="n">
        <v>31</v>
      </c>
      <c r="H935" s="54" t="inlineStr">
        <is>
          <t>Uploaded PDF: Munitorum Field Manual v2.3 / March 2025</t>
        </is>
      </c>
    </row>
    <row r="936">
      <c r="A936" s="54" t="inlineStr">
        <is>
          <t>Space Marines</t>
        </is>
      </c>
      <c r="B936" s="54" t="inlineStr">
        <is>
          <t>Captain with Jump Pack</t>
        </is>
      </c>
      <c r="C936" s="54" t="inlineStr">
        <is>
          <t>1 model</t>
        </is>
      </c>
      <c r="D936" s="55" t="n">
        <v>85</v>
      </c>
      <c r="E936" s="55" t="inlineStr">
        <is>
          <t>Captain with Jump Pack — 1 model (85 pts)</t>
        </is>
      </c>
      <c r="F936" s="55" t="n">
        <v>85</v>
      </c>
      <c r="G936" s="54" t="n">
        <v>31</v>
      </c>
      <c r="H936" s="54" t="inlineStr">
        <is>
          <t>Uploaded PDF: Munitorum Field Manual v2.3 / March 2025</t>
        </is>
      </c>
    </row>
    <row r="937">
      <c r="A937" s="54" t="inlineStr">
        <is>
          <t>Space Marines</t>
        </is>
      </c>
      <c r="B937" s="54" t="inlineStr">
        <is>
          <t>Centurion Assault Squad</t>
        </is>
      </c>
      <c r="C937" s="54" t="inlineStr">
        <is>
          <t>3 models</t>
        </is>
      </c>
      <c r="D937" s="55" t="n">
        <v>150</v>
      </c>
      <c r="E937" s="55" t="inlineStr">
        <is>
          <t>Centurion Assault Squad — 3 models (150 pts)</t>
        </is>
      </c>
      <c r="F937" s="55" t="n">
        <v>150</v>
      </c>
      <c r="G937" s="54" t="n">
        <v>31</v>
      </c>
      <c r="H937" s="54" t="inlineStr">
        <is>
          <t>Uploaded PDF: Munitorum Field Manual v2.3 / March 2025</t>
        </is>
      </c>
    </row>
    <row r="938">
      <c r="A938" s="54" t="inlineStr">
        <is>
          <t>Space Marines</t>
        </is>
      </c>
      <c r="B938" s="54" t="inlineStr">
        <is>
          <t>Centurion Assault Squad</t>
        </is>
      </c>
      <c r="C938" s="54" t="inlineStr">
        <is>
          <t>6 models</t>
        </is>
      </c>
      <c r="D938" s="55" t="n">
        <v>300</v>
      </c>
      <c r="E938" s="55" t="inlineStr">
        <is>
          <t>Centurion Assault Squad — 6 models (300 pts)</t>
        </is>
      </c>
      <c r="F938" s="55" t="n">
        <v>300</v>
      </c>
      <c r="G938" s="54" t="n">
        <v>31</v>
      </c>
      <c r="H938" s="54" t="inlineStr">
        <is>
          <t>Uploaded PDF: Munitorum Field Manual v2.3 / March 2025</t>
        </is>
      </c>
    </row>
    <row r="939">
      <c r="A939" s="54" t="inlineStr">
        <is>
          <t>Space Marines</t>
        </is>
      </c>
      <c r="B939" s="54" t="inlineStr">
        <is>
          <t>Centurion Devastator Squad</t>
        </is>
      </c>
      <c r="C939" s="54" t="inlineStr">
        <is>
          <t>3 models</t>
        </is>
      </c>
      <c r="D939" s="55" t="n">
        <v>165</v>
      </c>
      <c r="E939" s="55" t="inlineStr">
        <is>
          <t>Centurion Devastator Squad — 3 models (165 pts)</t>
        </is>
      </c>
      <c r="F939" s="55" t="n">
        <v>165</v>
      </c>
      <c r="G939" s="54" t="n">
        <v>31</v>
      </c>
      <c r="H939" s="54" t="inlineStr">
        <is>
          <t>Uploaded PDF: Munitorum Field Manual v2.3 / March 2025</t>
        </is>
      </c>
    </row>
    <row r="940">
      <c r="A940" s="54" t="inlineStr">
        <is>
          <t>Space Marines</t>
        </is>
      </c>
      <c r="B940" s="54" t="inlineStr">
        <is>
          <t>Centurion Devastator Squad</t>
        </is>
      </c>
      <c r="C940" s="54" t="inlineStr">
        <is>
          <t>6 models</t>
        </is>
      </c>
      <c r="D940" s="55" t="n">
        <v>330</v>
      </c>
      <c r="E940" s="55" t="inlineStr">
        <is>
          <t>Centurion Devastator Squad — 6 models (330 pts)</t>
        </is>
      </c>
      <c r="F940" s="55" t="n">
        <v>330</v>
      </c>
      <c r="G940" s="54" t="n">
        <v>31</v>
      </c>
      <c r="H940" s="54" t="inlineStr">
        <is>
          <t>Uploaded PDF: Munitorum Field Manual v2.3 / March 2025</t>
        </is>
      </c>
    </row>
    <row r="941">
      <c r="A941" s="54" t="inlineStr">
        <is>
          <t>Space Marines</t>
        </is>
      </c>
      <c r="B941" s="54" t="inlineStr">
        <is>
          <t>Chaplain</t>
        </is>
      </c>
      <c r="C941" s="54" t="inlineStr">
        <is>
          <t>1 model</t>
        </is>
      </c>
      <c r="D941" s="55" t="n">
        <v>60</v>
      </c>
      <c r="E941" s="55" t="inlineStr">
        <is>
          <t>Chaplain — 1 model (60 pts)</t>
        </is>
      </c>
      <c r="F941" s="55" t="n">
        <v>60</v>
      </c>
      <c r="G941" s="54" t="n">
        <v>31</v>
      </c>
      <c r="H941" s="54" t="inlineStr">
        <is>
          <t>Uploaded PDF: Munitorum Field Manual v2.3 / March 2025</t>
        </is>
      </c>
    </row>
    <row r="942">
      <c r="A942" s="54" t="inlineStr">
        <is>
          <t>Space Marines</t>
        </is>
      </c>
      <c r="B942" s="54" t="inlineStr">
        <is>
          <t>Chaplain in Terminator Armour</t>
        </is>
      </c>
      <c r="C942" s="54" t="inlineStr">
        <is>
          <t>1 model</t>
        </is>
      </c>
      <c r="D942" s="55" t="n">
        <v>75</v>
      </c>
      <c r="E942" s="55" t="inlineStr">
        <is>
          <t>Chaplain in Terminator Armour — 1 model (75 pts)</t>
        </is>
      </c>
      <c r="F942" s="55" t="n">
        <v>75</v>
      </c>
      <c r="G942" s="54" t="n">
        <v>31</v>
      </c>
      <c r="H942" s="54" t="inlineStr">
        <is>
          <t>Uploaded PDF: Munitorum Field Manual v2.3 / March 2025</t>
        </is>
      </c>
    </row>
    <row r="943">
      <c r="A943" s="54" t="inlineStr">
        <is>
          <t>Space Marines</t>
        </is>
      </c>
      <c r="B943" s="54" t="inlineStr">
        <is>
          <t>Chaplain on Bike</t>
        </is>
      </c>
      <c r="C943" s="54" t="inlineStr">
        <is>
          <t>1 model</t>
        </is>
      </c>
      <c r="D943" s="55" t="n">
        <v>75</v>
      </c>
      <c r="E943" s="55" t="inlineStr">
        <is>
          <t>Chaplain on Bike — 1 model (75 pts)</t>
        </is>
      </c>
      <c r="F943" s="55" t="n">
        <v>75</v>
      </c>
      <c r="G943" s="54" t="n">
        <v>31</v>
      </c>
      <c r="H943" s="54" t="inlineStr">
        <is>
          <t>Uploaded PDF: Munitorum Field Manual v2.3 / March 2025</t>
        </is>
      </c>
    </row>
    <row r="944">
      <c r="A944" s="54" t="inlineStr">
        <is>
          <t>Space Marines</t>
        </is>
      </c>
      <c r="B944" s="54" t="inlineStr">
        <is>
          <t>Chaplain with Jump Pack</t>
        </is>
      </c>
      <c r="C944" s="54" t="inlineStr">
        <is>
          <t>1 model</t>
        </is>
      </c>
      <c r="D944" s="55" t="n">
        <v>75</v>
      </c>
      <c r="E944" s="55" t="inlineStr">
        <is>
          <t>Chaplain with Jump Pack — 1 model (75 pts)</t>
        </is>
      </c>
      <c r="F944" s="55" t="n">
        <v>75</v>
      </c>
      <c r="G944" s="54" t="n">
        <v>31</v>
      </c>
      <c r="H944" s="54" t="inlineStr">
        <is>
          <t>Uploaded PDF: Munitorum Field Manual v2.3 / March 2025</t>
        </is>
      </c>
    </row>
    <row r="945">
      <c r="A945" s="54" t="inlineStr">
        <is>
          <t>Space Marines</t>
        </is>
      </c>
      <c r="B945" s="54" t="inlineStr">
        <is>
          <t>Chief Librarian Tigurius</t>
        </is>
      </c>
      <c r="C945" s="54" t="inlineStr">
        <is>
          <t>1 model</t>
        </is>
      </c>
      <c r="D945" s="55" t="n">
        <v>75</v>
      </c>
      <c r="E945" s="55" t="inlineStr">
        <is>
          <t>Chief Librarian Tigurius — 1 model (75 pts)</t>
        </is>
      </c>
      <c r="F945" s="55" t="n">
        <v>75</v>
      </c>
      <c r="G945" s="54" t="n">
        <v>31</v>
      </c>
      <c r="H945" s="54" t="inlineStr">
        <is>
          <t>Uploaded PDF: Munitorum Field Manual v2.3 / March 2025</t>
        </is>
      </c>
    </row>
    <row r="946">
      <c r="A946" s="54" t="inlineStr">
        <is>
          <t>Space Marines</t>
        </is>
      </c>
      <c r="B946" s="54" t="inlineStr">
        <is>
          <t>Company Heroes</t>
        </is>
      </c>
      <c r="C946" s="54" t="inlineStr">
        <is>
          <t>4 models</t>
        </is>
      </c>
      <c r="D946" s="55" t="n">
        <v>105</v>
      </c>
      <c r="E946" s="55" t="inlineStr">
        <is>
          <t>Company Heroes — 4 models (105 pts)</t>
        </is>
      </c>
      <c r="F946" s="55" t="n">
        <v>105</v>
      </c>
      <c r="G946" s="54" t="n">
        <v>31</v>
      </c>
      <c r="H946" s="54" t="inlineStr">
        <is>
          <t>Uploaded PDF: Munitorum Field Manual v2.3 / March 2025</t>
        </is>
      </c>
    </row>
    <row r="947">
      <c r="A947" s="54" t="inlineStr">
        <is>
          <t>Space Marines</t>
        </is>
      </c>
      <c r="B947" s="54" t="inlineStr">
        <is>
          <t>Darnath Lysander</t>
        </is>
      </c>
      <c r="C947" s="54" t="inlineStr">
        <is>
          <t>1 model</t>
        </is>
      </c>
      <c r="D947" s="55" t="n">
        <v>100</v>
      </c>
      <c r="E947" s="55" t="inlineStr">
        <is>
          <t>Darnath Lysander — 1 model (100 pts)</t>
        </is>
      </c>
      <c r="F947" s="55" t="n">
        <v>100</v>
      </c>
      <c r="G947" s="54" t="n">
        <v>31</v>
      </c>
      <c r="H947" s="54" t="inlineStr">
        <is>
          <t>Uploaded PDF: Munitorum Field Manual v2.3 / March 2025</t>
        </is>
      </c>
    </row>
    <row r="948">
      <c r="A948" s="54" t="inlineStr">
        <is>
          <t>Space Marines</t>
        </is>
      </c>
      <c r="B948" s="54" t="inlineStr">
        <is>
          <t>Desolation Squad</t>
        </is>
      </c>
      <c r="C948" s="54" t="inlineStr">
        <is>
          <t>5 models</t>
        </is>
      </c>
      <c r="D948" s="55" t="n">
        <v>200</v>
      </c>
      <c r="E948" s="55" t="inlineStr">
        <is>
          <t>Desolation Squad — 5 models (200 pts)</t>
        </is>
      </c>
      <c r="F948" s="55" t="n">
        <v>200</v>
      </c>
      <c r="G948" s="54" t="n">
        <v>31</v>
      </c>
      <c r="H948" s="54" t="inlineStr">
        <is>
          <t>Uploaded PDF: Munitorum Field Manual v2.3 / March 2025</t>
        </is>
      </c>
    </row>
    <row r="949">
      <c r="A949" s="54" t="inlineStr">
        <is>
          <t>Space Marines</t>
        </is>
      </c>
      <c r="B949" s="54" t="inlineStr">
        <is>
          <t>Devastator Squad</t>
        </is>
      </c>
      <c r="C949" s="54" t="inlineStr">
        <is>
          <t>5 models</t>
        </is>
      </c>
      <c r="D949" s="55" t="n">
        <v>120</v>
      </c>
      <c r="E949" s="55" t="inlineStr">
        <is>
          <t>Devastator Squad — 5 models (120 pts)</t>
        </is>
      </c>
      <c r="F949" s="55" t="n">
        <v>120</v>
      </c>
      <c r="G949" s="54" t="n">
        <v>31</v>
      </c>
      <c r="H949" s="54" t="inlineStr">
        <is>
          <t>Uploaded PDF: Munitorum Field Manual v2.3 / March 2025</t>
        </is>
      </c>
    </row>
    <row r="950">
      <c r="A950" s="54" t="inlineStr">
        <is>
          <t>Space Marines</t>
        </is>
      </c>
      <c r="B950" s="54" t="inlineStr">
        <is>
          <t>Devastator Squad</t>
        </is>
      </c>
      <c r="C950" s="54" t="inlineStr">
        <is>
          <t>10 models</t>
        </is>
      </c>
      <c r="D950" s="55" t="n">
        <v>200</v>
      </c>
      <c r="E950" s="55" t="inlineStr">
        <is>
          <t>Devastator Squad — 10 models (200 pts)</t>
        </is>
      </c>
      <c r="F950" s="55" t="n">
        <v>200</v>
      </c>
      <c r="G950" s="54" t="n">
        <v>31</v>
      </c>
      <c r="H950" s="54" t="inlineStr">
        <is>
          <t>Uploaded PDF: Munitorum Field Manual v2.3 / March 2025</t>
        </is>
      </c>
    </row>
    <row r="951">
      <c r="A951" s="54" t="inlineStr">
        <is>
          <t>Space Marines</t>
        </is>
      </c>
      <c r="B951" s="54" t="inlineStr">
        <is>
          <t>Dreadnought</t>
        </is>
      </c>
      <c r="C951" s="54" t="inlineStr">
        <is>
          <t>1 model</t>
        </is>
      </c>
      <c r="D951" s="55" t="n">
        <v>135</v>
      </c>
      <c r="E951" s="55" t="inlineStr">
        <is>
          <t>Dreadnought — 1 model (135 pts)</t>
        </is>
      </c>
      <c r="F951" s="55" t="n">
        <v>135</v>
      </c>
      <c r="G951" s="54" t="n">
        <v>31</v>
      </c>
      <c r="H951" s="54" t="inlineStr">
        <is>
          <t>Uploaded PDF: Munitorum Field Manual v2.3 / March 2025</t>
        </is>
      </c>
    </row>
    <row r="952">
      <c r="A952" s="54" t="inlineStr">
        <is>
          <t>Space Marines</t>
        </is>
      </c>
      <c r="B952" s="54" t="inlineStr">
        <is>
          <t>Drop Pod</t>
        </is>
      </c>
      <c r="C952" s="54" t="inlineStr">
        <is>
          <t>1 model</t>
        </is>
      </c>
      <c r="D952" s="55" t="n">
        <v>70</v>
      </c>
      <c r="E952" s="55" t="inlineStr">
        <is>
          <t>Drop Pod — 1 model (70 pts)</t>
        </is>
      </c>
      <c r="F952" s="55" t="n">
        <v>70</v>
      </c>
      <c r="G952" s="54" t="n">
        <v>31</v>
      </c>
      <c r="H952" s="54" t="inlineStr">
        <is>
          <t>Uploaded PDF: Munitorum Field Manual v2.3 / March 2025</t>
        </is>
      </c>
    </row>
    <row r="953">
      <c r="A953" s="54" t="inlineStr">
        <is>
          <t>Space Marines</t>
        </is>
      </c>
      <c r="B953" s="54" t="inlineStr">
        <is>
          <t>Eliminator Squad</t>
        </is>
      </c>
      <c r="C953" s="54" t="inlineStr">
        <is>
          <t>3 models</t>
        </is>
      </c>
      <c r="D953" s="55" t="n">
        <v>85</v>
      </c>
      <c r="E953" s="55" t="inlineStr">
        <is>
          <t>Eliminator Squad — 3 models (85 pts)</t>
        </is>
      </c>
      <c r="F953" s="55" t="n">
        <v>85</v>
      </c>
      <c r="G953" s="54" t="n">
        <v>31</v>
      </c>
      <c r="H953" s="54" t="inlineStr">
        <is>
          <t>Uploaded PDF: Munitorum Field Manual v2.3 / March 2025</t>
        </is>
      </c>
    </row>
    <row r="954">
      <c r="A954" s="54" t="inlineStr">
        <is>
          <t>Space Marines</t>
        </is>
      </c>
      <c r="B954" s="54" t="inlineStr">
        <is>
          <t>Eradicator Squad</t>
        </is>
      </c>
      <c r="C954" s="54" t="inlineStr">
        <is>
          <t>3 models</t>
        </is>
      </c>
      <c r="D954" s="55" t="n">
        <v>100</v>
      </c>
      <c r="E954" s="55" t="inlineStr">
        <is>
          <t>Eradicator Squad — 3 models (100 pts)</t>
        </is>
      </c>
      <c r="F954" s="55" t="n">
        <v>100</v>
      </c>
      <c r="G954" s="54" t="n">
        <v>31</v>
      </c>
      <c r="H954" s="54" t="inlineStr">
        <is>
          <t>Uploaded PDF: Munitorum Field Manual v2.3 / March 2025</t>
        </is>
      </c>
    </row>
    <row r="955">
      <c r="A955" s="54" t="inlineStr">
        <is>
          <t>Space Marines</t>
        </is>
      </c>
      <c r="B955" s="54" t="inlineStr">
        <is>
          <t>Eradicator Squad</t>
        </is>
      </c>
      <c r="C955" s="54" t="inlineStr">
        <is>
          <t>6 models</t>
        </is>
      </c>
      <c r="D955" s="55" t="n">
        <v>200</v>
      </c>
      <c r="E955" s="55" t="inlineStr">
        <is>
          <t>Eradicator Squad — 6 models (200 pts)</t>
        </is>
      </c>
      <c r="F955" s="55" t="n">
        <v>200</v>
      </c>
      <c r="G955" s="54" t="n">
        <v>31</v>
      </c>
      <c r="H955" s="54" t="inlineStr">
        <is>
          <t>Uploaded PDF: Munitorum Field Manual v2.3 / March 2025</t>
        </is>
      </c>
    </row>
    <row r="956">
      <c r="A956" s="54" t="inlineStr">
        <is>
          <t>Space Marines</t>
        </is>
      </c>
      <c r="B956" s="54" t="inlineStr">
        <is>
          <t>Firestrike Servo-turrets</t>
        </is>
      </c>
      <c r="C956" s="54" t="inlineStr">
        <is>
          <t>1 model</t>
        </is>
      </c>
      <c r="D956" s="55" t="n">
        <v>75</v>
      </c>
      <c r="E956" s="55" t="inlineStr">
        <is>
          <t>Firestrike Servo-turrets — 1 model (75 pts)</t>
        </is>
      </c>
      <c r="F956" s="55" t="n">
        <v>75</v>
      </c>
      <c r="G956" s="54" t="n">
        <v>31</v>
      </c>
      <c r="H956" s="54" t="inlineStr">
        <is>
          <t>Uploaded PDF: Munitorum Field Manual v2.3 / March 2025</t>
        </is>
      </c>
    </row>
    <row r="957">
      <c r="A957" s="54" t="inlineStr">
        <is>
          <t>Space Marines</t>
        </is>
      </c>
      <c r="B957" s="54" t="inlineStr">
        <is>
          <t>Firestrike Servo-turrets</t>
        </is>
      </c>
      <c r="C957" s="54" t="inlineStr">
        <is>
          <t>2 models</t>
        </is>
      </c>
      <c r="D957" s="55" t="n">
        <v>150</v>
      </c>
      <c r="E957" s="55" t="inlineStr">
        <is>
          <t>Firestrike Servo-turrets — 2 models (150 pts)</t>
        </is>
      </c>
      <c r="F957" s="55" t="n">
        <v>150</v>
      </c>
      <c r="G957" s="54" t="n">
        <v>31</v>
      </c>
      <c r="H957" s="54" t="inlineStr">
        <is>
          <t>Uploaded PDF: Munitorum Field Manual v2.3 / March 2025</t>
        </is>
      </c>
    </row>
    <row r="958">
      <c r="A958" s="54" t="inlineStr">
        <is>
          <t>Space Marines</t>
        </is>
      </c>
      <c r="B958" s="54" t="inlineStr">
        <is>
          <t>Gladiator Lancer</t>
        </is>
      </c>
      <c r="C958" s="54" t="inlineStr">
        <is>
          <t>1 model</t>
        </is>
      </c>
      <c r="D958" s="55" t="n">
        <v>160</v>
      </c>
      <c r="E958" s="55" t="inlineStr">
        <is>
          <t>Gladiator Lancer — 1 model (160 pts)</t>
        </is>
      </c>
      <c r="F958" s="55" t="n">
        <v>160</v>
      </c>
      <c r="G958" s="54" t="n">
        <v>31</v>
      </c>
      <c r="H958" s="54" t="inlineStr">
        <is>
          <t>Uploaded PDF: Munitorum Field Manual v2.3 / March 2025</t>
        </is>
      </c>
    </row>
    <row r="959">
      <c r="A959" s="54" t="inlineStr">
        <is>
          <t>Space Marines</t>
        </is>
      </c>
      <c r="B959" s="54" t="inlineStr">
        <is>
          <t>Gladiator Reaper</t>
        </is>
      </c>
      <c r="C959" s="54" t="inlineStr">
        <is>
          <t>1 model</t>
        </is>
      </c>
      <c r="D959" s="55" t="n">
        <v>160</v>
      </c>
      <c r="E959" s="55" t="inlineStr">
        <is>
          <t>Gladiator Reaper — 1 model (160 pts)</t>
        </is>
      </c>
      <c r="F959" s="55" t="n">
        <v>160</v>
      </c>
      <c r="G959" s="54" t="n">
        <v>31</v>
      </c>
      <c r="H959" s="54" t="inlineStr">
        <is>
          <t>Uploaded PDF: Munitorum Field Manual v2.3 / March 2025</t>
        </is>
      </c>
    </row>
    <row r="960">
      <c r="A960" s="54" t="inlineStr">
        <is>
          <t>Space Marines</t>
        </is>
      </c>
      <c r="B960" s="54" t="inlineStr">
        <is>
          <t>Gladiator Valiant</t>
        </is>
      </c>
      <c r="C960" s="54" t="inlineStr">
        <is>
          <t>1 model</t>
        </is>
      </c>
      <c r="D960" s="55" t="n">
        <v>160</v>
      </c>
      <c r="E960" s="55" t="inlineStr">
        <is>
          <t>Gladiator Valiant — 1 model (160 pts)</t>
        </is>
      </c>
      <c r="F960" s="55" t="n">
        <v>160</v>
      </c>
      <c r="G960" s="54" t="n">
        <v>31</v>
      </c>
      <c r="H960" s="54" t="inlineStr">
        <is>
          <t>Uploaded PDF: Munitorum Field Manual v2.3 / March 2025</t>
        </is>
      </c>
    </row>
    <row r="961">
      <c r="A961" s="54" t="inlineStr">
        <is>
          <t>Space Marines</t>
        </is>
      </c>
      <c r="B961" s="54" t="inlineStr">
        <is>
          <t>Hammerfall Bunker</t>
        </is>
      </c>
      <c r="C961" s="54" t="inlineStr">
        <is>
          <t>1 model</t>
        </is>
      </c>
      <c r="D961" s="55" t="n">
        <v>175</v>
      </c>
      <c r="E961" s="55" t="inlineStr">
        <is>
          <t>Hammerfall Bunker — 1 model (175 pts)</t>
        </is>
      </c>
      <c r="F961" s="55" t="n">
        <v>175</v>
      </c>
      <c r="G961" s="54" t="n">
        <v>31</v>
      </c>
      <c r="H961" s="54" t="inlineStr">
        <is>
          <t>Uploaded PDF: Munitorum Field Manual v2.3 / March 2025</t>
        </is>
      </c>
    </row>
    <row r="962">
      <c r="A962" s="54" t="inlineStr">
        <is>
          <t>Space Marines</t>
        </is>
      </c>
      <c r="B962" s="54" t="inlineStr">
        <is>
          <t>Heavy Intercessor Squad</t>
        </is>
      </c>
      <c r="C962" s="54" t="inlineStr">
        <is>
          <t>5 models</t>
        </is>
      </c>
      <c r="D962" s="55" t="n">
        <v>110</v>
      </c>
      <c r="E962" s="55" t="inlineStr">
        <is>
          <t>Heavy Intercessor Squad — 5 models (110 pts)</t>
        </is>
      </c>
      <c r="F962" s="55" t="n">
        <v>110</v>
      </c>
      <c r="G962" s="54" t="n">
        <v>31</v>
      </c>
      <c r="H962" s="54" t="inlineStr">
        <is>
          <t>Uploaded PDF: Munitorum Field Manual v2.3 / March 2025</t>
        </is>
      </c>
    </row>
    <row r="963">
      <c r="A963" s="54" t="inlineStr">
        <is>
          <t>Space Marines</t>
        </is>
      </c>
      <c r="B963" s="54" t="inlineStr">
        <is>
          <t>Heavy Intercessor Squad</t>
        </is>
      </c>
      <c r="C963" s="54" t="inlineStr">
        <is>
          <t>10 models</t>
        </is>
      </c>
      <c r="D963" s="55" t="n">
        <v>220</v>
      </c>
      <c r="E963" s="55" t="inlineStr">
        <is>
          <t>Heavy Intercessor Squad — 10 models (220 pts)</t>
        </is>
      </c>
      <c r="F963" s="55" t="n">
        <v>220</v>
      </c>
      <c r="G963" s="54" t="n">
        <v>31</v>
      </c>
      <c r="H963" s="54" t="inlineStr">
        <is>
          <t>Uploaded PDF: Munitorum Field Manual v2.3 / March 2025</t>
        </is>
      </c>
    </row>
    <row r="964">
      <c r="A964" s="54" t="inlineStr">
        <is>
          <t>Space Marines</t>
        </is>
      </c>
      <c r="B964" s="54" t="inlineStr">
        <is>
          <t>Hellblaster Squad</t>
        </is>
      </c>
      <c r="C964" s="54" t="inlineStr">
        <is>
          <t>5 models</t>
        </is>
      </c>
      <c r="D964" s="55" t="n">
        <v>115</v>
      </c>
      <c r="E964" s="55" t="inlineStr">
        <is>
          <t>Hellblaster Squad — 5 models (115 pts)</t>
        </is>
      </c>
      <c r="F964" s="55" t="n">
        <v>115</v>
      </c>
      <c r="G964" s="54" t="n">
        <v>31</v>
      </c>
      <c r="H964" s="54" t="inlineStr">
        <is>
          <t>Uploaded PDF: Munitorum Field Manual v2.3 / March 2025</t>
        </is>
      </c>
    </row>
    <row r="965">
      <c r="A965" s="54" t="inlineStr">
        <is>
          <t>Space Marines</t>
        </is>
      </c>
      <c r="B965" s="54" t="inlineStr">
        <is>
          <t>Hellblaster Squad</t>
        </is>
      </c>
      <c r="C965" s="54" t="inlineStr">
        <is>
          <t>10 models</t>
        </is>
      </c>
      <c r="D965" s="55" t="n">
        <v>230</v>
      </c>
      <c r="E965" s="55" t="inlineStr">
        <is>
          <t>Hellblaster Squad — 10 models (230 pts)</t>
        </is>
      </c>
      <c r="F965" s="55" t="n">
        <v>230</v>
      </c>
      <c r="G965" s="54" t="n">
        <v>31</v>
      </c>
      <c r="H965" s="54" t="inlineStr">
        <is>
          <t>Uploaded PDF: Munitorum Field Manual v2.3 / March 2025</t>
        </is>
      </c>
    </row>
    <row r="966">
      <c r="A966" s="54" t="inlineStr">
        <is>
          <t>Space Marines</t>
        </is>
      </c>
      <c r="B966" s="54" t="inlineStr">
        <is>
          <t>Impulsor</t>
        </is>
      </c>
      <c r="C966" s="54" t="inlineStr">
        <is>
          <t>1 model</t>
        </is>
      </c>
      <c r="D966" s="55" t="n">
        <v>80</v>
      </c>
      <c r="E966" s="55" t="inlineStr">
        <is>
          <t>Impulsor — 1 model (80 pts)</t>
        </is>
      </c>
      <c r="F966" s="55" t="n">
        <v>80</v>
      </c>
      <c r="G966" s="54" t="n">
        <v>31</v>
      </c>
      <c r="H966" s="54" t="inlineStr">
        <is>
          <t>Uploaded PDF: Munitorum Field Manual v2.3 / March 2025</t>
        </is>
      </c>
    </row>
    <row r="967">
      <c r="A967" s="54" t="inlineStr">
        <is>
          <t>Space Marines</t>
        </is>
      </c>
      <c r="B967" s="54" t="inlineStr">
        <is>
          <t>Inceptor Squad</t>
        </is>
      </c>
      <c r="C967" s="54" t="inlineStr">
        <is>
          <t>3 models</t>
        </is>
      </c>
      <c r="D967" s="55" t="n">
        <v>120</v>
      </c>
      <c r="E967" s="55" t="inlineStr">
        <is>
          <t>Inceptor Squad — 3 models (120 pts)</t>
        </is>
      </c>
      <c r="F967" s="55" t="n">
        <v>120</v>
      </c>
      <c r="G967" s="54" t="n">
        <v>31</v>
      </c>
      <c r="H967" s="54" t="inlineStr">
        <is>
          <t>Uploaded PDF: Munitorum Field Manual v2.3 / March 2025</t>
        </is>
      </c>
    </row>
    <row r="968">
      <c r="A968" s="54" t="inlineStr">
        <is>
          <t>Space Marines</t>
        </is>
      </c>
      <c r="B968" s="54" t="inlineStr">
        <is>
          <t>Inceptor Squad</t>
        </is>
      </c>
      <c r="C968" s="54" t="inlineStr">
        <is>
          <t>6 models</t>
        </is>
      </c>
      <c r="D968" s="55" t="n">
        <v>240</v>
      </c>
      <c r="E968" s="55" t="inlineStr">
        <is>
          <t>Inceptor Squad — 6 models (240 pts)</t>
        </is>
      </c>
      <c r="F968" s="55" t="n">
        <v>240</v>
      </c>
      <c r="G968" s="54" t="n">
        <v>31</v>
      </c>
      <c r="H968" s="54" t="inlineStr">
        <is>
          <t>Uploaded PDF: Munitorum Field Manual v2.3 / March 2025</t>
        </is>
      </c>
    </row>
    <row r="969">
      <c r="A969" s="54" t="inlineStr">
        <is>
          <t>Space Marines</t>
        </is>
      </c>
      <c r="B969" s="54" t="inlineStr">
        <is>
          <t>Incursor Squad</t>
        </is>
      </c>
      <c r="C969" s="54" t="inlineStr">
        <is>
          <t>5 models</t>
        </is>
      </c>
      <c r="D969" s="55" t="n">
        <v>80</v>
      </c>
      <c r="E969" s="55" t="inlineStr">
        <is>
          <t>Incursor Squad — 5 models (80 pts)</t>
        </is>
      </c>
      <c r="F969" s="55" t="n">
        <v>80</v>
      </c>
      <c r="G969" s="54" t="n">
        <v>31</v>
      </c>
      <c r="H969" s="54" t="inlineStr">
        <is>
          <t>Uploaded PDF: Munitorum Field Manual v2.3 / March 2025</t>
        </is>
      </c>
    </row>
    <row r="970">
      <c r="A970" s="54" t="inlineStr">
        <is>
          <t>Space Marines</t>
        </is>
      </c>
      <c r="B970" s="54" t="inlineStr">
        <is>
          <t>Incursor Squad</t>
        </is>
      </c>
      <c r="C970" s="54" t="inlineStr">
        <is>
          <t>10 models</t>
        </is>
      </c>
      <c r="D970" s="55" t="n">
        <v>160</v>
      </c>
      <c r="E970" s="55" t="inlineStr">
        <is>
          <t>Incursor Squad — 10 models (160 pts)</t>
        </is>
      </c>
      <c r="F970" s="55" t="n">
        <v>160</v>
      </c>
      <c r="G970" s="54" t="n">
        <v>31</v>
      </c>
      <c r="H970" s="54" t="inlineStr">
        <is>
          <t>Uploaded PDF: Munitorum Field Manual v2.3 / March 2025</t>
        </is>
      </c>
    </row>
    <row r="971">
      <c r="A971" s="54" t="inlineStr">
        <is>
          <t>Space Marines</t>
        </is>
      </c>
      <c r="B971" s="54" t="inlineStr">
        <is>
          <t>Infernus Squad</t>
        </is>
      </c>
      <c r="C971" s="54" t="inlineStr">
        <is>
          <t>5 models</t>
        </is>
      </c>
      <c r="D971" s="55" t="n">
        <v>90</v>
      </c>
      <c r="E971" s="55" t="inlineStr">
        <is>
          <t>Infernus Squad — 5 models (90 pts)</t>
        </is>
      </c>
      <c r="F971" s="55" t="n">
        <v>90</v>
      </c>
      <c r="G971" s="54" t="n">
        <v>31</v>
      </c>
      <c r="H971" s="54" t="inlineStr">
        <is>
          <t>Uploaded PDF: Munitorum Field Manual v2.3 / March 2025</t>
        </is>
      </c>
    </row>
    <row r="972">
      <c r="A972" s="54" t="inlineStr">
        <is>
          <t>Space Marines</t>
        </is>
      </c>
      <c r="B972" s="54" t="inlineStr">
        <is>
          <t>Infernus Squad</t>
        </is>
      </c>
      <c r="C972" s="54" t="inlineStr">
        <is>
          <t>10 models</t>
        </is>
      </c>
      <c r="D972" s="55" t="n">
        <v>180</v>
      </c>
      <c r="E972" s="55" t="inlineStr">
        <is>
          <t>Infernus Squad — 10 models (180 pts)</t>
        </is>
      </c>
      <c r="F972" s="55" t="n">
        <v>180</v>
      </c>
      <c r="G972" s="54" t="n">
        <v>31</v>
      </c>
      <c r="H972" s="54" t="inlineStr">
        <is>
          <t>Uploaded PDF: Munitorum Field Manual v2.3 / March 2025</t>
        </is>
      </c>
    </row>
    <row r="973">
      <c r="A973" s="54" t="inlineStr">
        <is>
          <t>Space Marines</t>
        </is>
      </c>
      <c r="B973" s="54" t="inlineStr">
        <is>
          <t>Infiltrator Squad</t>
        </is>
      </c>
      <c r="C973" s="54" t="inlineStr">
        <is>
          <t>5 models</t>
        </is>
      </c>
      <c r="D973" s="55" t="n">
        <v>100</v>
      </c>
      <c r="E973" s="55" t="inlineStr">
        <is>
          <t>Infiltrator Squad — 5 models (100 pts)</t>
        </is>
      </c>
      <c r="F973" s="55" t="n">
        <v>100</v>
      </c>
      <c r="G973" s="54" t="n">
        <v>31</v>
      </c>
      <c r="H973" s="54" t="inlineStr">
        <is>
          <t>Uploaded PDF: Munitorum Field Manual v2.3 / March 2025</t>
        </is>
      </c>
    </row>
    <row r="974">
      <c r="A974" s="54" t="inlineStr">
        <is>
          <t>Space Marines</t>
        </is>
      </c>
      <c r="B974" s="54" t="inlineStr">
        <is>
          <t>Infiltrator Squad</t>
        </is>
      </c>
      <c r="C974" s="54" t="inlineStr">
        <is>
          <t>10 models</t>
        </is>
      </c>
      <c r="D974" s="55" t="n">
        <v>200</v>
      </c>
      <c r="E974" s="55" t="inlineStr">
        <is>
          <t>Infiltrator Squad — 10 models (200 pts)</t>
        </is>
      </c>
      <c r="F974" s="55" t="n">
        <v>200</v>
      </c>
      <c r="G974" s="54" t="n">
        <v>31</v>
      </c>
      <c r="H974" s="54" t="inlineStr">
        <is>
          <t>Uploaded PDF: Munitorum Field Manual v2.3 / March 2025</t>
        </is>
      </c>
    </row>
    <row r="975">
      <c r="A975" s="54" t="inlineStr">
        <is>
          <t>Space Marines</t>
        </is>
      </c>
      <c r="B975" s="54" t="inlineStr">
        <is>
          <t>Intercessor Squad</t>
        </is>
      </c>
      <c r="C975" s="54" t="inlineStr">
        <is>
          <t>5 models</t>
        </is>
      </c>
      <c r="D975" s="55" t="n">
        <v>80</v>
      </c>
      <c r="E975" s="55" t="inlineStr">
        <is>
          <t>Intercessor Squad — 5 models (80 pts)</t>
        </is>
      </c>
      <c r="F975" s="55" t="n">
        <v>80</v>
      </c>
      <c r="G975" s="54" t="n">
        <v>31</v>
      </c>
      <c r="H975" s="54" t="inlineStr">
        <is>
          <t>Uploaded PDF: Munitorum Field Manual v2.3 / March 2025</t>
        </is>
      </c>
    </row>
    <row r="976">
      <c r="A976" s="54" t="inlineStr">
        <is>
          <t>Space Marines</t>
        </is>
      </c>
      <c r="B976" s="54" t="inlineStr">
        <is>
          <t>Intercessor Squad</t>
        </is>
      </c>
      <c r="C976" s="54" t="inlineStr">
        <is>
          <t>10 models</t>
        </is>
      </c>
      <c r="D976" s="55" t="n">
        <v>160</v>
      </c>
      <c r="E976" s="55" t="inlineStr">
        <is>
          <t>Intercessor Squad — 10 models (160 pts)</t>
        </is>
      </c>
      <c r="F976" s="55" t="n">
        <v>160</v>
      </c>
      <c r="G976" s="54" t="n">
        <v>31</v>
      </c>
      <c r="H976" s="54" t="inlineStr">
        <is>
          <t>Uploaded PDF: Munitorum Field Manual v2.3 / March 2025</t>
        </is>
      </c>
    </row>
    <row r="977">
      <c r="A977" s="54" t="inlineStr">
        <is>
          <t>Space Marines</t>
        </is>
      </c>
      <c r="B977" s="54" t="inlineStr">
        <is>
          <t>Invader ATV</t>
        </is>
      </c>
      <c r="C977" s="54" t="inlineStr">
        <is>
          <t>1 model</t>
        </is>
      </c>
      <c r="D977" s="55" t="n">
        <v>60</v>
      </c>
      <c r="E977" s="55" t="inlineStr">
        <is>
          <t>Invader ATV — 1 model (60 pts)</t>
        </is>
      </c>
      <c r="F977" s="55" t="n">
        <v>60</v>
      </c>
      <c r="G977" s="54" t="n">
        <v>31</v>
      </c>
      <c r="H977" s="54" t="inlineStr">
        <is>
          <t>Uploaded PDF: Munitorum Field Manual v2.3 / March 2025</t>
        </is>
      </c>
    </row>
    <row r="978">
      <c r="A978" s="54" t="inlineStr">
        <is>
          <t>Space Marines</t>
        </is>
      </c>
      <c r="B978" s="54" t="inlineStr">
        <is>
          <t>Invictor Tactical Warsuit</t>
        </is>
      </c>
      <c r="C978" s="54" t="inlineStr">
        <is>
          <t>1 model</t>
        </is>
      </c>
      <c r="D978" s="55" t="n">
        <v>125</v>
      </c>
      <c r="E978" s="55" t="inlineStr">
        <is>
          <t>Invictor Tactical Warsuit — 1 model (125 pts)</t>
        </is>
      </c>
      <c r="F978" s="55" t="n">
        <v>125</v>
      </c>
      <c r="G978" s="54" t="n">
        <v>31</v>
      </c>
      <c r="H978" s="54" t="inlineStr">
        <is>
          <t>Uploaded PDF: Munitorum Field Manual v2.3 / March 2025</t>
        </is>
      </c>
    </row>
    <row r="979">
      <c r="A979" s="54" t="inlineStr">
        <is>
          <t>Space Marines</t>
        </is>
      </c>
      <c r="B979" s="54" t="inlineStr">
        <is>
          <t>Iron Father Feirros</t>
        </is>
      </c>
      <c r="C979" s="54" t="inlineStr">
        <is>
          <t>1 model</t>
        </is>
      </c>
      <c r="D979" s="55" t="n">
        <v>95</v>
      </c>
      <c r="E979" s="55" t="inlineStr">
        <is>
          <t>Iron Father Feirros — 1 model (95 pts)</t>
        </is>
      </c>
      <c r="F979" s="55" t="n">
        <v>95</v>
      </c>
      <c r="G979" s="54" t="n">
        <v>31</v>
      </c>
      <c r="H979" s="54" t="inlineStr">
        <is>
          <t>Uploaded PDF: Munitorum Field Manual v2.3 / March 2025</t>
        </is>
      </c>
    </row>
    <row r="980">
      <c r="A980" s="54" t="inlineStr">
        <is>
          <t>Space Marines</t>
        </is>
      </c>
      <c r="B980" s="54" t="inlineStr">
        <is>
          <t>Judiciar</t>
        </is>
      </c>
      <c r="C980" s="54" t="inlineStr">
        <is>
          <t>1 model</t>
        </is>
      </c>
      <c r="D980" s="55" t="n">
        <v>70</v>
      </c>
      <c r="E980" s="55" t="inlineStr">
        <is>
          <t>Judiciar — 1 model (70 pts)</t>
        </is>
      </c>
      <c r="F980" s="55" t="n">
        <v>70</v>
      </c>
      <c r="G980" s="54" t="n">
        <v>31</v>
      </c>
      <c r="H980" s="54" t="inlineStr">
        <is>
          <t>Uploaded PDF: Munitorum Field Manual v2.3 / March 2025</t>
        </is>
      </c>
    </row>
    <row r="981">
      <c r="A981" s="54" t="inlineStr">
        <is>
          <t>Space Marines</t>
        </is>
      </c>
      <c r="B981" s="54" t="inlineStr">
        <is>
          <t>Kayvaan Shrike</t>
        </is>
      </c>
      <c r="C981" s="54" t="inlineStr">
        <is>
          <t>1 model</t>
        </is>
      </c>
      <c r="D981" s="55" t="n">
        <v>100</v>
      </c>
      <c r="E981" s="55" t="inlineStr">
        <is>
          <t>Kayvaan Shrike — 1 model (100 pts)</t>
        </is>
      </c>
      <c r="F981" s="55" t="n">
        <v>100</v>
      </c>
      <c r="G981" s="54" t="n">
        <v>31</v>
      </c>
      <c r="H981" s="54" t="inlineStr">
        <is>
          <t>Uploaded PDF: Munitorum Field Manual v2.3 / March 2025</t>
        </is>
      </c>
    </row>
    <row r="982">
      <c r="A982" s="54" t="inlineStr">
        <is>
          <t>Space Marines</t>
        </is>
      </c>
      <c r="B982" s="54" t="inlineStr">
        <is>
          <t>Kor’sarro Khan</t>
        </is>
      </c>
      <c r="C982" s="54" t="inlineStr">
        <is>
          <t>1 model</t>
        </is>
      </c>
      <c r="D982" s="55" t="n">
        <v>70</v>
      </c>
      <c r="E982" s="55" t="inlineStr">
        <is>
          <t>Kor’sarro Khan — 1 model (70 pts)</t>
        </is>
      </c>
      <c r="F982" s="55" t="n">
        <v>70</v>
      </c>
      <c r="G982" s="54" t="n">
        <v>31</v>
      </c>
      <c r="H982" s="54" t="inlineStr">
        <is>
          <t>Uploaded PDF: Munitorum Field Manual v2.3 / March 2025</t>
        </is>
      </c>
    </row>
    <row r="983">
      <c r="A983" s="54" t="inlineStr">
        <is>
          <t>Space Marines</t>
        </is>
      </c>
      <c r="B983" s="54" t="inlineStr">
        <is>
          <t>Land Raider</t>
        </is>
      </c>
      <c r="C983" s="54" t="inlineStr">
        <is>
          <t>1 model</t>
        </is>
      </c>
      <c r="D983" s="55" t="n">
        <v>240</v>
      </c>
      <c r="E983" s="55" t="inlineStr">
        <is>
          <t>Land Raider — 1 model (240 pts)</t>
        </is>
      </c>
      <c r="F983" s="55" t="n">
        <v>240</v>
      </c>
      <c r="G983" s="54" t="n">
        <v>31</v>
      </c>
      <c r="H983" s="54" t="inlineStr">
        <is>
          <t>Uploaded PDF: Munitorum Field Manual v2.3 / March 2025</t>
        </is>
      </c>
    </row>
    <row r="984">
      <c r="A984" s="54" t="inlineStr">
        <is>
          <t>Space Marines</t>
        </is>
      </c>
      <c r="B984" s="54" t="inlineStr">
        <is>
          <t>Land Raider Crusader</t>
        </is>
      </c>
      <c r="C984" s="54" t="inlineStr">
        <is>
          <t>1 model</t>
        </is>
      </c>
      <c r="D984" s="55" t="n">
        <v>220</v>
      </c>
      <c r="E984" s="55" t="inlineStr">
        <is>
          <t>Land Raider Crusader — 1 model (220 pts)</t>
        </is>
      </c>
      <c r="F984" s="55" t="n">
        <v>220</v>
      </c>
      <c r="G984" s="54" t="n">
        <v>31</v>
      </c>
      <c r="H984" s="54" t="inlineStr">
        <is>
          <t>Uploaded PDF: Munitorum Field Manual v2.3 / March 2025</t>
        </is>
      </c>
    </row>
    <row r="985">
      <c r="A985" s="54" t="inlineStr">
        <is>
          <t>Space Marines</t>
        </is>
      </c>
      <c r="B985" s="54" t="inlineStr">
        <is>
          <t>Land Raider Redeemer</t>
        </is>
      </c>
      <c r="C985" s="54" t="inlineStr">
        <is>
          <t>1 model</t>
        </is>
      </c>
      <c r="D985" s="55" t="n">
        <v>285</v>
      </c>
      <c r="E985" s="55" t="inlineStr">
        <is>
          <t>Land Raider Redeemer — 1 model (285 pts)</t>
        </is>
      </c>
      <c r="F985" s="55" t="n">
        <v>285</v>
      </c>
      <c r="G985" s="54" t="n">
        <v>31</v>
      </c>
      <c r="H985" s="54" t="inlineStr">
        <is>
          <t>Uploaded PDF: Munitorum Field Manual v2.3 / March 2025</t>
        </is>
      </c>
    </row>
    <row r="986">
      <c r="A986" s="54" t="inlineStr">
        <is>
          <t>Space Marines</t>
        </is>
      </c>
      <c r="B986" s="54" t="inlineStr">
        <is>
          <t>Librarian</t>
        </is>
      </c>
      <c r="C986" s="54" t="inlineStr">
        <is>
          <t>1 model</t>
        </is>
      </c>
      <c r="D986" s="55" t="n">
        <v>65</v>
      </c>
      <c r="E986" s="55" t="inlineStr">
        <is>
          <t>Librarian — 1 model (65 pts)</t>
        </is>
      </c>
      <c r="F986" s="55" t="n">
        <v>65</v>
      </c>
      <c r="G986" s="54" t="n">
        <v>31</v>
      </c>
      <c r="H986" s="54" t="inlineStr">
        <is>
          <t>Uploaded PDF: Munitorum Field Manual v2.3 / March 2025</t>
        </is>
      </c>
    </row>
    <row r="987">
      <c r="A987" s="54" t="inlineStr">
        <is>
          <t>Space Marines</t>
        </is>
      </c>
      <c r="B987" s="54" t="inlineStr">
        <is>
          <t>Librarian in Phobos Armour</t>
        </is>
      </c>
      <c r="C987" s="54" t="inlineStr">
        <is>
          <t>1 model</t>
        </is>
      </c>
      <c r="D987" s="55" t="n">
        <v>70</v>
      </c>
      <c r="E987" s="55" t="inlineStr">
        <is>
          <t>Librarian in Phobos Armour — 1 model (70 pts)</t>
        </is>
      </c>
      <c r="F987" s="55" t="n">
        <v>70</v>
      </c>
      <c r="G987" s="54" t="n">
        <v>31</v>
      </c>
      <c r="H987" s="54" t="inlineStr">
        <is>
          <t>Uploaded PDF: Munitorum Field Manual v2.3 / March 2025</t>
        </is>
      </c>
    </row>
    <row r="988">
      <c r="A988" s="54" t="inlineStr">
        <is>
          <t>Space Marines</t>
        </is>
      </c>
      <c r="B988" s="54" t="inlineStr">
        <is>
          <t>Librarian in Terminator Armour</t>
        </is>
      </c>
      <c r="C988" s="54" t="inlineStr">
        <is>
          <t>1 model</t>
        </is>
      </c>
      <c r="D988" s="55" t="n">
        <v>75</v>
      </c>
      <c r="E988" s="55" t="inlineStr">
        <is>
          <t>Librarian in Terminator Armour — 1 model (75 pts)</t>
        </is>
      </c>
      <c r="F988" s="55" t="n">
        <v>75</v>
      </c>
      <c r="G988" s="54" t="n">
        <v>31</v>
      </c>
      <c r="H988" s="54" t="inlineStr">
        <is>
          <t>Uploaded PDF: Munitorum Field Manual v2.3 / March 2025</t>
        </is>
      </c>
    </row>
    <row r="989">
      <c r="A989" s="54" t="inlineStr">
        <is>
          <t>Space Marines</t>
        </is>
      </c>
      <c r="B989" s="54" t="inlineStr">
        <is>
          <t>Lieutenant</t>
        </is>
      </c>
      <c r="C989" s="54" t="inlineStr">
        <is>
          <t>1 model</t>
        </is>
      </c>
      <c r="D989" s="55" t="n">
        <v>65</v>
      </c>
      <c r="E989" s="55" t="inlineStr">
        <is>
          <t>Lieutenant — 1 model (65 pts)</t>
        </is>
      </c>
      <c r="F989" s="55" t="n">
        <v>65</v>
      </c>
      <c r="G989" s="54" t="n">
        <v>31</v>
      </c>
      <c r="H989" s="54" t="inlineStr">
        <is>
          <t>Uploaded PDF: Munitorum Field Manual v2.3 / March 2025</t>
        </is>
      </c>
    </row>
    <row r="990">
      <c r="A990" s="54" t="inlineStr">
        <is>
          <t>Space Marines</t>
        </is>
      </c>
      <c r="B990" s="54" t="inlineStr">
        <is>
          <t>Lieutenant in Phobos Armour</t>
        </is>
      </c>
      <c r="C990" s="54" t="inlineStr">
        <is>
          <t>1 model</t>
        </is>
      </c>
      <c r="D990" s="55" t="n">
        <v>55</v>
      </c>
      <c r="E990" s="55" t="inlineStr">
        <is>
          <t>Lieutenant in Phobos Armour — 1 model (55 pts)</t>
        </is>
      </c>
      <c r="F990" s="55" t="n">
        <v>55</v>
      </c>
      <c r="G990" s="54" t="n">
        <v>31</v>
      </c>
      <c r="H990" s="54" t="inlineStr">
        <is>
          <t>Uploaded PDF: Munitorum Field Manual v2.3 / March 2025</t>
        </is>
      </c>
    </row>
    <row r="991">
      <c r="A991" s="54" t="inlineStr">
        <is>
          <t>Space Marines</t>
        </is>
      </c>
      <c r="B991" s="54" t="inlineStr">
        <is>
          <t>Lieutenant in Reiver Armour</t>
        </is>
      </c>
      <c r="C991" s="54" t="inlineStr">
        <is>
          <t>1 model</t>
        </is>
      </c>
      <c r="D991" s="55" t="n">
        <v>55</v>
      </c>
      <c r="E991" s="55" t="inlineStr">
        <is>
          <t>Lieutenant in Reiver Armour — 1 model (55 pts)</t>
        </is>
      </c>
      <c r="F991" s="55" t="n">
        <v>55</v>
      </c>
      <c r="G991" s="54" t="n">
        <v>31</v>
      </c>
      <c r="H991" s="54" t="inlineStr">
        <is>
          <t>Uploaded PDF: Munitorum Field Manual v2.3 / March 2025</t>
        </is>
      </c>
    </row>
    <row r="992">
      <c r="A992" s="54" t="inlineStr">
        <is>
          <t>Space Marines</t>
        </is>
      </c>
      <c r="B992" s="54" t="inlineStr">
        <is>
          <t>Lieutenant with Combi-weapon</t>
        </is>
      </c>
      <c r="C992" s="54" t="inlineStr">
        <is>
          <t>1 model</t>
        </is>
      </c>
      <c r="D992" s="55" t="n">
        <v>70</v>
      </c>
      <c r="E992" s="55" t="inlineStr">
        <is>
          <t>Lieutenant with Combi-weapon — 1 model (70 pts)</t>
        </is>
      </c>
      <c r="F992" s="55" t="n">
        <v>70</v>
      </c>
      <c r="G992" s="54" t="n">
        <v>31</v>
      </c>
      <c r="H992" s="54" t="inlineStr">
        <is>
          <t>Uploaded PDF: Munitorum Field Manual v2.3 / March 2025</t>
        </is>
      </c>
    </row>
    <row r="993">
      <c r="A993" s="54" t="inlineStr">
        <is>
          <t>Space Marines</t>
        </is>
      </c>
      <c r="B993" s="54" t="inlineStr">
        <is>
          <t>Lieutenant Titus</t>
        </is>
      </c>
      <c r="C993" s="54" t="inlineStr">
        <is>
          <t>1 model</t>
        </is>
      </c>
      <c r="D993" s="55" t="n">
        <v>70</v>
      </c>
      <c r="E993" s="55" t="inlineStr">
        <is>
          <t>Lieutenant Titus — 1 model (70 pts)</t>
        </is>
      </c>
      <c r="F993" s="55" t="n">
        <v>70</v>
      </c>
      <c r="G993" s="54" t="n">
        <v>31</v>
      </c>
      <c r="H993" s="54" t="inlineStr">
        <is>
          <t>Uploaded PDF: Munitorum Field Manual v2.3 / March 2025</t>
        </is>
      </c>
    </row>
    <row r="994">
      <c r="A994" s="54" t="inlineStr">
        <is>
          <t>Space Marines</t>
        </is>
      </c>
      <c r="B994" s="54" t="inlineStr">
        <is>
          <t>Marneus Calgar</t>
        </is>
      </c>
      <c r="C994" s="54" t="inlineStr">
        <is>
          <t>3 models</t>
        </is>
      </c>
      <c r="D994" s="55" t="n">
        <v>210</v>
      </c>
      <c r="E994" s="55" t="inlineStr">
        <is>
          <t>Marneus Calgar — 3 models (210 pts)</t>
        </is>
      </c>
      <c r="F994" s="55" t="n">
        <v>210</v>
      </c>
      <c r="G994" s="54" t="n">
        <v>31</v>
      </c>
      <c r="H994" s="54" t="inlineStr">
        <is>
          <t>Uploaded PDF: Munitorum Field Manual v2.3 / March 2025</t>
        </is>
      </c>
    </row>
    <row r="995">
      <c r="A995" s="54" t="inlineStr">
        <is>
          <t>Space Marines</t>
        </is>
      </c>
      <c r="B995" s="54" t="inlineStr">
        <is>
          <t>Outrider Squad</t>
        </is>
      </c>
      <c r="C995" s="54" t="inlineStr">
        <is>
          <t>3 models</t>
        </is>
      </c>
      <c r="D995" s="55" t="n">
        <v>80</v>
      </c>
      <c r="E995" s="55" t="inlineStr">
        <is>
          <t>Outrider Squad — 3 models (80 pts)</t>
        </is>
      </c>
      <c r="F995" s="55" t="n">
        <v>80</v>
      </c>
      <c r="G995" s="54" t="n">
        <v>31</v>
      </c>
      <c r="H995" s="54" t="inlineStr">
        <is>
          <t>Uploaded PDF: Munitorum Field Manual v2.3 / March 2025</t>
        </is>
      </c>
    </row>
    <row r="996">
      <c r="A996" s="54" t="inlineStr">
        <is>
          <t>Space Marines</t>
        </is>
      </c>
      <c r="B996" s="54" t="inlineStr">
        <is>
          <t>Outrider Squad</t>
        </is>
      </c>
      <c r="C996" s="54" t="inlineStr">
        <is>
          <t>6 models</t>
        </is>
      </c>
      <c r="D996" s="55" t="n">
        <v>160</v>
      </c>
      <c r="E996" s="55" t="inlineStr">
        <is>
          <t>Outrider Squad — 6 models (160 pts)</t>
        </is>
      </c>
      <c r="F996" s="55" t="n">
        <v>160</v>
      </c>
      <c r="G996" s="54" t="n">
        <v>31</v>
      </c>
      <c r="H996" s="54" t="inlineStr">
        <is>
          <t>Uploaded PDF: Munitorum Field Manual v2.3 / March 2025</t>
        </is>
      </c>
    </row>
    <row r="997">
      <c r="A997" s="54" t="inlineStr">
        <is>
          <t>Space Marines</t>
        </is>
      </c>
      <c r="B997" s="54" t="inlineStr">
        <is>
          <t>Outrider Squad</t>
        </is>
      </c>
      <c r="C997" s="54" t="inlineStr">
        <is>
          <t>Invader ATV +</t>
        </is>
      </c>
      <c r="D997" s="55" t="n">
        <v>60</v>
      </c>
      <c r="E997" s="55" t="inlineStr">
        <is>
          <t>Outrider Squad — Invader ATV + (60 pts)</t>
        </is>
      </c>
      <c r="F997" s="55" t="n">
        <v>60</v>
      </c>
      <c r="G997" s="54" t="n">
        <v>31</v>
      </c>
      <c r="H997" s="54" t="inlineStr">
        <is>
          <t>Uploaded PDF: Munitorum Field Manual v2.3 / March 2025</t>
        </is>
      </c>
    </row>
    <row r="998">
      <c r="A998" s="54" t="inlineStr">
        <is>
          <t>Space Marines</t>
        </is>
      </c>
      <c r="B998" s="54" t="inlineStr">
        <is>
          <t>Pedro Kantor</t>
        </is>
      </c>
      <c r="C998" s="54" t="inlineStr">
        <is>
          <t>1 model</t>
        </is>
      </c>
      <c r="D998" s="55" t="n">
        <v>90</v>
      </c>
      <c r="E998" s="55" t="inlineStr">
        <is>
          <t>Pedro Kantor — 1 model (90 pts)</t>
        </is>
      </c>
      <c r="F998" s="55" t="n">
        <v>90</v>
      </c>
      <c r="G998" s="54" t="n">
        <v>32</v>
      </c>
      <c r="H998" s="54" t="inlineStr">
        <is>
          <t>Uploaded PDF: Munitorum Field Manual v2.3 / March 2025</t>
        </is>
      </c>
    </row>
    <row r="999">
      <c r="A999" s="54" t="inlineStr">
        <is>
          <t>Space Marines</t>
        </is>
      </c>
      <c r="B999" s="54" t="inlineStr">
        <is>
          <t>Predator Annihilator</t>
        </is>
      </c>
      <c r="C999" s="54" t="inlineStr">
        <is>
          <t>1 model</t>
        </is>
      </c>
      <c r="D999" s="55" t="n">
        <v>135</v>
      </c>
      <c r="E999" s="55" t="inlineStr">
        <is>
          <t>Predator Annihilator — 1 model (135 pts)</t>
        </is>
      </c>
      <c r="F999" s="55" t="n">
        <v>135</v>
      </c>
      <c r="G999" s="54" t="n">
        <v>32</v>
      </c>
      <c r="H999" s="54" t="inlineStr">
        <is>
          <t>Uploaded PDF: Munitorum Field Manual v2.3 / March 2025</t>
        </is>
      </c>
    </row>
    <row r="1000">
      <c r="A1000" s="54" t="inlineStr">
        <is>
          <t>Space Marines</t>
        </is>
      </c>
      <c r="B1000" s="54" t="inlineStr">
        <is>
          <t>Predator Destructor</t>
        </is>
      </c>
      <c r="C1000" s="54" t="inlineStr">
        <is>
          <t>1 model</t>
        </is>
      </c>
      <c r="D1000" s="55" t="n">
        <v>140</v>
      </c>
      <c r="E1000" s="55" t="inlineStr">
        <is>
          <t>Predator Destructor — 1 model (140 pts)</t>
        </is>
      </c>
      <c r="F1000" s="55" t="n">
        <v>140</v>
      </c>
      <c r="G1000" s="54" t="n">
        <v>32</v>
      </c>
      <c r="H1000" s="54" t="inlineStr">
        <is>
          <t>Uploaded PDF: Munitorum Field Manual v2.3 / March 2025</t>
        </is>
      </c>
    </row>
    <row r="1001">
      <c r="A1001" s="54" t="inlineStr">
        <is>
          <t>Space Marines</t>
        </is>
      </c>
      <c r="B1001" s="54" t="inlineStr">
        <is>
          <t>Razorback</t>
        </is>
      </c>
      <c r="C1001" s="54" t="inlineStr">
        <is>
          <t>1 model</t>
        </is>
      </c>
      <c r="D1001" s="55" t="n">
        <v>95</v>
      </c>
      <c r="E1001" s="55" t="inlineStr">
        <is>
          <t>Razorback — 1 model (95 pts)</t>
        </is>
      </c>
      <c r="F1001" s="55" t="n">
        <v>95</v>
      </c>
      <c r="G1001" s="54" t="n">
        <v>32</v>
      </c>
      <c r="H1001" s="54" t="inlineStr">
        <is>
          <t>Uploaded PDF: Munitorum Field Manual v2.3 / March 2025</t>
        </is>
      </c>
    </row>
    <row r="1002">
      <c r="A1002" s="54" t="inlineStr">
        <is>
          <t>Space Marines</t>
        </is>
      </c>
      <c r="B1002" s="54" t="inlineStr">
        <is>
          <t>Redemptor Dreadnought</t>
        </is>
      </c>
      <c r="C1002" s="54" t="inlineStr">
        <is>
          <t>1 model</t>
        </is>
      </c>
      <c r="D1002" s="55" t="n">
        <v>210</v>
      </c>
      <c r="E1002" s="55" t="inlineStr">
        <is>
          <t>Redemptor Dreadnought — 1 model (210 pts)</t>
        </is>
      </c>
      <c r="F1002" s="55" t="n">
        <v>210</v>
      </c>
      <c r="G1002" s="54" t="n">
        <v>32</v>
      </c>
      <c r="H1002" s="54" t="inlineStr">
        <is>
          <t>Uploaded PDF: Munitorum Field Manual v2.3 / March 2025</t>
        </is>
      </c>
    </row>
    <row r="1003">
      <c r="A1003" s="54" t="inlineStr">
        <is>
          <t>Space Marines</t>
        </is>
      </c>
      <c r="B1003" s="54" t="inlineStr">
        <is>
          <t>Reiver Squad</t>
        </is>
      </c>
      <c r="C1003" s="54" t="inlineStr">
        <is>
          <t>5 models</t>
        </is>
      </c>
      <c r="D1003" s="55" t="n">
        <v>80</v>
      </c>
      <c r="E1003" s="55" t="inlineStr">
        <is>
          <t>Reiver Squad — 5 models (80 pts)</t>
        </is>
      </c>
      <c r="F1003" s="55" t="n">
        <v>80</v>
      </c>
      <c r="G1003" s="54" t="n">
        <v>32</v>
      </c>
      <c r="H1003" s="54" t="inlineStr">
        <is>
          <t>Uploaded PDF: Munitorum Field Manual v2.3 / March 2025</t>
        </is>
      </c>
    </row>
    <row r="1004">
      <c r="A1004" s="54" t="inlineStr">
        <is>
          <t>Space Marines</t>
        </is>
      </c>
      <c r="B1004" s="54" t="inlineStr">
        <is>
          <t>Reiver Squad</t>
        </is>
      </c>
      <c r="C1004" s="54" t="inlineStr">
        <is>
          <t>10 models</t>
        </is>
      </c>
      <c r="D1004" s="55" t="n">
        <v>160</v>
      </c>
      <c r="E1004" s="55" t="inlineStr">
        <is>
          <t>Reiver Squad — 10 models (160 pts)</t>
        </is>
      </c>
      <c r="F1004" s="55" t="n">
        <v>160</v>
      </c>
      <c r="G1004" s="54" t="n">
        <v>32</v>
      </c>
      <c r="H1004" s="54" t="inlineStr">
        <is>
          <t>Uploaded PDF: Munitorum Field Manual v2.3 / March 2025</t>
        </is>
      </c>
    </row>
    <row r="1005">
      <c r="A1005" s="54" t="inlineStr">
        <is>
          <t>Space Marines</t>
        </is>
      </c>
      <c r="B1005" s="54" t="inlineStr">
        <is>
          <t>Repulsor</t>
        </is>
      </c>
      <c r="C1005" s="54" t="inlineStr">
        <is>
          <t>1 model</t>
        </is>
      </c>
      <c r="D1005" s="55" t="n">
        <v>180</v>
      </c>
      <c r="E1005" s="55" t="inlineStr">
        <is>
          <t>Repulsor — 1 model (180 pts)</t>
        </is>
      </c>
      <c r="F1005" s="55" t="n">
        <v>180</v>
      </c>
      <c r="G1005" s="54" t="n">
        <v>32</v>
      </c>
      <c r="H1005" s="54" t="inlineStr">
        <is>
          <t>Uploaded PDF: Munitorum Field Manual v2.3 / March 2025</t>
        </is>
      </c>
    </row>
    <row r="1006">
      <c r="A1006" s="54" t="inlineStr">
        <is>
          <t>Space Marines</t>
        </is>
      </c>
      <c r="B1006" s="54" t="inlineStr">
        <is>
          <t>Repulsor Executioner</t>
        </is>
      </c>
      <c r="C1006" s="54" t="inlineStr">
        <is>
          <t>1 model</t>
        </is>
      </c>
      <c r="D1006" s="55" t="n">
        <v>220</v>
      </c>
      <c r="E1006" s="55" t="inlineStr">
        <is>
          <t>Repulsor Executioner — 1 model (220 pts)</t>
        </is>
      </c>
      <c r="F1006" s="55" t="n">
        <v>220</v>
      </c>
      <c r="G1006" s="54" t="n">
        <v>32</v>
      </c>
      <c r="H1006" s="54" t="inlineStr">
        <is>
          <t>Uploaded PDF: Munitorum Field Manual v2.3 / March 2025</t>
        </is>
      </c>
    </row>
    <row r="1007">
      <c r="A1007" s="54" t="inlineStr">
        <is>
          <t>Space Marines</t>
        </is>
      </c>
      <c r="B1007" s="54" t="inlineStr">
        <is>
          <t>Rhino</t>
        </is>
      </c>
      <c r="C1007" s="54" t="inlineStr">
        <is>
          <t>1 model</t>
        </is>
      </c>
      <c r="D1007" s="55" t="n">
        <v>75</v>
      </c>
      <c r="E1007" s="55" t="inlineStr">
        <is>
          <t>Rhino — 1 model (75 pts)</t>
        </is>
      </c>
      <c r="F1007" s="55" t="n">
        <v>75</v>
      </c>
      <c r="G1007" s="54" t="n">
        <v>32</v>
      </c>
      <c r="H1007" s="54" t="inlineStr">
        <is>
          <t>Uploaded PDF: Munitorum Field Manual v2.3 / March 2025</t>
        </is>
      </c>
    </row>
    <row r="1008">
      <c r="A1008" s="54" t="inlineStr">
        <is>
          <t>Space Marines</t>
        </is>
      </c>
      <c r="B1008" s="54" t="inlineStr">
        <is>
          <t>Roboute Guilliman</t>
        </is>
      </c>
      <c r="C1008" s="54" t="inlineStr">
        <is>
          <t>1 model</t>
        </is>
      </c>
      <c r="D1008" s="55" t="n">
        <v>345</v>
      </c>
      <c r="E1008" s="55" t="inlineStr">
        <is>
          <t>Roboute Guilliman — 1 model (345 pts)</t>
        </is>
      </c>
      <c r="F1008" s="55" t="n">
        <v>345</v>
      </c>
      <c r="G1008" s="54" t="n">
        <v>32</v>
      </c>
      <c r="H1008" s="54" t="inlineStr">
        <is>
          <t>Uploaded PDF: Munitorum Field Manual v2.3 / March 2025</t>
        </is>
      </c>
    </row>
    <row r="1009">
      <c r="A1009" s="54" t="inlineStr">
        <is>
          <t>Space Marines</t>
        </is>
      </c>
      <c r="B1009" s="54" t="inlineStr">
        <is>
          <t>Scout Squad</t>
        </is>
      </c>
      <c r="C1009" s="54" t="inlineStr">
        <is>
          <t>5 models</t>
        </is>
      </c>
      <c r="D1009" s="55" t="n">
        <v>70</v>
      </c>
      <c r="E1009" s="55" t="inlineStr">
        <is>
          <t>Scout Squad — 5 models (70 pts)</t>
        </is>
      </c>
      <c r="F1009" s="55" t="n">
        <v>70</v>
      </c>
      <c r="G1009" s="54" t="n">
        <v>32</v>
      </c>
      <c r="H1009" s="54" t="inlineStr">
        <is>
          <t>Uploaded PDF: Munitorum Field Manual v2.3 / March 2025</t>
        </is>
      </c>
    </row>
    <row r="1010">
      <c r="A1010" s="54" t="inlineStr">
        <is>
          <t>Space Marines</t>
        </is>
      </c>
      <c r="B1010" s="54" t="inlineStr">
        <is>
          <t>Scout Squad</t>
        </is>
      </c>
      <c r="C1010" s="54" t="inlineStr">
        <is>
          <t>10 models</t>
        </is>
      </c>
      <c r="D1010" s="55" t="n">
        <v>140</v>
      </c>
      <c r="E1010" s="55" t="inlineStr">
        <is>
          <t>Scout Squad — 10 models (140 pts)</t>
        </is>
      </c>
      <c r="F1010" s="55" t="n">
        <v>140</v>
      </c>
      <c r="G1010" s="54" t="n">
        <v>32</v>
      </c>
      <c r="H1010" s="54" t="inlineStr">
        <is>
          <t>Uploaded PDF: Munitorum Field Manual v2.3 / March 2025</t>
        </is>
      </c>
    </row>
    <row r="1011">
      <c r="A1011" s="54" t="inlineStr">
        <is>
          <t>Space Marines</t>
        </is>
      </c>
      <c r="B1011" s="54" t="inlineStr">
        <is>
          <t>Sternguard Veteran Squad</t>
        </is>
      </c>
      <c r="C1011" s="54" t="inlineStr">
        <is>
          <t>5 models</t>
        </is>
      </c>
      <c r="D1011" s="55" t="n">
        <v>100</v>
      </c>
      <c r="E1011" s="55" t="inlineStr">
        <is>
          <t>Sternguard Veteran Squad — 5 models (100 pts)</t>
        </is>
      </c>
      <c r="F1011" s="55" t="n">
        <v>100</v>
      </c>
      <c r="G1011" s="54" t="n">
        <v>32</v>
      </c>
      <c r="H1011" s="54" t="inlineStr">
        <is>
          <t>Uploaded PDF: Munitorum Field Manual v2.3 / March 2025</t>
        </is>
      </c>
    </row>
    <row r="1012">
      <c r="A1012" s="54" t="inlineStr">
        <is>
          <t>Space Marines</t>
        </is>
      </c>
      <c r="B1012" s="54" t="inlineStr">
        <is>
          <t>Sternguard Veteran Squad</t>
        </is>
      </c>
      <c r="C1012" s="54" t="inlineStr">
        <is>
          <t>10 models</t>
        </is>
      </c>
      <c r="D1012" s="55" t="n">
        <v>200</v>
      </c>
      <c r="E1012" s="55" t="inlineStr">
        <is>
          <t>Sternguard Veteran Squad — 10 models (200 pts)</t>
        </is>
      </c>
      <c r="F1012" s="55" t="n">
        <v>200</v>
      </c>
      <c r="G1012" s="54" t="n">
        <v>32</v>
      </c>
      <c r="H1012" s="54" t="inlineStr">
        <is>
          <t>Uploaded PDF: Munitorum Field Manual v2.3 / March 2025</t>
        </is>
      </c>
    </row>
    <row r="1013">
      <c r="A1013" s="54" t="inlineStr">
        <is>
          <t>Space Marines</t>
        </is>
      </c>
      <c r="B1013" s="54" t="inlineStr">
        <is>
          <t>Storm Speeder Hailstrike</t>
        </is>
      </c>
      <c r="C1013" s="54" t="inlineStr">
        <is>
          <t>1 model</t>
        </is>
      </c>
      <c r="D1013" s="55" t="n">
        <v>115</v>
      </c>
      <c r="E1013" s="55" t="inlineStr">
        <is>
          <t>Storm Speeder Hailstrike — 1 model (115 pts)</t>
        </is>
      </c>
      <c r="F1013" s="55" t="n">
        <v>115</v>
      </c>
      <c r="G1013" s="54" t="n">
        <v>32</v>
      </c>
      <c r="H1013" s="54" t="inlineStr">
        <is>
          <t>Uploaded PDF: Munitorum Field Manual v2.3 / March 2025</t>
        </is>
      </c>
    </row>
    <row r="1014">
      <c r="A1014" s="54" t="inlineStr">
        <is>
          <t>Space Marines</t>
        </is>
      </c>
      <c r="B1014" s="54" t="inlineStr">
        <is>
          <t>Storm Speeder Hammerstrike</t>
        </is>
      </c>
      <c r="C1014" s="54" t="inlineStr">
        <is>
          <t>1 model</t>
        </is>
      </c>
      <c r="D1014" s="55" t="n">
        <v>125</v>
      </c>
      <c r="E1014" s="55" t="inlineStr">
        <is>
          <t>Storm Speeder Hammerstrike — 1 model (125 pts)</t>
        </is>
      </c>
      <c r="F1014" s="55" t="n">
        <v>125</v>
      </c>
      <c r="G1014" s="54" t="n">
        <v>32</v>
      </c>
      <c r="H1014" s="54" t="inlineStr">
        <is>
          <t>Uploaded PDF: Munitorum Field Manual v2.3 / March 2025</t>
        </is>
      </c>
    </row>
    <row r="1015">
      <c r="A1015" s="54" t="inlineStr">
        <is>
          <t>Space Marines</t>
        </is>
      </c>
      <c r="B1015" s="54" t="inlineStr">
        <is>
          <t>Storm Speeder Thunderstrike</t>
        </is>
      </c>
      <c r="C1015" s="54" t="inlineStr">
        <is>
          <t>1 model</t>
        </is>
      </c>
      <c r="D1015" s="55" t="n">
        <v>150</v>
      </c>
      <c r="E1015" s="55" t="inlineStr">
        <is>
          <t>Storm Speeder Thunderstrike — 1 model (150 pts)</t>
        </is>
      </c>
      <c r="F1015" s="55" t="n">
        <v>150</v>
      </c>
      <c r="G1015" s="54" t="n">
        <v>32</v>
      </c>
      <c r="H1015" s="54" t="inlineStr">
        <is>
          <t>Uploaded PDF: Munitorum Field Manual v2.3 / March 2025</t>
        </is>
      </c>
    </row>
    <row r="1016">
      <c r="A1016" s="54" t="inlineStr">
        <is>
          <t>Space Marines</t>
        </is>
      </c>
      <c r="B1016" s="54" t="inlineStr">
        <is>
          <t>Stormhawk Interceptor</t>
        </is>
      </c>
      <c r="C1016" s="54" t="inlineStr">
        <is>
          <t>1 model</t>
        </is>
      </c>
      <c r="D1016" s="55" t="n">
        <v>155</v>
      </c>
      <c r="E1016" s="55" t="inlineStr">
        <is>
          <t>Stormhawk Interceptor — 1 model (155 pts)</t>
        </is>
      </c>
      <c r="F1016" s="55" t="n">
        <v>155</v>
      </c>
      <c r="G1016" s="54" t="n">
        <v>32</v>
      </c>
      <c r="H1016" s="54" t="inlineStr">
        <is>
          <t>Uploaded PDF: Munitorum Field Manual v2.3 / March 2025</t>
        </is>
      </c>
    </row>
    <row r="1017">
      <c r="A1017" s="54" t="inlineStr">
        <is>
          <t>Space Marines</t>
        </is>
      </c>
      <c r="B1017" s="54" t="inlineStr">
        <is>
          <t>Stormraven Gunship</t>
        </is>
      </c>
      <c r="C1017" s="54" t="inlineStr">
        <is>
          <t>1 model</t>
        </is>
      </c>
      <c r="D1017" s="55" t="n">
        <v>280</v>
      </c>
      <c r="E1017" s="55" t="inlineStr">
        <is>
          <t>Stormraven Gunship — 1 model (280 pts)</t>
        </is>
      </c>
      <c r="F1017" s="55" t="n">
        <v>280</v>
      </c>
      <c r="G1017" s="54" t="n">
        <v>32</v>
      </c>
      <c r="H1017" s="54" t="inlineStr">
        <is>
          <t>Uploaded PDF: Munitorum Field Manual v2.3 / March 2025</t>
        </is>
      </c>
    </row>
    <row r="1018">
      <c r="A1018" s="54" t="inlineStr">
        <is>
          <t>Space Marines</t>
        </is>
      </c>
      <c r="B1018" s="54" t="inlineStr">
        <is>
          <t>Stormtalon Gunship</t>
        </is>
      </c>
      <c r="C1018" s="54" t="inlineStr">
        <is>
          <t>1 model</t>
        </is>
      </c>
      <c r="D1018" s="55" t="n">
        <v>165</v>
      </c>
      <c r="E1018" s="55" t="inlineStr">
        <is>
          <t>Stormtalon Gunship — 1 model (165 pts)</t>
        </is>
      </c>
      <c r="F1018" s="55" t="n">
        <v>165</v>
      </c>
      <c r="G1018" s="54" t="n">
        <v>32</v>
      </c>
      <c r="H1018" s="54" t="inlineStr">
        <is>
          <t>Uploaded PDF: Munitorum Field Manual v2.3 / March 2025</t>
        </is>
      </c>
    </row>
    <row r="1019">
      <c r="A1019" s="54" t="inlineStr">
        <is>
          <t>Space Marines</t>
        </is>
      </c>
      <c r="B1019" s="54" t="inlineStr">
        <is>
          <t>Suppressor Squad</t>
        </is>
      </c>
      <c r="C1019" s="54" t="inlineStr">
        <is>
          <t>3 models</t>
        </is>
      </c>
      <c r="D1019" s="55" t="n">
        <v>75</v>
      </c>
      <c r="E1019" s="55" t="inlineStr">
        <is>
          <t>Suppressor Squad — 3 models (75 pts)</t>
        </is>
      </c>
      <c r="F1019" s="55" t="n">
        <v>75</v>
      </c>
      <c r="G1019" s="54" t="n">
        <v>32</v>
      </c>
      <c r="H1019" s="54" t="inlineStr">
        <is>
          <t>Uploaded PDF: Munitorum Field Manual v2.3 / March 2025</t>
        </is>
      </c>
    </row>
    <row r="1020">
      <c r="A1020" s="54" t="inlineStr">
        <is>
          <t>Space Marines</t>
        </is>
      </c>
      <c r="B1020" s="54" t="inlineStr">
        <is>
          <t>Tactical Squad</t>
        </is>
      </c>
      <c r="C1020" s="54" t="inlineStr">
        <is>
          <t>10 models</t>
        </is>
      </c>
      <c r="D1020" s="55" t="n">
        <v>140</v>
      </c>
      <c r="E1020" s="55" t="inlineStr">
        <is>
          <t>Tactical Squad — 10 models (140 pts)</t>
        </is>
      </c>
      <c r="F1020" s="55" t="n">
        <v>140</v>
      </c>
      <c r="G1020" s="54" t="n">
        <v>32</v>
      </c>
      <c r="H1020" s="54" t="inlineStr">
        <is>
          <t>Uploaded PDF: Munitorum Field Manual v2.3 / March 2025</t>
        </is>
      </c>
    </row>
    <row r="1021">
      <c r="A1021" s="54" t="inlineStr">
        <is>
          <t>Space Marines</t>
        </is>
      </c>
      <c r="B1021" s="54" t="inlineStr">
        <is>
          <t>Techmarine</t>
        </is>
      </c>
      <c r="C1021" s="54" t="inlineStr">
        <is>
          <t>1 model</t>
        </is>
      </c>
      <c r="D1021" s="55" t="n">
        <v>55</v>
      </c>
      <c r="E1021" s="55" t="inlineStr">
        <is>
          <t>Techmarine — 1 model (55 pts)</t>
        </is>
      </c>
      <c r="F1021" s="55" t="n">
        <v>55</v>
      </c>
      <c r="G1021" s="54" t="n">
        <v>32</v>
      </c>
      <c r="H1021" s="54" t="inlineStr">
        <is>
          <t>Uploaded PDF: Munitorum Field Manual v2.3 / March 2025</t>
        </is>
      </c>
    </row>
    <row r="1022">
      <c r="A1022" s="54" t="inlineStr">
        <is>
          <t>Space Marines</t>
        </is>
      </c>
      <c r="B1022" s="54" t="inlineStr">
        <is>
          <t>Terminator Assault Squad</t>
        </is>
      </c>
      <c r="C1022" s="54" t="inlineStr">
        <is>
          <t>5 models</t>
        </is>
      </c>
      <c r="D1022" s="55" t="n">
        <v>180</v>
      </c>
      <c r="E1022" s="55" t="inlineStr">
        <is>
          <t>Terminator Assault Squad — 5 models (180 pts)</t>
        </is>
      </c>
      <c r="F1022" s="55" t="n">
        <v>180</v>
      </c>
      <c r="G1022" s="54" t="n">
        <v>32</v>
      </c>
      <c r="H1022" s="54" t="inlineStr">
        <is>
          <t>Uploaded PDF: Munitorum Field Manual v2.3 / March 2025</t>
        </is>
      </c>
    </row>
    <row r="1023">
      <c r="A1023" s="54" t="inlineStr">
        <is>
          <t>Space Marines</t>
        </is>
      </c>
      <c r="B1023" s="54" t="inlineStr">
        <is>
          <t>Terminator Assault Squad</t>
        </is>
      </c>
      <c r="C1023" s="54" t="inlineStr">
        <is>
          <t>10 models</t>
        </is>
      </c>
      <c r="D1023" s="55" t="n">
        <v>360</v>
      </c>
      <c r="E1023" s="55" t="inlineStr">
        <is>
          <t>Terminator Assault Squad — 10 models (360 pts)</t>
        </is>
      </c>
      <c r="F1023" s="55" t="n">
        <v>360</v>
      </c>
      <c r="G1023" s="54" t="n">
        <v>32</v>
      </c>
      <c r="H1023" s="54" t="inlineStr">
        <is>
          <t>Uploaded PDF: Munitorum Field Manual v2.3 / March 2025</t>
        </is>
      </c>
    </row>
    <row r="1024">
      <c r="A1024" s="54" t="inlineStr">
        <is>
          <t>Space Marines</t>
        </is>
      </c>
      <c r="B1024" s="54" t="inlineStr">
        <is>
          <t>Terminator Squad</t>
        </is>
      </c>
      <c r="C1024" s="54" t="inlineStr">
        <is>
          <t>5 models</t>
        </is>
      </c>
      <c r="D1024" s="55" t="n">
        <v>170</v>
      </c>
      <c r="E1024" s="55" t="inlineStr">
        <is>
          <t>Terminator Squad — 5 models (170 pts)</t>
        </is>
      </c>
      <c r="F1024" s="55" t="n">
        <v>170</v>
      </c>
      <c r="G1024" s="54" t="n">
        <v>32</v>
      </c>
      <c r="H1024" s="54" t="inlineStr">
        <is>
          <t>Uploaded PDF: Munitorum Field Manual v2.3 / March 2025</t>
        </is>
      </c>
    </row>
    <row r="1025">
      <c r="A1025" s="54" t="inlineStr">
        <is>
          <t>Space Marines</t>
        </is>
      </c>
      <c r="B1025" s="54" t="inlineStr">
        <is>
          <t>Terminator Squad</t>
        </is>
      </c>
      <c r="C1025" s="54" t="inlineStr">
        <is>
          <t>10 models</t>
        </is>
      </c>
      <c r="D1025" s="55" t="n">
        <v>340</v>
      </c>
      <c r="E1025" s="55" t="inlineStr">
        <is>
          <t>Terminator Squad — 10 models (340 pts)</t>
        </is>
      </c>
      <c r="F1025" s="55" t="n">
        <v>340</v>
      </c>
      <c r="G1025" s="54" t="n">
        <v>32</v>
      </c>
      <c r="H1025" s="54" t="inlineStr">
        <is>
          <t>Uploaded PDF: Munitorum Field Manual v2.3 / March 2025</t>
        </is>
      </c>
    </row>
    <row r="1026">
      <c r="A1026" s="54" t="inlineStr">
        <is>
          <t>Space Marines</t>
        </is>
      </c>
      <c r="B1026" s="54" t="inlineStr">
        <is>
          <t>Tor Garadon</t>
        </is>
      </c>
      <c r="C1026" s="54" t="inlineStr">
        <is>
          <t>1 model</t>
        </is>
      </c>
      <c r="D1026" s="55" t="n">
        <v>90</v>
      </c>
      <c r="E1026" s="55" t="inlineStr">
        <is>
          <t>Tor Garadon — 1 model (90 pts)</t>
        </is>
      </c>
      <c r="F1026" s="55" t="n">
        <v>90</v>
      </c>
      <c r="G1026" s="54" t="n">
        <v>32</v>
      </c>
      <c r="H1026" s="54" t="inlineStr">
        <is>
          <t>Uploaded PDF: Munitorum Field Manual v2.3 / March 2025</t>
        </is>
      </c>
    </row>
    <row r="1027">
      <c r="A1027" s="54" t="inlineStr">
        <is>
          <t>Space Marines</t>
        </is>
      </c>
      <c r="B1027" s="54" t="inlineStr">
        <is>
          <t>Uriel Ventris</t>
        </is>
      </c>
      <c r="C1027" s="54" t="inlineStr">
        <is>
          <t>1 model</t>
        </is>
      </c>
      <c r="D1027" s="55" t="n">
        <v>95</v>
      </c>
      <c r="E1027" s="55" t="inlineStr">
        <is>
          <t>Uriel Ventris — 1 model (95 pts)</t>
        </is>
      </c>
      <c r="F1027" s="55" t="n">
        <v>95</v>
      </c>
      <c r="G1027" s="54" t="n">
        <v>32</v>
      </c>
      <c r="H1027" s="54" t="inlineStr">
        <is>
          <t>Uploaded PDF: Munitorum Field Manual v2.3 / March 2025</t>
        </is>
      </c>
    </row>
    <row r="1028">
      <c r="A1028" s="54" t="inlineStr">
        <is>
          <t>Space Marines</t>
        </is>
      </c>
      <c r="B1028" s="54" t="inlineStr">
        <is>
          <t>Vanguard Veteran Squad with Jump Packs</t>
        </is>
      </c>
      <c r="C1028" s="54" t="inlineStr">
        <is>
          <t>5 models</t>
        </is>
      </c>
      <c r="D1028" s="55" t="n">
        <v>110</v>
      </c>
      <c r="E1028" s="55" t="inlineStr">
        <is>
          <t>Vanguard Veteran Squad with Jump Packs — 5 models (110 pts)</t>
        </is>
      </c>
      <c r="F1028" s="55" t="n">
        <v>110</v>
      </c>
      <c r="G1028" s="54" t="n">
        <v>32</v>
      </c>
      <c r="H1028" s="54" t="inlineStr">
        <is>
          <t>Uploaded PDF: Munitorum Field Manual v2.3 / March 2025</t>
        </is>
      </c>
    </row>
    <row r="1029">
      <c r="A1029" s="54" t="inlineStr">
        <is>
          <t>Space Marines</t>
        </is>
      </c>
      <c r="B1029" s="54" t="inlineStr">
        <is>
          <t>Vanguard Veteran Squad with Jump Packs</t>
        </is>
      </c>
      <c r="C1029" s="54" t="inlineStr">
        <is>
          <t>10 models</t>
        </is>
      </c>
      <c r="D1029" s="55" t="n">
        <v>220</v>
      </c>
      <c r="E1029" s="55" t="inlineStr">
        <is>
          <t>Vanguard Veteran Squad with Jump Packs — 10 models (220 pts)</t>
        </is>
      </c>
      <c r="F1029" s="55" t="n">
        <v>220</v>
      </c>
      <c r="G1029" s="54" t="n">
        <v>32</v>
      </c>
      <c r="H1029" s="54" t="inlineStr">
        <is>
          <t>Uploaded PDF: Munitorum Field Manual v2.3 / March 2025</t>
        </is>
      </c>
    </row>
    <row r="1030">
      <c r="A1030" s="54" t="inlineStr">
        <is>
          <t>Space Marines</t>
        </is>
      </c>
      <c r="B1030" s="54" t="inlineStr">
        <is>
          <t>Vindicator</t>
        </is>
      </c>
      <c r="C1030" s="54" t="inlineStr">
        <is>
          <t>1 model</t>
        </is>
      </c>
      <c r="D1030" s="55" t="n">
        <v>185</v>
      </c>
      <c r="E1030" s="55" t="inlineStr">
        <is>
          <t>Vindicator — 1 model (185 pts)</t>
        </is>
      </c>
      <c r="F1030" s="55" t="n">
        <v>185</v>
      </c>
      <c r="G1030" s="54" t="n">
        <v>32</v>
      </c>
      <c r="H1030" s="54" t="inlineStr">
        <is>
          <t>Uploaded PDF: Munitorum Field Manual v2.3 / March 2025</t>
        </is>
      </c>
    </row>
    <row r="1031">
      <c r="A1031" s="54" t="inlineStr">
        <is>
          <t>Space Marines</t>
        </is>
      </c>
      <c r="B1031" s="54" t="inlineStr">
        <is>
          <t>Vulkan He’stan</t>
        </is>
      </c>
      <c r="C1031" s="54" t="inlineStr">
        <is>
          <t>1 model</t>
        </is>
      </c>
      <c r="D1031" s="55" t="n">
        <v>100</v>
      </c>
      <c r="E1031" s="55" t="inlineStr">
        <is>
          <t>Vulkan He’stan — 1 model (100 pts)</t>
        </is>
      </c>
      <c r="F1031" s="55" t="n">
        <v>100</v>
      </c>
      <c r="G1031" s="54" t="n">
        <v>32</v>
      </c>
      <c r="H1031" s="54" t="inlineStr">
        <is>
          <t>Uploaded PDF: Munitorum Field Manual v2.3 / March 2025</t>
        </is>
      </c>
    </row>
    <row r="1032">
      <c r="A1032" s="54" t="inlineStr">
        <is>
          <t>Space Marines</t>
        </is>
      </c>
      <c r="B1032" s="54" t="inlineStr">
        <is>
          <t>Whirlwind</t>
        </is>
      </c>
      <c r="C1032" s="54" t="inlineStr">
        <is>
          <t>1 model</t>
        </is>
      </c>
      <c r="D1032" s="55" t="n">
        <v>190</v>
      </c>
      <c r="E1032" s="55" t="inlineStr">
        <is>
          <t>Whirlwind — 1 model (190 pts)</t>
        </is>
      </c>
      <c r="F1032" s="55" t="n">
        <v>190</v>
      </c>
      <c r="G1032" s="54" t="n">
        <v>32</v>
      </c>
      <c r="H1032" s="54" t="inlineStr">
        <is>
          <t>Uploaded PDF: Munitorum Field Manual v2.3 / March 2025</t>
        </is>
      </c>
    </row>
    <row r="1033">
      <c r="A1033" s="54" t="inlineStr">
        <is>
          <t>Space Marines</t>
        </is>
      </c>
      <c r="B1033" s="54" t="inlineStr">
        <is>
          <t>Astraeus</t>
        </is>
      </c>
      <c r="C1033" s="54" t="inlineStr">
        <is>
          <t>1 model</t>
        </is>
      </c>
      <c r="D1033" s="55" t="n">
        <v>525</v>
      </c>
      <c r="E1033" s="55" t="inlineStr">
        <is>
          <t>Astraeus — 1 model (525 pts)</t>
        </is>
      </c>
      <c r="F1033" s="55" t="n">
        <v>525</v>
      </c>
      <c r="G1033" s="54" t="n">
        <v>32</v>
      </c>
      <c r="H1033" s="54" t="inlineStr">
        <is>
          <t>Uploaded PDF: Munitorum Field Manual v2.3 / March 2025</t>
        </is>
      </c>
    </row>
    <row r="1034">
      <c r="A1034" s="54" t="inlineStr">
        <is>
          <t>Space Marines</t>
        </is>
      </c>
      <c r="B1034" s="54" t="inlineStr">
        <is>
          <t>Thunderhawk Gunship</t>
        </is>
      </c>
      <c r="C1034" s="54" t="inlineStr">
        <is>
          <t>1 model</t>
        </is>
      </c>
      <c r="D1034" s="55" t="n">
        <v>840</v>
      </c>
      <c r="E1034" s="55" t="inlineStr">
        <is>
          <t>Thunderhawk Gunship — 1 model (840 pts)</t>
        </is>
      </c>
      <c r="F1034" s="55" t="n">
        <v>840</v>
      </c>
      <c r="G1034" s="54" t="n">
        <v>32</v>
      </c>
      <c r="H1034" s="54" t="inlineStr">
        <is>
          <t>Uploaded PDF: Munitorum Field Manual v2.3 / March 2025</t>
        </is>
      </c>
    </row>
    <row r="1035">
      <c r="A1035" s="54" t="inlineStr">
        <is>
          <t>Space Wolves</t>
        </is>
      </c>
      <c r="B1035" s="54" t="inlineStr">
        <is>
          <t>Arjac Rockfist</t>
        </is>
      </c>
      <c r="C1035" s="54" t="inlineStr">
        <is>
          <t>1 model</t>
        </is>
      </c>
      <c r="D1035" s="55" t="n">
        <v>95</v>
      </c>
      <c r="E1035" s="55" t="inlineStr">
        <is>
          <t>Arjac Rockfist — 1 model (95 pts)</t>
        </is>
      </c>
      <c r="F1035" s="55" t="n">
        <v>95</v>
      </c>
      <c r="G1035" s="54" t="n">
        <v>33</v>
      </c>
      <c r="H1035" s="54" t="inlineStr">
        <is>
          <t>Uploaded PDF: Munitorum Field Manual v2.3 / March 2025</t>
        </is>
      </c>
    </row>
    <row r="1036">
      <c r="A1036" s="54" t="inlineStr">
        <is>
          <t>Space Wolves</t>
        </is>
      </c>
      <c r="B1036" s="54" t="inlineStr">
        <is>
          <t>Bjorn the Fell-Handed</t>
        </is>
      </c>
      <c r="C1036" s="54" t="inlineStr">
        <is>
          <t>1 model</t>
        </is>
      </c>
      <c r="D1036" s="55" t="n">
        <v>190</v>
      </c>
      <c r="E1036" s="55" t="inlineStr">
        <is>
          <t>Bjorn the Fell-Handed — 1 model (190 pts)</t>
        </is>
      </c>
      <c r="F1036" s="55" t="n">
        <v>190</v>
      </c>
      <c r="G1036" s="54" t="n">
        <v>33</v>
      </c>
      <c r="H1036" s="54" t="inlineStr">
        <is>
          <t>Uploaded PDF: Munitorum Field Manual v2.3 / March 2025</t>
        </is>
      </c>
    </row>
    <row r="1037">
      <c r="A1037" s="54" t="inlineStr">
        <is>
          <t>Space Wolves</t>
        </is>
      </c>
      <c r="B1037" s="54" t="inlineStr">
        <is>
          <t>Blood Claws</t>
        </is>
      </c>
      <c r="C1037" s="54" t="inlineStr">
        <is>
          <t>10 models</t>
        </is>
      </c>
      <c r="D1037" s="55" t="n">
        <v>140</v>
      </c>
      <c r="E1037" s="55" t="inlineStr">
        <is>
          <t>Blood Claws — 10 models (140 pts)</t>
        </is>
      </c>
      <c r="F1037" s="55" t="n">
        <v>140</v>
      </c>
      <c r="G1037" s="54" t="n">
        <v>33</v>
      </c>
      <c r="H1037" s="54" t="inlineStr">
        <is>
          <t>Uploaded PDF: Munitorum Field Manual v2.3 / March 2025</t>
        </is>
      </c>
    </row>
    <row r="1038">
      <c r="A1038" s="54" t="inlineStr">
        <is>
          <t>Space Wolves</t>
        </is>
      </c>
      <c r="B1038" s="54" t="inlineStr">
        <is>
          <t>Blood Claws</t>
        </is>
      </c>
      <c r="C1038" s="54" t="inlineStr">
        <is>
          <t>15 models</t>
        </is>
      </c>
      <c r="D1038" s="55" t="n">
        <v>210</v>
      </c>
      <c r="E1038" s="55" t="inlineStr">
        <is>
          <t>Blood Claws — 15 models (210 pts)</t>
        </is>
      </c>
      <c r="F1038" s="55" t="n">
        <v>210</v>
      </c>
      <c r="G1038" s="54" t="n">
        <v>33</v>
      </c>
      <c r="H1038" s="54" t="inlineStr">
        <is>
          <t>Uploaded PDF: Munitorum Field Manual v2.3 / March 2025</t>
        </is>
      </c>
    </row>
    <row r="1039">
      <c r="A1039" s="54" t="inlineStr">
        <is>
          <t>Space Wolves</t>
        </is>
      </c>
      <c r="B1039" s="54" t="inlineStr">
        <is>
          <t>Canis Wolfborn</t>
        </is>
      </c>
      <c r="C1039" s="54" t="inlineStr">
        <is>
          <t>1 model</t>
        </is>
      </c>
      <c r="D1039" s="55" t="n">
        <v>75</v>
      </c>
      <c r="E1039" s="55" t="inlineStr">
        <is>
          <t>Canis Wolfborn — 1 model (75 pts)</t>
        </is>
      </c>
      <c r="F1039" s="55" t="n">
        <v>75</v>
      </c>
      <c r="G1039" s="54" t="n">
        <v>33</v>
      </c>
      <c r="H1039" s="54" t="inlineStr">
        <is>
          <t>Uploaded PDF: Munitorum Field Manual v2.3 / March 2025</t>
        </is>
      </c>
    </row>
    <row r="1040">
      <c r="A1040" s="54" t="inlineStr">
        <is>
          <t>Space Wolves</t>
        </is>
      </c>
      <c r="B1040" s="54" t="inlineStr">
        <is>
          <t>Cyberwolf</t>
        </is>
      </c>
      <c r="C1040" s="54" t="inlineStr">
        <is>
          <t>1 model</t>
        </is>
      </c>
      <c r="D1040" s="55" t="n">
        <v>20</v>
      </c>
      <c r="E1040" s="55" t="inlineStr">
        <is>
          <t>Cyberwolf — 1 model (20 pts)</t>
        </is>
      </c>
      <c r="F1040" s="55" t="n">
        <v>20</v>
      </c>
      <c r="G1040" s="54" t="n">
        <v>33</v>
      </c>
      <c r="H1040" s="54" t="inlineStr">
        <is>
          <t>Uploaded PDF: Munitorum Field Manual v2.3 / March 2025</t>
        </is>
      </c>
    </row>
    <row r="1041">
      <c r="A1041" s="54" t="inlineStr">
        <is>
          <t>Space Wolves</t>
        </is>
      </c>
      <c r="B1041" s="54" t="inlineStr">
        <is>
          <t>Fenrisian Wolves</t>
        </is>
      </c>
      <c r="C1041" s="54" t="inlineStr">
        <is>
          <t>5 models</t>
        </is>
      </c>
      <c r="D1041" s="55" t="n">
        <v>30</v>
      </c>
      <c r="E1041" s="55" t="inlineStr">
        <is>
          <t>Fenrisian Wolves — 5 models (30 pts)</t>
        </is>
      </c>
      <c r="F1041" s="55" t="n">
        <v>30</v>
      </c>
      <c r="G1041" s="54" t="n">
        <v>33</v>
      </c>
      <c r="H1041" s="54" t="inlineStr">
        <is>
          <t>Uploaded PDF: Munitorum Field Manual v2.3 / March 2025</t>
        </is>
      </c>
    </row>
    <row r="1042">
      <c r="A1042" s="54" t="inlineStr">
        <is>
          <t>Space Wolves</t>
        </is>
      </c>
      <c r="B1042" s="54" t="inlineStr">
        <is>
          <t>Fenrisian Wolves</t>
        </is>
      </c>
      <c r="C1042" s="54" t="inlineStr">
        <is>
          <t>10 models</t>
        </is>
      </c>
      <c r="D1042" s="55" t="n">
        <v>60</v>
      </c>
      <c r="E1042" s="55" t="inlineStr">
        <is>
          <t>Fenrisian Wolves — 10 models (60 pts)</t>
        </is>
      </c>
      <c r="F1042" s="55" t="n">
        <v>60</v>
      </c>
      <c r="G1042" s="54" t="n">
        <v>33</v>
      </c>
      <c r="H1042" s="54" t="inlineStr">
        <is>
          <t>Uploaded PDF: Munitorum Field Manual v2.3 / March 2025</t>
        </is>
      </c>
    </row>
    <row r="1043">
      <c r="A1043" s="54" t="inlineStr">
        <is>
          <t>Space Wolves</t>
        </is>
      </c>
      <c r="B1043" s="54" t="inlineStr">
        <is>
          <t>Grey Hunters</t>
        </is>
      </c>
      <c r="C1043" s="54" t="inlineStr">
        <is>
          <t>5 models</t>
        </is>
      </c>
      <c r="D1043" s="55" t="n">
        <v>85</v>
      </c>
      <c r="E1043" s="55" t="inlineStr">
        <is>
          <t>Grey Hunters — 5 models (85 pts)</t>
        </is>
      </c>
      <c r="F1043" s="55" t="n">
        <v>85</v>
      </c>
      <c r="G1043" s="54" t="n">
        <v>33</v>
      </c>
      <c r="H1043" s="54" t="inlineStr">
        <is>
          <t>Uploaded PDF: Munitorum Field Manual v2.3 / March 2025</t>
        </is>
      </c>
    </row>
    <row r="1044">
      <c r="A1044" s="54" t="inlineStr">
        <is>
          <t>Space Wolves</t>
        </is>
      </c>
      <c r="B1044" s="54" t="inlineStr">
        <is>
          <t>Grey Hunters</t>
        </is>
      </c>
      <c r="C1044" s="54" t="inlineStr">
        <is>
          <t>10 models</t>
        </is>
      </c>
      <c r="D1044" s="55" t="n">
        <v>170</v>
      </c>
      <c r="E1044" s="55" t="inlineStr">
        <is>
          <t>Grey Hunters — 10 models (170 pts)</t>
        </is>
      </c>
      <c r="F1044" s="55" t="n">
        <v>170</v>
      </c>
      <c r="G1044" s="54" t="n">
        <v>33</v>
      </c>
      <c r="H1044" s="54" t="inlineStr">
        <is>
          <t>Uploaded PDF: Munitorum Field Manual v2.3 / March 2025</t>
        </is>
      </c>
    </row>
    <row r="1045">
      <c r="A1045" s="54" t="inlineStr">
        <is>
          <t>Space Wolves</t>
        </is>
      </c>
      <c r="B1045" s="54" t="inlineStr">
        <is>
          <t>Harald Deathwolf</t>
        </is>
      </c>
      <c r="C1045" s="54" t="inlineStr">
        <is>
          <t>1 model</t>
        </is>
      </c>
      <c r="D1045" s="55" t="n">
        <v>85</v>
      </c>
      <c r="E1045" s="55" t="inlineStr">
        <is>
          <t>Harald Deathwolf — 1 model (85 pts)</t>
        </is>
      </c>
      <c r="F1045" s="55" t="n">
        <v>85</v>
      </c>
      <c r="G1045" s="54" t="n">
        <v>33</v>
      </c>
      <c r="H1045" s="54" t="inlineStr">
        <is>
          <t>Uploaded PDF: Munitorum Field Manual v2.3 / March 2025</t>
        </is>
      </c>
    </row>
    <row r="1046">
      <c r="A1046" s="54" t="inlineStr">
        <is>
          <t>Space Wolves</t>
        </is>
      </c>
      <c r="B1046" s="54" t="inlineStr">
        <is>
          <t>Hounds of Morkai</t>
        </is>
      </c>
      <c r="C1046" s="54" t="inlineStr">
        <is>
          <t>5 models</t>
        </is>
      </c>
      <c r="D1046" s="55" t="n">
        <v>80</v>
      </c>
      <c r="E1046" s="55" t="inlineStr">
        <is>
          <t>Hounds of Morkai — 5 models (80 pts)</t>
        </is>
      </c>
      <c r="F1046" s="55" t="n">
        <v>80</v>
      </c>
      <c r="G1046" s="54" t="n">
        <v>33</v>
      </c>
      <c r="H1046" s="54" t="inlineStr">
        <is>
          <t>Uploaded PDF: Munitorum Field Manual v2.3 / March 2025</t>
        </is>
      </c>
    </row>
    <row r="1047">
      <c r="A1047" s="54" t="inlineStr">
        <is>
          <t>Space Wolves</t>
        </is>
      </c>
      <c r="B1047" s="54" t="inlineStr">
        <is>
          <t>Hounds of Morkai</t>
        </is>
      </c>
      <c r="C1047" s="54" t="inlineStr">
        <is>
          <t>10 models</t>
        </is>
      </c>
      <c r="D1047" s="55" t="n">
        <v>160</v>
      </c>
      <c r="E1047" s="55" t="inlineStr">
        <is>
          <t>Hounds of Morkai — 10 models (160 pts)</t>
        </is>
      </c>
      <c r="F1047" s="55" t="n">
        <v>160</v>
      </c>
      <c r="G1047" s="54" t="n">
        <v>33</v>
      </c>
      <c r="H1047" s="54" t="inlineStr">
        <is>
          <t>Uploaded PDF: Munitorum Field Manual v2.3 / March 2025</t>
        </is>
      </c>
    </row>
    <row r="1048">
      <c r="A1048" s="54" t="inlineStr">
        <is>
          <t>Space Wolves</t>
        </is>
      </c>
      <c r="B1048" s="54" t="inlineStr">
        <is>
          <t>Iron Priest</t>
        </is>
      </c>
      <c r="C1048" s="54" t="inlineStr">
        <is>
          <t>1 model</t>
        </is>
      </c>
      <c r="D1048" s="55" t="n">
        <v>60</v>
      </c>
      <c r="E1048" s="55" t="inlineStr">
        <is>
          <t>Iron Priest — 1 model (60 pts)</t>
        </is>
      </c>
      <c r="F1048" s="55" t="n">
        <v>60</v>
      </c>
      <c r="G1048" s="54" t="n">
        <v>33</v>
      </c>
      <c r="H1048" s="54" t="inlineStr">
        <is>
          <t>Uploaded PDF: Munitorum Field Manual v2.3 / March 2025</t>
        </is>
      </c>
    </row>
    <row r="1049">
      <c r="A1049" s="54" t="inlineStr">
        <is>
          <t>Space Wolves</t>
        </is>
      </c>
      <c r="B1049" s="54" t="inlineStr">
        <is>
          <t>Krom Dragongaze</t>
        </is>
      </c>
      <c r="C1049" s="54" t="inlineStr">
        <is>
          <t>1 model</t>
        </is>
      </c>
      <c r="D1049" s="55" t="n">
        <v>65</v>
      </c>
      <c r="E1049" s="55" t="inlineStr">
        <is>
          <t>Krom Dragongaze — 1 model (65 pts)</t>
        </is>
      </c>
      <c r="F1049" s="55" t="n">
        <v>65</v>
      </c>
      <c r="G1049" s="54" t="n">
        <v>33</v>
      </c>
      <c r="H1049" s="54" t="inlineStr">
        <is>
          <t>Uploaded PDF: Munitorum Field Manual v2.3 / March 2025</t>
        </is>
      </c>
    </row>
    <row r="1050">
      <c r="A1050" s="54" t="inlineStr">
        <is>
          <t>Space Wolves</t>
        </is>
      </c>
      <c r="B1050" s="54" t="inlineStr">
        <is>
          <t>Logan Grimnar</t>
        </is>
      </c>
      <c r="C1050" s="54" t="inlineStr">
        <is>
          <t>1 model</t>
        </is>
      </c>
      <c r="D1050" s="55" t="n">
        <v>115</v>
      </c>
      <c r="E1050" s="55" t="inlineStr">
        <is>
          <t>Logan Grimnar — 1 model (115 pts)</t>
        </is>
      </c>
      <c r="F1050" s="55" t="n">
        <v>115</v>
      </c>
      <c r="G1050" s="54" t="n">
        <v>33</v>
      </c>
      <c r="H1050" s="54" t="inlineStr">
        <is>
          <t>Uploaded PDF: Munitorum Field Manual v2.3 / March 2025</t>
        </is>
      </c>
    </row>
    <row r="1051">
      <c r="A1051" s="54" t="inlineStr">
        <is>
          <t>Space Wolves</t>
        </is>
      </c>
      <c r="B1051" s="54" t="inlineStr">
        <is>
          <t>Logan Grimnar on Stormrider</t>
        </is>
      </c>
      <c r="C1051" s="54" t="inlineStr">
        <is>
          <t>1 model</t>
        </is>
      </c>
      <c r="D1051" s="55" t="n">
        <v>180</v>
      </c>
      <c r="E1051" s="55" t="inlineStr">
        <is>
          <t>Logan Grimnar on Stormrider — 1 model (180 pts)</t>
        </is>
      </c>
      <c r="F1051" s="55" t="n">
        <v>180</v>
      </c>
      <c r="G1051" s="54" t="n">
        <v>33</v>
      </c>
      <c r="H1051" s="54" t="inlineStr">
        <is>
          <t>Uploaded PDF: Munitorum Field Manual v2.3 / March 2025</t>
        </is>
      </c>
    </row>
    <row r="1052">
      <c r="A1052" s="54" t="inlineStr">
        <is>
          <t>Space Wolves</t>
        </is>
      </c>
      <c r="B1052" s="54" t="inlineStr">
        <is>
          <t>Long Fangs</t>
        </is>
      </c>
      <c r="C1052" s="54" t="inlineStr">
        <is>
          <t>5 models</t>
        </is>
      </c>
      <c r="D1052" s="55" t="n">
        <v>120</v>
      </c>
      <c r="E1052" s="55" t="inlineStr">
        <is>
          <t>Long Fangs — 5 models (120 pts)</t>
        </is>
      </c>
      <c r="F1052" s="55" t="n">
        <v>120</v>
      </c>
      <c r="G1052" s="54" t="n">
        <v>33</v>
      </c>
      <c r="H1052" s="54" t="inlineStr">
        <is>
          <t>Uploaded PDF: Munitorum Field Manual v2.3 / March 2025</t>
        </is>
      </c>
    </row>
    <row r="1053">
      <c r="A1053" s="54" t="inlineStr">
        <is>
          <t>Space Wolves</t>
        </is>
      </c>
      <c r="B1053" s="54" t="inlineStr">
        <is>
          <t>Long Fangs</t>
        </is>
      </c>
      <c r="C1053" s="54" t="inlineStr">
        <is>
          <t>6 models</t>
        </is>
      </c>
      <c r="D1053" s="55" t="n">
        <v>145</v>
      </c>
      <c r="E1053" s="55" t="inlineStr">
        <is>
          <t>Long Fangs — 6 models (145 pts)</t>
        </is>
      </c>
      <c r="F1053" s="55" t="n">
        <v>145</v>
      </c>
      <c r="G1053" s="54" t="n">
        <v>33</v>
      </c>
      <c r="H1053" s="54" t="inlineStr">
        <is>
          <t>Uploaded PDF: Munitorum Field Manual v2.3 / March 2025</t>
        </is>
      </c>
    </row>
    <row r="1054">
      <c r="A1054" s="54" t="inlineStr">
        <is>
          <t>Space Wolves</t>
        </is>
      </c>
      <c r="B1054" s="54" t="inlineStr">
        <is>
          <t>Lukas the Trickster</t>
        </is>
      </c>
      <c r="C1054" s="54" t="inlineStr">
        <is>
          <t>1 model</t>
        </is>
      </c>
      <c r="D1054" s="55" t="n">
        <v>50</v>
      </c>
      <c r="E1054" s="55" t="inlineStr">
        <is>
          <t>Lukas the Trickster — 1 model (50 pts)</t>
        </is>
      </c>
      <c r="F1054" s="55" t="n">
        <v>50</v>
      </c>
      <c r="G1054" s="54" t="n">
        <v>33</v>
      </c>
      <c r="H1054" s="54" t="inlineStr">
        <is>
          <t>Uploaded PDF: Munitorum Field Manual v2.3 / March 2025</t>
        </is>
      </c>
    </row>
    <row r="1055">
      <c r="A1055" s="54" t="inlineStr">
        <is>
          <t>Space Wolves</t>
        </is>
      </c>
      <c r="B1055" s="54" t="inlineStr">
        <is>
          <t>Murderfang</t>
        </is>
      </c>
      <c r="C1055" s="54" t="inlineStr">
        <is>
          <t>1 model</t>
        </is>
      </c>
      <c r="D1055" s="55" t="n">
        <v>170</v>
      </c>
      <c r="E1055" s="55" t="inlineStr">
        <is>
          <t>Murderfang — 1 model (170 pts)</t>
        </is>
      </c>
      <c r="F1055" s="55" t="n">
        <v>170</v>
      </c>
      <c r="G1055" s="54" t="n">
        <v>33</v>
      </c>
      <c r="H1055" s="54" t="inlineStr">
        <is>
          <t>Uploaded PDF: Munitorum Field Manual v2.3 / March 2025</t>
        </is>
      </c>
    </row>
    <row r="1056">
      <c r="A1056" s="54" t="inlineStr">
        <is>
          <t>Space Wolves</t>
        </is>
      </c>
      <c r="B1056" s="54" t="inlineStr">
        <is>
          <t>Njal Stormcaller</t>
        </is>
      </c>
      <c r="C1056" s="54" t="inlineStr">
        <is>
          <t>1 model</t>
        </is>
      </c>
      <c r="D1056" s="55" t="n">
        <v>85</v>
      </c>
      <c r="E1056" s="55" t="inlineStr">
        <is>
          <t>Njal Stormcaller — 1 model (85 pts)</t>
        </is>
      </c>
      <c r="F1056" s="55" t="n">
        <v>85</v>
      </c>
      <c r="G1056" s="54" t="n">
        <v>33</v>
      </c>
      <c r="H1056" s="54" t="inlineStr">
        <is>
          <t>Uploaded PDF: Munitorum Field Manual v2.3 / March 2025</t>
        </is>
      </c>
    </row>
    <row r="1057">
      <c r="A1057" s="54" t="inlineStr">
        <is>
          <t>Space Wolves</t>
        </is>
      </c>
      <c r="B1057" s="54" t="inlineStr">
        <is>
          <t>Ragnar Blackmane</t>
        </is>
      </c>
      <c r="C1057" s="54" t="inlineStr">
        <is>
          <t>1 model</t>
        </is>
      </c>
      <c r="D1057" s="55" t="n">
        <v>90</v>
      </c>
      <c r="E1057" s="55" t="inlineStr">
        <is>
          <t>Ragnar Blackmane — 1 model (90 pts)</t>
        </is>
      </c>
      <c r="F1057" s="55" t="n">
        <v>90</v>
      </c>
      <c r="G1057" s="54" t="n">
        <v>33</v>
      </c>
      <c r="H1057" s="54" t="inlineStr">
        <is>
          <t>Uploaded PDF: Munitorum Field Manual v2.3 / March 2025</t>
        </is>
      </c>
    </row>
    <row r="1058">
      <c r="A1058" s="54" t="inlineStr">
        <is>
          <t>Space Wolves</t>
        </is>
      </c>
      <c r="B1058" s="54" t="inlineStr">
        <is>
          <t>Skyclaws</t>
        </is>
      </c>
      <c r="C1058" s="54" t="inlineStr">
        <is>
          <t>5 models</t>
        </is>
      </c>
      <c r="D1058" s="55" t="n">
        <v>90</v>
      </c>
      <c r="E1058" s="55" t="inlineStr">
        <is>
          <t>Skyclaws — 5 models (90 pts)</t>
        </is>
      </c>
      <c r="F1058" s="55" t="n">
        <v>90</v>
      </c>
      <c r="G1058" s="54" t="n">
        <v>33</v>
      </c>
      <c r="H1058" s="54" t="inlineStr">
        <is>
          <t>Uploaded PDF: Munitorum Field Manual v2.3 / March 2025</t>
        </is>
      </c>
    </row>
    <row r="1059">
      <c r="A1059" s="54" t="inlineStr">
        <is>
          <t>Space Wolves</t>
        </is>
      </c>
      <c r="B1059" s="54" t="inlineStr">
        <is>
          <t>Skyclaws</t>
        </is>
      </c>
      <c r="C1059" s="54" t="inlineStr">
        <is>
          <t>10 models</t>
        </is>
      </c>
      <c r="D1059" s="55" t="n">
        <v>165</v>
      </c>
      <c r="E1059" s="55" t="inlineStr">
        <is>
          <t>Skyclaws — 10 models (165 pts)</t>
        </is>
      </c>
      <c r="F1059" s="55" t="n">
        <v>165</v>
      </c>
      <c r="G1059" s="54" t="n">
        <v>33</v>
      </c>
      <c r="H1059" s="54" t="inlineStr">
        <is>
          <t>Uploaded PDF: Munitorum Field Manual v2.3 / March 2025</t>
        </is>
      </c>
    </row>
    <row r="1060">
      <c r="A1060" s="54" t="inlineStr">
        <is>
          <t>Space Wolves</t>
        </is>
      </c>
      <c r="B1060" s="54" t="inlineStr">
        <is>
          <t>Skyclaws</t>
        </is>
      </c>
      <c r="C1060" s="54" t="inlineStr">
        <is>
          <t>15 models</t>
        </is>
      </c>
      <c r="D1060" s="55" t="n">
        <v>240</v>
      </c>
      <c r="E1060" s="55" t="inlineStr">
        <is>
          <t>Skyclaws — 15 models (240 pts)</t>
        </is>
      </c>
      <c r="F1060" s="55" t="n">
        <v>240</v>
      </c>
      <c r="G1060" s="54" t="n">
        <v>33</v>
      </c>
      <c r="H1060" s="54" t="inlineStr">
        <is>
          <t>Uploaded PDF: Munitorum Field Manual v2.3 / March 2025</t>
        </is>
      </c>
    </row>
    <row r="1061">
      <c r="A1061" s="54" t="inlineStr">
        <is>
          <t>Space Wolves</t>
        </is>
      </c>
      <c r="B1061" s="54" t="inlineStr">
        <is>
          <t>Space Wolves Venerable Dreadnought</t>
        </is>
      </c>
      <c r="C1061" s="54" t="inlineStr">
        <is>
          <t>1 model</t>
        </is>
      </c>
      <c r="D1061" s="55" t="n">
        <v>155</v>
      </c>
      <c r="E1061" s="55" t="inlineStr">
        <is>
          <t>Space Wolves Venerable Dreadnought — 1 model (155 pts)</t>
        </is>
      </c>
      <c r="F1061" s="55" t="n">
        <v>155</v>
      </c>
      <c r="G1061" s="54" t="n">
        <v>33</v>
      </c>
      <c r="H1061" s="54" t="inlineStr">
        <is>
          <t>Uploaded PDF: Munitorum Field Manual v2.3 / March 2025</t>
        </is>
      </c>
    </row>
    <row r="1062">
      <c r="A1062" s="54" t="inlineStr">
        <is>
          <t>Space Wolves</t>
        </is>
      </c>
      <c r="B1062" s="54" t="inlineStr">
        <is>
          <t>Stormfang Gunship</t>
        </is>
      </c>
      <c r="C1062" s="54" t="inlineStr">
        <is>
          <t>1 model</t>
        </is>
      </c>
      <c r="D1062" s="55" t="n">
        <v>300</v>
      </c>
      <c r="E1062" s="55" t="inlineStr">
        <is>
          <t>Stormfang Gunship — 1 model (300 pts)</t>
        </is>
      </c>
      <c r="F1062" s="55" t="n">
        <v>300</v>
      </c>
      <c r="G1062" s="54" t="n">
        <v>33</v>
      </c>
      <c r="H1062" s="54" t="inlineStr">
        <is>
          <t>Uploaded PDF: Munitorum Field Manual v2.3 / March 2025</t>
        </is>
      </c>
    </row>
    <row r="1063">
      <c r="A1063" s="54" t="inlineStr">
        <is>
          <t>Space Wolves</t>
        </is>
      </c>
      <c r="B1063" s="54" t="inlineStr">
        <is>
          <t>Stormwolf</t>
        </is>
      </c>
      <c r="C1063" s="54" t="inlineStr">
        <is>
          <t>1 model</t>
        </is>
      </c>
      <c r="D1063" s="55" t="n">
        <v>250</v>
      </c>
      <c r="E1063" s="55" t="inlineStr">
        <is>
          <t>Stormwolf — 1 model (250 pts)</t>
        </is>
      </c>
      <c r="F1063" s="55" t="n">
        <v>250</v>
      </c>
      <c r="G1063" s="54" t="n">
        <v>33</v>
      </c>
      <c r="H1063" s="54" t="inlineStr">
        <is>
          <t>Uploaded PDF: Munitorum Field Manual v2.3 / March 2025</t>
        </is>
      </c>
    </row>
    <row r="1064">
      <c r="A1064" s="54" t="inlineStr">
        <is>
          <t>Space Wolves</t>
        </is>
      </c>
      <c r="B1064" s="54" t="inlineStr">
        <is>
          <t>Thunderwolf Cavalry</t>
        </is>
      </c>
      <c r="C1064" s="54" t="inlineStr">
        <is>
          <t>3 models</t>
        </is>
      </c>
      <c r="D1064" s="55" t="n">
        <v>120</v>
      </c>
      <c r="E1064" s="55" t="inlineStr">
        <is>
          <t>Thunderwolf Cavalry — 3 models (120 pts)</t>
        </is>
      </c>
      <c r="F1064" s="55" t="n">
        <v>120</v>
      </c>
      <c r="G1064" s="54" t="n">
        <v>33</v>
      </c>
      <c r="H1064" s="54" t="inlineStr">
        <is>
          <t>Uploaded PDF: Munitorum Field Manual v2.3 / March 2025</t>
        </is>
      </c>
    </row>
    <row r="1065">
      <c r="A1065" s="54" t="inlineStr">
        <is>
          <t>Space Wolves</t>
        </is>
      </c>
      <c r="B1065" s="54" t="inlineStr">
        <is>
          <t>Thunderwolf Cavalry</t>
        </is>
      </c>
      <c r="C1065" s="54" t="inlineStr">
        <is>
          <t>6 models</t>
        </is>
      </c>
      <c r="D1065" s="55" t="n">
        <v>240</v>
      </c>
      <c r="E1065" s="55" t="inlineStr">
        <is>
          <t>Thunderwolf Cavalry — 6 models (240 pts)</t>
        </is>
      </c>
      <c r="F1065" s="55" t="n">
        <v>240</v>
      </c>
      <c r="G1065" s="54" t="n">
        <v>33</v>
      </c>
      <c r="H1065" s="54" t="inlineStr">
        <is>
          <t>Uploaded PDF: Munitorum Field Manual v2.3 / March 2025</t>
        </is>
      </c>
    </row>
    <row r="1066">
      <c r="A1066" s="54" t="inlineStr">
        <is>
          <t>Space Wolves</t>
        </is>
      </c>
      <c r="B1066" s="54" t="inlineStr">
        <is>
          <t>Ulrik the Slayer</t>
        </is>
      </c>
      <c r="C1066" s="54" t="inlineStr">
        <is>
          <t>1 model</t>
        </is>
      </c>
      <c r="D1066" s="55" t="n">
        <v>70</v>
      </c>
      <c r="E1066" s="55" t="inlineStr">
        <is>
          <t>Ulrik the Slayer — 1 model (70 pts)</t>
        </is>
      </c>
      <c r="F1066" s="55" t="n">
        <v>70</v>
      </c>
      <c r="G1066" s="54" t="n">
        <v>33</v>
      </c>
      <c r="H1066" s="54" t="inlineStr">
        <is>
          <t>Uploaded PDF: Munitorum Field Manual v2.3 / March 2025</t>
        </is>
      </c>
    </row>
    <row r="1067">
      <c r="A1067" s="54" t="inlineStr">
        <is>
          <t>Space Wolves</t>
        </is>
      </c>
      <c r="B1067" s="54" t="inlineStr">
        <is>
          <t>Wolf Guard</t>
        </is>
      </c>
      <c r="C1067" s="54" t="inlineStr">
        <is>
          <t>5 models</t>
        </is>
      </c>
      <c r="D1067" s="55" t="n">
        <v>85</v>
      </c>
      <c r="E1067" s="55" t="inlineStr">
        <is>
          <t>Wolf Guard — 5 models (85 pts)</t>
        </is>
      </c>
      <c r="F1067" s="55" t="n">
        <v>85</v>
      </c>
      <c r="G1067" s="54" t="n">
        <v>33</v>
      </c>
      <c r="H1067" s="54" t="inlineStr">
        <is>
          <t>Uploaded PDF: Munitorum Field Manual v2.3 / March 2025</t>
        </is>
      </c>
    </row>
    <row r="1068">
      <c r="A1068" s="54" t="inlineStr">
        <is>
          <t>Space Wolves</t>
        </is>
      </c>
      <c r="B1068" s="54" t="inlineStr">
        <is>
          <t>Wolf Guard</t>
        </is>
      </c>
      <c r="C1068" s="54" t="inlineStr">
        <is>
          <t>10 models</t>
        </is>
      </c>
      <c r="D1068" s="55" t="n">
        <v>170</v>
      </c>
      <c r="E1068" s="55" t="inlineStr">
        <is>
          <t>Wolf Guard — 10 models (170 pts)</t>
        </is>
      </c>
      <c r="F1068" s="55" t="n">
        <v>170</v>
      </c>
      <c r="G1068" s="54" t="n">
        <v>33</v>
      </c>
      <c r="H1068" s="54" t="inlineStr">
        <is>
          <t>Uploaded PDF: Munitorum Field Manual v2.3 / March 2025</t>
        </is>
      </c>
    </row>
    <row r="1069">
      <c r="A1069" s="54" t="inlineStr">
        <is>
          <t>Space Wolves</t>
        </is>
      </c>
      <c r="B1069" s="54" t="inlineStr">
        <is>
          <t>Wolf Guard Battle Leader in Terminator Armour</t>
        </is>
      </c>
      <c r="C1069" s="54" t="inlineStr">
        <is>
          <t>1 model</t>
        </is>
      </c>
      <c r="D1069" s="55" t="n">
        <v>75</v>
      </c>
      <c r="E1069" s="55" t="inlineStr">
        <is>
          <t>Wolf Guard Battle Leader in Terminator Armour — 1 model (75 pts)</t>
        </is>
      </c>
      <c r="F1069" s="55" t="n">
        <v>75</v>
      </c>
      <c r="G1069" s="54" t="n">
        <v>33</v>
      </c>
      <c r="H1069" s="54" t="inlineStr">
        <is>
          <t>Uploaded PDF: Munitorum Field Manual v2.3 / March 2025</t>
        </is>
      </c>
    </row>
    <row r="1070">
      <c r="A1070" s="54" t="inlineStr">
        <is>
          <t>Space Wolves</t>
        </is>
      </c>
      <c r="B1070" s="54" t="inlineStr">
        <is>
          <t>Wolf Guard Battle Leader on Thunderwolf</t>
        </is>
      </c>
      <c r="C1070" s="54" t="inlineStr">
        <is>
          <t>1 model</t>
        </is>
      </c>
      <c r="D1070" s="55" t="n">
        <v>80</v>
      </c>
      <c r="E1070" s="55" t="inlineStr">
        <is>
          <t>Wolf Guard Battle Leader on Thunderwolf — 1 model (80 pts)</t>
        </is>
      </c>
      <c r="F1070" s="55" t="n">
        <v>80</v>
      </c>
      <c r="G1070" s="54" t="n">
        <v>33</v>
      </c>
      <c r="H1070" s="54" t="inlineStr">
        <is>
          <t>Uploaded PDF: Munitorum Field Manual v2.3 / March 2025</t>
        </is>
      </c>
    </row>
    <row r="1071">
      <c r="A1071" s="54" t="inlineStr">
        <is>
          <t>Space Wolves</t>
        </is>
      </c>
      <c r="B1071" s="54" t="inlineStr">
        <is>
          <t>Wolf Guard Pack Leader</t>
        </is>
      </c>
      <c r="C1071" s="54" t="inlineStr">
        <is>
          <t>1 model</t>
        </is>
      </c>
      <c r="D1071" s="55" t="n">
        <v>30</v>
      </c>
      <c r="E1071" s="55" t="inlineStr">
        <is>
          <t>Wolf Guard Pack Leader — 1 model (30 pts)</t>
        </is>
      </c>
      <c r="F1071" s="55" t="n">
        <v>30</v>
      </c>
      <c r="G1071" s="54" t="n">
        <v>33</v>
      </c>
      <c r="H1071" s="54" t="inlineStr">
        <is>
          <t>Uploaded PDF: Munitorum Field Manual v2.3 / March 2025</t>
        </is>
      </c>
    </row>
    <row r="1072">
      <c r="A1072" s="54" t="inlineStr">
        <is>
          <t>Space Wolves</t>
        </is>
      </c>
      <c r="B1072" s="54" t="inlineStr">
        <is>
          <t>Wolf Guard Pack Leader in Terminator Armour</t>
        </is>
      </c>
      <c r="C1072" s="54" t="inlineStr">
        <is>
          <t>1 model</t>
        </is>
      </c>
      <c r="D1072" s="55" t="n">
        <v>40</v>
      </c>
      <c r="E1072" s="55" t="inlineStr">
        <is>
          <t>Wolf Guard Pack Leader in Terminator Armour — 1 model (40 pts)</t>
        </is>
      </c>
      <c r="F1072" s="55" t="n">
        <v>40</v>
      </c>
      <c r="G1072" s="54" t="n">
        <v>33</v>
      </c>
      <c r="H1072" s="54" t="inlineStr">
        <is>
          <t>Uploaded PDF: Munitorum Field Manual v2.3 / March 2025</t>
        </is>
      </c>
    </row>
    <row r="1073">
      <c r="A1073" s="54" t="inlineStr">
        <is>
          <t>Space Wolves</t>
        </is>
      </c>
      <c r="B1073" s="54" t="inlineStr">
        <is>
          <t>Wolf Guard Pack Leader with Jump Pack</t>
        </is>
      </c>
      <c r="C1073" s="54" t="inlineStr">
        <is>
          <t>1 model</t>
        </is>
      </c>
      <c r="D1073" s="55" t="n">
        <v>35</v>
      </c>
      <c r="E1073" s="55" t="inlineStr">
        <is>
          <t>Wolf Guard Pack Leader with Jump Pack — 1 model (35 pts)</t>
        </is>
      </c>
      <c r="F1073" s="55" t="n">
        <v>35</v>
      </c>
      <c r="G1073" s="54" t="n">
        <v>33</v>
      </c>
      <c r="H1073" s="54" t="inlineStr">
        <is>
          <t>Uploaded PDF: Munitorum Field Manual v2.3 / March 2025</t>
        </is>
      </c>
    </row>
    <row r="1074">
      <c r="A1074" s="54" t="inlineStr">
        <is>
          <t>Space Wolves</t>
        </is>
      </c>
      <c r="B1074" s="54" t="inlineStr">
        <is>
          <t>Wolf Guard Terminators</t>
        </is>
      </c>
      <c r="C1074" s="54" t="inlineStr">
        <is>
          <t>5 models</t>
        </is>
      </c>
      <c r="D1074" s="55" t="n">
        <v>185</v>
      </c>
      <c r="E1074" s="55" t="inlineStr">
        <is>
          <t>Wolf Guard Terminators — 5 models (185 pts)</t>
        </is>
      </c>
      <c r="F1074" s="55" t="n">
        <v>185</v>
      </c>
      <c r="G1074" s="54" t="n">
        <v>33</v>
      </c>
      <c r="H1074" s="54" t="inlineStr">
        <is>
          <t>Uploaded PDF: Munitorum Field Manual v2.3 / March 2025</t>
        </is>
      </c>
    </row>
    <row r="1075">
      <c r="A1075" s="54" t="inlineStr">
        <is>
          <t>Space Wolves</t>
        </is>
      </c>
      <c r="B1075" s="54" t="inlineStr">
        <is>
          <t>Wolf Guard Terminators</t>
        </is>
      </c>
      <c r="C1075" s="54" t="inlineStr">
        <is>
          <t>10 models</t>
        </is>
      </c>
      <c r="D1075" s="55" t="n">
        <v>370</v>
      </c>
      <c r="E1075" s="55" t="inlineStr">
        <is>
          <t>Wolf Guard Terminators — 10 models (370 pts)</t>
        </is>
      </c>
      <c r="F1075" s="55" t="n">
        <v>370</v>
      </c>
      <c r="G1075" s="54" t="n">
        <v>33</v>
      </c>
      <c r="H1075" s="54" t="inlineStr">
        <is>
          <t>Uploaded PDF: Munitorum Field Manual v2.3 / March 2025</t>
        </is>
      </c>
    </row>
    <row r="1076">
      <c r="A1076" s="54" t="inlineStr">
        <is>
          <t>Space Wolves</t>
        </is>
      </c>
      <c r="B1076" s="54" t="inlineStr">
        <is>
          <t>Wolf Lord on Thunderwolf</t>
        </is>
      </c>
      <c r="C1076" s="54" t="inlineStr">
        <is>
          <t>1 model</t>
        </is>
      </c>
      <c r="D1076" s="55" t="n">
        <v>100</v>
      </c>
      <c r="E1076" s="55" t="inlineStr">
        <is>
          <t>Wolf Lord on Thunderwolf — 1 model (100 pts)</t>
        </is>
      </c>
      <c r="F1076" s="55" t="n">
        <v>100</v>
      </c>
      <c r="G1076" s="54" t="n">
        <v>33</v>
      </c>
      <c r="H1076" s="54" t="inlineStr">
        <is>
          <t>Uploaded PDF: Munitorum Field Manual v2.3 / March 2025</t>
        </is>
      </c>
    </row>
    <row r="1077">
      <c r="A1077" s="54" t="inlineStr">
        <is>
          <t>Space Wolves</t>
        </is>
      </c>
      <c r="B1077" s="54" t="inlineStr">
        <is>
          <t>Wolf Scouts</t>
        </is>
      </c>
      <c r="C1077" s="54" t="inlineStr">
        <is>
          <t>5 models</t>
        </is>
      </c>
      <c r="D1077" s="55" t="n">
        <v>80</v>
      </c>
      <c r="E1077" s="55" t="inlineStr">
        <is>
          <t>Wolf Scouts — 5 models (80 pts)</t>
        </is>
      </c>
      <c r="F1077" s="55" t="n">
        <v>80</v>
      </c>
      <c r="G1077" s="54" t="n">
        <v>33</v>
      </c>
      <c r="H1077" s="54" t="inlineStr">
        <is>
          <t>Uploaded PDF: Munitorum Field Manual v2.3 / March 2025</t>
        </is>
      </c>
    </row>
    <row r="1078">
      <c r="A1078" s="54" t="inlineStr">
        <is>
          <t>Space Wolves</t>
        </is>
      </c>
      <c r="B1078" s="54" t="inlineStr">
        <is>
          <t>Wolf Scouts</t>
        </is>
      </c>
      <c r="C1078" s="54" t="inlineStr">
        <is>
          <t>10 models</t>
        </is>
      </c>
      <c r="D1078" s="55" t="n">
        <v>160</v>
      </c>
      <c r="E1078" s="55" t="inlineStr">
        <is>
          <t>Wolf Scouts — 10 models (160 pts)</t>
        </is>
      </c>
      <c r="F1078" s="55" t="n">
        <v>160</v>
      </c>
      <c r="G1078" s="54" t="n">
        <v>33</v>
      </c>
      <c r="H1078" s="54" t="inlineStr">
        <is>
          <t>Uploaded PDF: Munitorum Field Manual v2.3 / March 2025</t>
        </is>
      </c>
    </row>
    <row r="1079">
      <c r="A1079" s="54" t="inlineStr">
        <is>
          <t>Space Wolves</t>
        </is>
      </c>
      <c r="B1079" s="54" t="inlineStr">
        <is>
          <t>Wulfen</t>
        </is>
      </c>
      <c r="C1079" s="54" t="inlineStr">
        <is>
          <t>5 models</t>
        </is>
      </c>
      <c r="D1079" s="55" t="n">
        <v>95</v>
      </c>
      <c r="E1079" s="55" t="inlineStr">
        <is>
          <t>Wulfen — 5 models (95 pts)</t>
        </is>
      </c>
      <c r="F1079" s="55" t="n">
        <v>95</v>
      </c>
      <c r="G1079" s="54" t="n">
        <v>33</v>
      </c>
      <c r="H1079" s="54" t="inlineStr">
        <is>
          <t>Uploaded PDF: Munitorum Field Manual v2.3 / March 2025</t>
        </is>
      </c>
    </row>
    <row r="1080">
      <c r="A1080" s="54" t="inlineStr">
        <is>
          <t>Space Wolves</t>
        </is>
      </c>
      <c r="B1080" s="54" t="inlineStr">
        <is>
          <t>Wulfen</t>
        </is>
      </c>
      <c r="C1080" s="54" t="inlineStr">
        <is>
          <t>10 models</t>
        </is>
      </c>
      <c r="D1080" s="55" t="n">
        <v>190</v>
      </c>
      <c r="E1080" s="55" t="inlineStr">
        <is>
          <t>Wulfen — 10 models (190 pts)</t>
        </is>
      </c>
      <c r="F1080" s="55" t="n">
        <v>190</v>
      </c>
      <c r="G1080" s="54" t="n">
        <v>33</v>
      </c>
      <c r="H1080" s="54" t="inlineStr">
        <is>
          <t>Uploaded PDF: Munitorum Field Manual v2.3 / March 2025</t>
        </is>
      </c>
    </row>
    <row r="1081">
      <c r="A1081" s="54" t="inlineStr">
        <is>
          <t>Space Wolves</t>
        </is>
      </c>
      <c r="B1081" s="54" t="inlineStr">
        <is>
          <t>Wulfen Dreadnought</t>
        </is>
      </c>
      <c r="C1081" s="54" t="inlineStr">
        <is>
          <t>1 model</t>
        </is>
      </c>
      <c r="D1081" s="55" t="n">
        <v>130</v>
      </c>
      <c r="E1081" s="55" t="inlineStr">
        <is>
          <t>Wulfen Dreadnought — 1 model (130 pts)</t>
        </is>
      </c>
      <c r="F1081" s="55" t="n">
        <v>130</v>
      </c>
      <c r="G1081" s="54" t="n">
        <v>33</v>
      </c>
      <c r="H1081" s="54" t="inlineStr">
        <is>
          <t>Uploaded PDF: Munitorum Field Manual v2.3 / March 2025</t>
        </is>
      </c>
    </row>
    <row r="1082">
      <c r="A1082" s="54" t="inlineStr">
        <is>
          <t>T'au Empire</t>
        </is>
      </c>
      <c r="B1082" s="54" t="inlineStr">
        <is>
          <t>Breacher Team</t>
        </is>
      </c>
      <c r="C1082" s="54" t="inlineStr">
        <is>
          <t>10 models</t>
        </is>
      </c>
      <c r="D1082" s="55" t="n">
        <v>100</v>
      </c>
      <c r="E1082" s="55" t="inlineStr">
        <is>
          <t>Breacher Team — 10 models (100 pts)</t>
        </is>
      </c>
      <c r="F1082" s="55" t="n">
        <v>100</v>
      </c>
      <c r="G1082" s="54" t="n">
        <v>34</v>
      </c>
      <c r="H1082" s="54" t="inlineStr">
        <is>
          <t>Uploaded PDF: Munitorum Field Manual v2.3 / March 2025</t>
        </is>
      </c>
    </row>
    <row r="1083">
      <c r="A1083" s="54" t="inlineStr">
        <is>
          <t>T'au Empire</t>
        </is>
      </c>
      <c r="B1083" s="54" t="inlineStr">
        <is>
          <t>Broadside Battlesuits</t>
        </is>
      </c>
      <c r="C1083" s="54" t="inlineStr">
        <is>
          <t>1 model</t>
        </is>
      </c>
      <c r="D1083" s="55" t="n">
        <v>90</v>
      </c>
      <c r="E1083" s="55" t="inlineStr">
        <is>
          <t>Broadside Battlesuits — 1 model (90 pts)</t>
        </is>
      </c>
      <c r="F1083" s="55" t="n">
        <v>90</v>
      </c>
      <c r="G1083" s="54" t="n">
        <v>34</v>
      </c>
      <c r="H1083" s="54" t="inlineStr">
        <is>
          <t>Uploaded PDF: Munitorum Field Manual v2.3 / March 2025</t>
        </is>
      </c>
    </row>
    <row r="1084">
      <c r="A1084" s="54" t="inlineStr">
        <is>
          <t>T'au Empire</t>
        </is>
      </c>
      <c r="B1084" s="54" t="inlineStr">
        <is>
          <t>Broadside Battlesuits</t>
        </is>
      </c>
      <c r="C1084" s="54" t="inlineStr">
        <is>
          <t>2 models</t>
        </is>
      </c>
      <c r="D1084" s="55" t="n">
        <v>180</v>
      </c>
      <c r="E1084" s="55" t="inlineStr">
        <is>
          <t>Broadside Battlesuits — 2 models (180 pts)</t>
        </is>
      </c>
      <c r="F1084" s="55" t="n">
        <v>180</v>
      </c>
      <c r="G1084" s="54" t="n">
        <v>34</v>
      </c>
      <c r="H1084" s="54" t="inlineStr">
        <is>
          <t>Uploaded PDF: Munitorum Field Manual v2.3 / March 2025</t>
        </is>
      </c>
    </row>
    <row r="1085">
      <c r="A1085" s="54" t="inlineStr">
        <is>
          <t>T'au Empire</t>
        </is>
      </c>
      <c r="B1085" s="54" t="inlineStr">
        <is>
          <t>Broadside Battlesuits</t>
        </is>
      </c>
      <c r="C1085" s="54" t="inlineStr">
        <is>
          <t>3 models</t>
        </is>
      </c>
      <c r="D1085" s="55" t="n">
        <v>300</v>
      </c>
      <c r="E1085" s="55" t="inlineStr">
        <is>
          <t>Broadside Battlesuits — 3 models (300 pts)</t>
        </is>
      </c>
      <c r="F1085" s="55" t="n">
        <v>300</v>
      </c>
      <c r="G1085" s="54" t="n">
        <v>34</v>
      </c>
      <c r="H1085" s="54" t="inlineStr">
        <is>
          <t>Uploaded PDF: Munitorum Field Manual v2.3 / March 2025</t>
        </is>
      </c>
    </row>
    <row r="1086">
      <c r="A1086" s="54" t="inlineStr">
        <is>
          <t>T'au Empire</t>
        </is>
      </c>
      <c r="B1086" s="54" t="inlineStr">
        <is>
          <t>Cadre Fireblade</t>
        </is>
      </c>
      <c r="C1086" s="54" t="inlineStr">
        <is>
          <t>1 model</t>
        </is>
      </c>
      <c r="D1086" s="55" t="n">
        <v>50</v>
      </c>
      <c r="E1086" s="55" t="inlineStr">
        <is>
          <t>Cadre Fireblade — 1 model (50 pts)</t>
        </is>
      </c>
      <c r="F1086" s="55" t="n">
        <v>50</v>
      </c>
      <c r="G1086" s="54" t="n">
        <v>34</v>
      </c>
      <c r="H1086" s="54" t="inlineStr">
        <is>
          <t>Uploaded PDF: Munitorum Field Manual v2.3 / March 2025</t>
        </is>
      </c>
    </row>
    <row r="1087">
      <c r="A1087" s="54" t="inlineStr">
        <is>
          <t>T'au Empire</t>
        </is>
      </c>
      <c r="B1087" s="54" t="inlineStr">
        <is>
          <t>Commander Farsight</t>
        </is>
      </c>
      <c r="C1087" s="54" t="inlineStr">
        <is>
          <t>1 model</t>
        </is>
      </c>
      <c r="D1087" s="55" t="n">
        <v>95</v>
      </c>
      <c r="E1087" s="55" t="inlineStr">
        <is>
          <t>Commander Farsight — 1 model (95 pts)</t>
        </is>
      </c>
      <c r="F1087" s="55" t="n">
        <v>95</v>
      </c>
      <c r="G1087" s="54" t="n">
        <v>34</v>
      </c>
      <c r="H1087" s="54" t="inlineStr">
        <is>
          <t>Uploaded PDF: Munitorum Field Manual v2.3 / March 2025</t>
        </is>
      </c>
    </row>
    <row r="1088">
      <c r="A1088" s="54" t="inlineStr">
        <is>
          <t>T'au Empire</t>
        </is>
      </c>
      <c r="B1088" s="54" t="inlineStr">
        <is>
          <t>Commander in Coldstar Battlesuit</t>
        </is>
      </c>
      <c r="C1088" s="54" t="inlineStr">
        <is>
          <t>1 model</t>
        </is>
      </c>
      <c r="D1088" s="55" t="n">
        <v>95</v>
      </c>
      <c r="E1088" s="55" t="inlineStr">
        <is>
          <t>Commander in Coldstar Battlesuit — 1 model (95 pts)</t>
        </is>
      </c>
      <c r="F1088" s="55" t="n">
        <v>95</v>
      </c>
      <c r="G1088" s="54" t="n">
        <v>34</v>
      </c>
      <c r="H1088" s="54" t="inlineStr">
        <is>
          <t>Uploaded PDF: Munitorum Field Manual v2.3 / March 2025</t>
        </is>
      </c>
    </row>
    <row r="1089">
      <c r="A1089" s="54" t="inlineStr">
        <is>
          <t>T'au Empire</t>
        </is>
      </c>
      <c r="B1089" s="54" t="inlineStr">
        <is>
          <t>Commander in Enforcer Battlesuit</t>
        </is>
      </c>
      <c r="C1089" s="54" t="inlineStr">
        <is>
          <t>1 model</t>
        </is>
      </c>
      <c r="D1089" s="55" t="n">
        <v>80</v>
      </c>
      <c r="E1089" s="55" t="inlineStr">
        <is>
          <t>Commander in Enforcer Battlesuit — 1 model (80 pts)</t>
        </is>
      </c>
      <c r="F1089" s="55" t="n">
        <v>80</v>
      </c>
      <c r="G1089" s="54" t="n">
        <v>34</v>
      </c>
      <c r="H1089" s="54" t="inlineStr">
        <is>
          <t>Uploaded PDF: Munitorum Field Manual v2.3 / March 2025</t>
        </is>
      </c>
    </row>
    <row r="1090">
      <c r="A1090" s="54" t="inlineStr">
        <is>
          <t>T'au Empire</t>
        </is>
      </c>
      <c r="B1090" s="54" t="inlineStr">
        <is>
          <t>Commander Shadowsun</t>
        </is>
      </c>
      <c r="C1090" s="54" t="inlineStr">
        <is>
          <t>1 model</t>
        </is>
      </c>
      <c r="D1090" s="55" t="n">
        <v>100</v>
      </c>
      <c r="E1090" s="55" t="inlineStr">
        <is>
          <t>Commander Shadowsun — 1 model (100 pts)</t>
        </is>
      </c>
      <c r="F1090" s="55" t="n">
        <v>100</v>
      </c>
      <c r="G1090" s="54" t="n">
        <v>34</v>
      </c>
      <c r="H1090" s="54" t="inlineStr">
        <is>
          <t>Uploaded PDF: Munitorum Field Manual v2.3 / March 2025</t>
        </is>
      </c>
    </row>
    <row r="1091">
      <c r="A1091" s="54" t="inlineStr">
        <is>
          <t>T'au Empire</t>
        </is>
      </c>
      <c r="B1091" s="54" t="inlineStr">
        <is>
          <t>Crisis Fireknife Battlesuits</t>
        </is>
      </c>
      <c r="C1091" s="54" t="inlineStr">
        <is>
          <t>3 models</t>
        </is>
      </c>
      <c r="D1091" s="55" t="n">
        <v>130</v>
      </c>
      <c r="E1091" s="55" t="inlineStr">
        <is>
          <t>Crisis Fireknife Battlesuits — 3 models (130 pts)</t>
        </is>
      </c>
      <c r="F1091" s="55" t="n">
        <v>130</v>
      </c>
      <c r="G1091" s="54" t="n">
        <v>34</v>
      </c>
      <c r="H1091" s="54" t="inlineStr">
        <is>
          <t>Uploaded PDF: Munitorum Field Manual v2.3 / March 2025</t>
        </is>
      </c>
    </row>
    <row r="1092">
      <c r="A1092" s="54" t="inlineStr">
        <is>
          <t>T'au Empire</t>
        </is>
      </c>
      <c r="B1092" s="54" t="inlineStr">
        <is>
          <t>Crisis Starscythe Battlesuits</t>
        </is>
      </c>
      <c r="C1092" s="54" t="inlineStr">
        <is>
          <t>3 models</t>
        </is>
      </c>
      <c r="D1092" s="55" t="n">
        <v>110</v>
      </c>
      <c r="E1092" s="55" t="inlineStr">
        <is>
          <t>Crisis Starscythe Battlesuits — 3 models (110 pts)</t>
        </is>
      </c>
      <c r="F1092" s="55" t="n">
        <v>110</v>
      </c>
      <c r="G1092" s="54" t="n">
        <v>34</v>
      </c>
      <c r="H1092" s="54" t="inlineStr">
        <is>
          <t>Uploaded PDF: Munitorum Field Manual v2.3 / March 2025</t>
        </is>
      </c>
    </row>
    <row r="1093">
      <c r="A1093" s="54" t="inlineStr">
        <is>
          <t>T'au Empire</t>
        </is>
      </c>
      <c r="B1093" s="54" t="inlineStr">
        <is>
          <t>Crisis Sunforge Battlesuits</t>
        </is>
      </c>
      <c r="C1093" s="54" t="inlineStr">
        <is>
          <t>3 models</t>
        </is>
      </c>
      <c r="D1093" s="55" t="n">
        <v>150</v>
      </c>
      <c r="E1093" s="55" t="inlineStr">
        <is>
          <t>Crisis Sunforge Battlesuits — 3 models (150 pts)</t>
        </is>
      </c>
      <c r="F1093" s="55" t="n">
        <v>150</v>
      </c>
      <c r="G1093" s="54" t="n">
        <v>34</v>
      </c>
      <c r="H1093" s="54" t="inlineStr">
        <is>
          <t>Uploaded PDF: Munitorum Field Manual v2.3 / March 2025</t>
        </is>
      </c>
    </row>
    <row r="1094">
      <c r="A1094" s="54" t="inlineStr">
        <is>
          <t>T'au Empire</t>
        </is>
      </c>
      <c r="B1094" s="54" t="inlineStr">
        <is>
          <t>Darkstrider</t>
        </is>
      </c>
      <c r="C1094" s="54" t="inlineStr">
        <is>
          <t>1 model</t>
        </is>
      </c>
      <c r="D1094" s="55" t="n">
        <v>60</v>
      </c>
      <c r="E1094" s="55" t="inlineStr">
        <is>
          <t>Darkstrider — 1 model (60 pts)</t>
        </is>
      </c>
      <c r="F1094" s="55" t="n">
        <v>60</v>
      </c>
      <c r="G1094" s="54" t="n">
        <v>34</v>
      </c>
      <c r="H1094" s="54" t="inlineStr">
        <is>
          <t>Uploaded PDF: Munitorum Field Manual v2.3 / March 2025</t>
        </is>
      </c>
    </row>
    <row r="1095">
      <c r="A1095" s="54" t="inlineStr">
        <is>
          <t>T'au Empire</t>
        </is>
      </c>
      <c r="B1095" s="54" t="inlineStr">
        <is>
          <t>Devilfish</t>
        </is>
      </c>
      <c r="C1095" s="54" t="inlineStr">
        <is>
          <t>1 model</t>
        </is>
      </c>
      <c r="D1095" s="55" t="n">
        <v>85</v>
      </c>
      <c r="E1095" s="55" t="inlineStr">
        <is>
          <t>Devilfish — 1 model (85 pts)</t>
        </is>
      </c>
      <c r="F1095" s="55" t="n">
        <v>85</v>
      </c>
      <c r="G1095" s="54" t="n">
        <v>34</v>
      </c>
      <c r="H1095" s="54" t="inlineStr">
        <is>
          <t>Uploaded PDF: Munitorum Field Manual v2.3 / March 2025</t>
        </is>
      </c>
    </row>
    <row r="1096">
      <c r="A1096" s="54" t="inlineStr">
        <is>
          <t>T'au Empire</t>
        </is>
      </c>
      <c r="B1096" s="54" t="inlineStr">
        <is>
          <t>Ethereal</t>
        </is>
      </c>
      <c r="C1096" s="54" t="inlineStr">
        <is>
          <t>1 model</t>
        </is>
      </c>
      <c r="D1096" s="55" t="n">
        <v>50</v>
      </c>
      <c r="E1096" s="55" t="inlineStr">
        <is>
          <t>Ethereal — 1 model (50 pts)</t>
        </is>
      </c>
      <c r="F1096" s="55" t="n">
        <v>50</v>
      </c>
      <c r="G1096" s="54" t="n">
        <v>34</v>
      </c>
      <c r="H1096" s="54" t="inlineStr">
        <is>
          <t>Uploaded PDF: Munitorum Field Manual v2.3 / March 2025</t>
        </is>
      </c>
    </row>
    <row r="1097">
      <c r="A1097" s="54" t="inlineStr">
        <is>
          <t>T'au Empire</t>
        </is>
      </c>
      <c r="B1097" s="54" t="inlineStr">
        <is>
          <t>Firesight Team</t>
        </is>
      </c>
      <c r="C1097" s="54" t="inlineStr">
        <is>
          <t>1 model</t>
        </is>
      </c>
      <c r="D1097" s="55" t="n">
        <v>70</v>
      </c>
      <c r="E1097" s="55" t="inlineStr">
        <is>
          <t>Firesight Team — 1 model (70 pts)</t>
        </is>
      </c>
      <c r="F1097" s="55" t="n">
        <v>70</v>
      </c>
      <c r="G1097" s="54" t="n">
        <v>34</v>
      </c>
      <c r="H1097" s="54" t="inlineStr">
        <is>
          <t>Uploaded PDF: Munitorum Field Manual v2.3 / March 2025</t>
        </is>
      </c>
    </row>
    <row r="1098">
      <c r="A1098" s="54" t="inlineStr">
        <is>
          <t>T'au Empire</t>
        </is>
      </c>
      <c r="B1098" s="54" t="inlineStr">
        <is>
          <t>Ghostkeel Battlesuit</t>
        </is>
      </c>
      <c r="C1098" s="54" t="inlineStr">
        <is>
          <t>1 model</t>
        </is>
      </c>
      <c r="D1098" s="55" t="n">
        <v>160</v>
      </c>
      <c r="E1098" s="55" t="inlineStr">
        <is>
          <t>Ghostkeel Battlesuit — 1 model (160 pts)</t>
        </is>
      </c>
      <c r="F1098" s="55" t="n">
        <v>160</v>
      </c>
      <c r="G1098" s="54" t="n">
        <v>34</v>
      </c>
      <c r="H1098" s="54" t="inlineStr">
        <is>
          <t>Uploaded PDF: Munitorum Field Manual v2.3 / March 2025</t>
        </is>
      </c>
    </row>
    <row r="1099">
      <c r="A1099" s="54" t="inlineStr">
        <is>
          <t>T'au Empire</t>
        </is>
      </c>
      <c r="B1099" s="54" t="inlineStr">
        <is>
          <t>Hammerhead Gunship</t>
        </is>
      </c>
      <c r="C1099" s="54" t="inlineStr">
        <is>
          <t>1 model</t>
        </is>
      </c>
      <c r="D1099" s="55" t="n">
        <v>145</v>
      </c>
      <c r="E1099" s="55" t="inlineStr">
        <is>
          <t>Hammerhead Gunship — 1 model (145 pts)</t>
        </is>
      </c>
      <c r="F1099" s="55" t="n">
        <v>145</v>
      </c>
      <c r="G1099" s="54" t="n">
        <v>34</v>
      </c>
      <c r="H1099" s="54" t="inlineStr">
        <is>
          <t>Uploaded PDF: Munitorum Field Manual v2.3 / March 2025</t>
        </is>
      </c>
    </row>
    <row r="1100">
      <c r="A1100" s="54" t="inlineStr">
        <is>
          <t>T'au Empire</t>
        </is>
      </c>
      <c r="B1100" s="54" t="inlineStr">
        <is>
          <t>Kroot Carnivores</t>
        </is>
      </c>
      <c r="C1100" s="54" t="inlineStr">
        <is>
          <t>10 models</t>
        </is>
      </c>
      <c r="D1100" s="55" t="n">
        <v>65</v>
      </c>
      <c r="E1100" s="55" t="inlineStr">
        <is>
          <t>Kroot Carnivores — 10 models (65 pts)</t>
        </is>
      </c>
      <c r="F1100" s="55" t="n">
        <v>65</v>
      </c>
      <c r="G1100" s="54" t="n">
        <v>34</v>
      </c>
      <c r="H1100" s="54" t="inlineStr">
        <is>
          <t>Uploaded PDF: Munitorum Field Manual v2.3 / March 2025</t>
        </is>
      </c>
    </row>
    <row r="1101">
      <c r="A1101" s="54" t="inlineStr">
        <is>
          <t>T'au Empire</t>
        </is>
      </c>
      <c r="B1101" s="54" t="inlineStr">
        <is>
          <t>Kroot Carnivores</t>
        </is>
      </c>
      <c r="C1101" s="54" t="inlineStr">
        <is>
          <t>20 models</t>
        </is>
      </c>
      <c r="D1101" s="55" t="n">
        <v>130</v>
      </c>
      <c r="E1101" s="55" t="inlineStr">
        <is>
          <t>Kroot Carnivores — 20 models (130 pts)</t>
        </is>
      </c>
      <c r="F1101" s="55" t="n">
        <v>130</v>
      </c>
      <c r="G1101" s="54" t="n">
        <v>34</v>
      </c>
      <c r="H1101" s="54" t="inlineStr">
        <is>
          <t>Uploaded PDF: Munitorum Field Manual v2.3 / March 2025</t>
        </is>
      </c>
    </row>
    <row r="1102">
      <c r="A1102" s="54" t="inlineStr">
        <is>
          <t>T'au Empire</t>
        </is>
      </c>
      <c r="B1102" s="54" t="inlineStr">
        <is>
          <t>Kroot Farstalkers</t>
        </is>
      </c>
      <c r="C1102" s="54" t="inlineStr">
        <is>
          <t>12 models</t>
        </is>
      </c>
      <c r="D1102" s="55" t="n">
        <v>85</v>
      </c>
      <c r="E1102" s="55" t="inlineStr">
        <is>
          <t>Kroot Farstalkers — 12 models (85 pts)</t>
        </is>
      </c>
      <c r="F1102" s="55" t="n">
        <v>85</v>
      </c>
      <c r="G1102" s="54" t="n">
        <v>34</v>
      </c>
      <c r="H1102" s="54" t="inlineStr">
        <is>
          <t>Uploaded PDF: Munitorum Field Manual v2.3 / March 2025</t>
        </is>
      </c>
    </row>
    <row r="1103">
      <c r="A1103" s="54" t="inlineStr">
        <is>
          <t>T'au Empire</t>
        </is>
      </c>
      <c r="B1103" s="54" t="inlineStr">
        <is>
          <t>Kroot Flesh Shaper</t>
        </is>
      </c>
      <c r="C1103" s="54" t="inlineStr">
        <is>
          <t>1 model</t>
        </is>
      </c>
      <c r="D1103" s="55" t="n">
        <v>45</v>
      </c>
      <c r="E1103" s="55" t="inlineStr">
        <is>
          <t>Kroot Flesh Shaper — 1 model (45 pts)</t>
        </is>
      </c>
      <c r="F1103" s="55" t="n">
        <v>45</v>
      </c>
      <c r="G1103" s="54" t="n">
        <v>34</v>
      </c>
      <c r="H1103" s="54" t="inlineStr">
        <is>
          <t>Uploaded PDF: Munitorum Field Manual v2.3 / March 2025</t>
        </is>
      </c>
    </row>
    <row r="1104">
      <c r="A1104" s="54" t="inlineStr">
        <is>
          <t>T'au Empire</t>
        </is>
      </c>
      <c r="B1104" s="54" t="inlineStr">
        <is>
          <t>Kroot Hounds</t>
        </is>
      </c>
      <c r="C1104" s="54" t="inlineStr">
        <is>
          <t>5 models</t>
        </is>
      </c>
      <c r="D1104" s="55" t="n">
        <v>40</v>
      </c>
      <c r="E1104" s="55" t="inlineStr">
        <is>
          <t>Kroot Hounds — 5 models (40 pts)</t>
        </is>
      </c>
      <c r="F1104" s="55" t="n">
        <v>40</v>
      </c>
      <c r="G1104" s="54" t="n">
        <v>34</v>
      </c>
      <c r="H1104" s="54" t="inlineStr">
        <is>
          <t>Uploaded PDF: Munitorum Field Manual v2.3 / March 2025</t>
        </is>
      </c>
    </row>
    <row r="1105">
      <c r="A1105" s="54" t="inlineStr">
        <is>
          <t>T'au Empire</t>
        </is>
      </c>
      <c r="B1105" s="54" t="inlineStr">
        <is>
          <t>Kroot Hounds</t>
        </is>
      </c>
      <c r="C1105" s="54" t="inlineStr">
        <is>
          <t>10 models</t>
        </is>
      </c>
      <c r="D1105" s="55" t="n">
        <v>80</v>
      </c>
      <c r="E1105" s="55" t="inlineStr">
        <is>
          <t>Kroot Hounds — 10 models (80 pts)</t>
        </is>
      </c>
      <c r="F1105" s="55" t="n">
        <v>80</v>
      </c>
      <c r="G1105" s="54" t="n">
        <v>34</v>
      </c>
      <c r="H1105" s="54" t="inlineStr">
        <is>
          <t>Uploaded PDF: Munitorum Field Manual v2.3 / March 2025</t>
        </is>
      </c>
    </row>
    <row r="1106">
      <c r="A1106" s="54" t="inlineStr">
        <is>
          <t>T'au Empire</t>
        </is>
      </c>
      <c r="B1106" s="54" t="inlineStr">
        <is>
          <t>Kroot Lone-spear</t>
        </is>
      </c>
      <c r="C1106" s="54" t="inlineStr">
        <is>
          <t>1 model</t>
        </is>
      </c>
      <c r="D1106" s="55" t="n">
        <v>80</v>
      </c>
      <c r="E1106" s="55" t="inlineStr">
        <is>
          <t>Kroot Lone-spear — 1 model (80 pts)</t>
        </is>
      </c>
      <c r="F1106" s="55" t="n">
        <v>80</v>
      </c>
      <c r="G1106" s="54" t="n">
        <v>34</v>
      </c>
      <c r="H1106" s="54" t="inlineStr">
        <is>
          <t>Uploaded PDF: Munitorum Field Manual v2.3 / March 2025</t>
        </is>
      </c>
    </row>
    <row r="1107">
      <c r="A1107" s="54" t="inlineStr">
        <is>
          <t>T'au Empire</t>
        </is>
      </c>
      <c r="B1107" s="54" t="inlineStr">
        <is>
          <t>Kroot Trail Shaper</t>
        </is>
      </c>
      <c r="C1107" s="54" t="inlineStr">
        <is>
          <t>1 model</t>
        </is>
      </c>
      <c r="D1107" s="55" t="n">
        <v>55</v>
      </c>
      <c r="E1107" s="55" t="inlineStr">
        <is>
          <t>Kroot Trail Shaper — 1 model (55 pts)</t>
        </is>
      </c>
      <c r="F1107" s="55" t="n">
        <v>55</v>
      </c>
      <c r="G1107" s="54" t="n">
        <v>34</v>
      </c>
      <c r="H1107" s="54" t="inlineStr">
        <is>
          <t>Uploaded PDF: Munitorum Field Manual v2.3 / March 2025</t>
        </is>
      </c>
    </row>
    <row r="1108">
      <c r="A1108" s="54" t="inlineStr">
        <is>
          <t>T'au Empire</t>
        </is>
      </c>
      <c r="B1108" s="54" t="inlineStr">
        <is>
          <t>Kroot War Shaper</t>
        </is>
      </c>
      <c r="C1108" s="54" t="inlineStr">
        <is>
          <t>1 model</t>
        </is>
      </c>
      <c r="D1108" s="55" t="n">
        <v>50</v>
      </c>
      <c r="E1108" s="55" t="inlineStr">
        <is>
          <t>Kroot War Shaper — 1 model (50 pts)</t>
        </is>
      </c>
      <c r="F1108" s="55" t="n">
        <v>50</v>
      </c>
      <c r="G1108" s="54" t="n">
        <v>34</v>
      </c>
      <c r="H1108" s="54" t="inlineStr">
        <is>
          <t>Uploaded PDF: Munitorum Field Manual v2.3 / March 2025</t>
        </is>
      </c>
    </row>
    <row r="1109">
      <c r="A1109" s="54" t="inlineStr">
        <is>
          <t>T'au Empire</t>
        </is>
      </c>
      <c r="B1109" s="54" t="inlineStr">
        <is>
          <t>Krootox Rampagers</t>
        </is>
      </c>
      <c r="C1109" s="54" t="inlineStr">
        <is>
          <t>3 models</t>
        </is>
      </c>
      <c r="D1109" s="55" t="n">
        <v>85</v>
      </c>
      <c r="E1109" s="55" t="inlineStr">
        <is>
          <t>Krootox Rampagers — 3 models (85 pts)</t>
        </is>
      </c>
      <c r="F1109" s="55" t="n">
        <v>85</v>
      </c>
      <c r="G1109" s="54" t="n">
        <v>34</v>
      </c>
      <c r="H1109" s="54" t="inlineStr">
        <is>
          <t>Uploaded PDF: Munitorum Field Manual v2.3 / March 2025</t>
        </is>
      </c>
    </row>
    <row r="1110">
      <c r="A1110" s="54" t="inlineStr">
        <is>
          <t>T'au Empire</t>
        </is>
      </c>
      <c r="B1110" s="54" t="inlineStr">
        <is>
          <t>Krootox Rampagers</t>
        </is>
      </c>
      <c r="C1110" s="54" t="inlineStr">
        <is>
          <t>6 models</t>
        </is>
      </c>
      <c r="D1110" s="55" t="n">
        <v>170</v>
      </c>
      <c r="E1110" s="55" t="inlineStr">
        <is>
          <t>Krootox Rampagers — 6 models (170 pts)</t>
        </is>
      </c>
      <c r="F1110" s="55" t="n">
        <v>170</v>
      </c>
      <c r="G1110" s="54" t="n">
        <v>34</v>
      </c>
      <c r="H1110" s="54" t="inlineStr">
        <is>
          <t>Uploaded PDF: Munitorum Field Manual v2.3 / March 2025</t>
        </is>
      </c>
    </row>
    <row r="1111">
      <c r="A1111" s="54" t="inlineStr">
        <is>
          <t>T'au Empire</t>
        </is>
      </c>
      <c r="B1111" s="54" t="inlineStr">
        <is>
          <t>Krootox Riders</t>
        </is>
      </c>
      <c r="C1111" s="54" t="inlineStr">
        <is>
          <t>1 model</t>
        </is>
      </c>
      <c r="D1111" s="55" t="n">
        <v>40</v>
      </c>
      <c r="E1111" s="55" t="inlineStr">
        <is>
          <t>Krootox Riders — 1 model (40 pts)</t>
        </is>
      </c>
      <c r="F1111" s="55" t="n">
        <v>40</v>
      </c>
      <c r="G1111" s="54" t="n">
        <v>34</v>
      </c>
      <c r="H1111" s="54" t="inlineStr">
        <is>
          <t>Uploaded PDF: Munitorum Field Manual v2.3 / March 2025</t>
        </is>
      </c>
    </row>
    <row r="1112">
      <c r="A1112" s="54" t="inlineStr">
        <is>
          <t>T'au Empire</t>
        </is>
      </c>
      <c r="B1112" s="54" t="inlineStr">
        <is>
          <t>Krootox Riders</t>
        </is>
      </c>
      <c r="C1112" s="54" t="inlineStr">
        <is>
          <t>2 models</t>
        </is>
      </c>
      <c r="D1112" s="55" t="n">
        <v>60</v>
      </c>
      <c r="E1112" s="55" t="inlineStr">
        <is>
          <t>Krootox Riders — 2 models (60 pts)</t>
        </is>
      </c>
      <c r="F1112" s="55" t="n">
        <v>60</v>
      </c>
      <c r="G1112" s="54" t="n">
        <v>34</v>
      </c>
      <c r="H1112" s="54" t="inlineStr">
        <is>
          <t>Uploaded PDF: Munitorum Field Manual v2.3 / March 2025</t>
        </is>
      </c>
    </row>
    <row r="1113">
      <c r="A1113" s="54" t="inlineStr">
        <is>
          <t>T'au Empire</t>
        </is>
      </c>
      <c r="B1113" s="54" t="inlineStr">
        <is>
          <t>Krootox Riders</t>
        </is>
      </c>
      <c r="C1113" s="54" t="inlineStr">
        <is>
          <t>3 models</t>
        </is>
      </c>
      <c r="D1113" s="55" t="n">
        <v>90</v>
      </c>
      <c r="E1113" s="55" t="inlineStr">
        <is>
          <t>Krootox Riders — 3 models (90 pts)</t>
        </is>
      </c>
      <c r="F1113" s="55" t="n">
        <v>90</v>
      </c>
      <c r="G1113" s="54" t="n">
        <v>34</v>
      </c>
      <c r="H1113" s="54" t="inlineStr">
        <is>
          <t>Uploaded PDF: Munitorum Field Manual v2.3 / March 2025</t>
        </is>
      </c>
    </row>
    <row r="1114">
      <c r="A1114" s="54" t="inlineStr">
        <is>
          <t>T'au Empire</t>
        </is>
      </c>
      <c r="B1114" s="54" t="inlineStr">
        <is>
          <t>Pathfinder Team</t>
        </is>
      </c>
      <c r="C1114" s="54" t="inlineStr">
        <is>
          <t>10 models</t>
        </is>
      </c>
      <c r="D1114" s="55" t="n">
        <v>90</v>
      </c>
      <c r="E1114" s="55" t="inlineStr">
        <is>
          <t>Pathfinder Team — 10 models (90 pts)</t>
        </is>
      </c>
      <c r="F1114" s="55" t="n">
        <v>90</v>
      </c>
      <c r="G1114" s="54" t="n">
        <v>34</v>
      </c>
      <c r="H1114" s="54" t="inlineStr">
        <is>
          <t>Uploaded PDF: Munitorum Field Manual v2.3 / March 2025</t>
        </is>
      </c>
    </row>
    <row r="1115">
      <c r="A1115" s="54" t="inlineStr">
        <is>
          <t>T'au Empire</t>
        </is>
      </c>
      <c r="B1115" s="54" t="inlineStr">
        <is>
          <t>Piranhas</t>
        </is>
      </c>
      <c r="C1115" s="54" t="inlineStr">
        <is>
          <t>1 model</t>
        </is>
      </c>
      <c r="D1115" s="55" t="n">
        <v>60</v>
      </c>
      <c r="E1115" s="55" t="inlineStr">
        <is>
          <t>Piranhas — 1 model (60 pts)</t>
        </is>
      </c>
      <c r="F1115" s="55" t="n">
        <v>60</v>
      </c>
      <c r="G1115" s="54" t="n">
        <v>34</v>
      </c>
      <c r="H1115" s="54" t="inlineStr">
        <is>
          <t>Uploaded PDF: Munitorum Field Manual v2.3 / March 2025</t>
        </is>
      </c>
    </row>
    <row r="1116">
      <c r="A1116" s="54" t="inlineStr">
        <is>
          <t>T'au Empire</t>
        </is>
      </c>
      <c r="B1116" s="54" t="inlineStr">
        <is>
          <t>Piranhas</t>
        </is>
      </c>
      <c r="C1116" s="54" t="inlineStr">
        <is>
          <t>2 models</t>
        </is>
      </c>
      <c r="D1116" s="55" t="n">
        <v>120</v>
      </c>
      <c r="E1116" s="55" t="inlineStr">
        <is>
          <t>Piranhas — 2 models (120 pts)</t>
        </is>
      </c>
      <c r="F1116" s="55" t="n">
        <v>120</v>
      </c>
      <c r="G1116" s="54" t="n">
        <v>34</v>
      </c>
      <c r="H1116" s="54" t="inlineStr">
        <is>
          <t>Uploaded PDF: Munitorum Field Manual v2.3 / March 2025</t>
        </is>
      </c>
    </row>
    <row r="1117">
      <c r="A1117" s="54" t="inlineStr">
        <is>
          <t>T'au Empire</t>
        </is>
      </c>
      <c r="B1117" s="54" t="inlineStr">
        <is>
          <t>Piranhas</t>
        </is>
      </c>
      <c r="C1117" s="54" t="inlineStr">
        <is>
          <t>3 models</t>
        </is>
      </c>
      <c r="D1117" s="55" t="n">
        <v>180</v>
      </c>
      <c r="E1117" s="55" t="inlineStr">
        <is>
          <t>Piranhas — 3 models (180 pts)</t>
        </is>
      </c>
      <c r="F1117" s="55" t="n">
        <v>180</v>
      </c>
      <c r="G1117" s="54" t="n">
        <v>34</v>
      </c>
      <c r="H1117" s="54" t="inlineStr">
        <is>
          <t>Uploaded PDF: Munitorum Field Manual v2.3 / March 2025</t>
        </is>
      </c>
    </row>
    <row r="1118">
      <c r="A1118" s="54" t="inlineStr">
        <is>
          <t>T'au Empire</t>
        </is>
      </c>
      <c r="B1118" s="54" t="inlineStr">
        <is>
          <t>Razorshark Strike Fighter</t>
        </is>
      </c>
      <c r="C1118" s="54" t="inlineStr">
        <is>
          <t>1 model</t>
        </is>
      </c>
      <c r="D1118" s="55" t="n">
        <v>170</v>
      </c>
      <c r="E1118" s="55" t="inlineStr">
        <is>
          <t>Razorshark Strike Fighter — 1 model (170 pts)</t>
        </is>
      </c>
      <c r="F1118" s="55" t="n">
        <v>170</v>
      </c>
      <c r="G1118" s="54" t="n">
        <v>34</v>
      </c>
      <c r="H1118" s="54" t="inlineStr">
        <is>
          <t>Uploaded PDF: Munitorum Field Manual v2.3 / March 2025</t>
        </is>
      </c>
    </row>
    <row r="1119">
      <c r="A1119" s="54" t="inlineStr">
        <is>
          <t>T'au Empire</t>
        </is>
      </c>
      <c r="B1119" s="54" t="inlineStr">
        <is>
          <t>Riptide Battlesuit</t>
        </is>
      </c>
      <c r="C1119" s="54" t="inlineStr">
        <is>
          <t>1 model</t>
        </is>
      </c>
      <c r="D1119" s="55" t="n">
        <v>190</v>
      </c>
      <c r="E1119" s="55" t="inlineStr">
        <is>
          <t>Riptide Battlesuit — 1 model (190 pts)</t>
        </is>
      </c>
      <c r="F1119" s="55" t="n">
        <v>190</v>
      </c>
      <c r="G1119" s="54" t="n">
        <v>34</v>
      </c>
      <c r="H1119" s="54" t="inlineStr">
        <is>
          <t>Uploaded PDF: Munitorum Field Manual v2.3 / March 2025</t>
        </is>
      </c>
    </row>
    <row r="1120">
      <c r="A1120" s="54" t="inlineStr">
        <is>
          <t>T'au Empire</t>
        </is>
      </c>
      <c r="B1120" s="54" t="inlineStr">
        <is>
          <t>Sky Ray Gunship</t>
        </is>
      </c>
      <c r="C1120" s="54" t="inlineStr">
        <is>
          <t>1 model</t>
        </is>
      </c>
      <c r="D1120" s="55" t="n">
        <v>140</v>
      </c>
      <c r="E1120" s="55" t="inlineStr">
        <is>
          <t>Sky Ray Gunship — 1 model (140 pts)</t>
        </is>
      </c>
      <c r="F1120" s="55" t="n">
        <v>140</v>
      </c>
      <c r="G1120" s="54" t="n">
        <v>34</v>
      </c>
      <c r="H1120" s="54" t="inlineStr">
        <is>
          <t>Uploaded PDF: Munitorum Field Manual v2.3 / March 2025</t>
        </is>
      </c>
    </row>
    <row r="1121">
      <c r="A1121" s="54" t="inlineStr">
        <is>
          <t>T'au Empire</t>
        </is>
      </c>
      <c r="B1121" s="54" t="inlineStr">
        <is>
          <t>Stealth Battlesuits</t>
        </is>
      </c>
      <c r="C1121" s="54" t="inlineStr">
        <is>
          <t>3 models</t>
        </is>
      </c>
      <c r="D1121" s="55" t="n">
        <v>60</v>
      </c>
      <c r="E1121" s="55" t="inlineStr">
        <is>
          <t>Stealth Battlesuits — 3 models (60 pts)</t>
        </is>
      </c>
      <c r="F1121" s="55" t="n">
        <v>60</v>
      </c>
      <c r="G1121" s="54" t="n">
        <v>34</v>
      </c>
      <c r="H1121" s="54" t="inlineStr">
        <is>
          <t>Uploaded PDF: Munitorum Field Manual v2.3 / March 2025</t>
        </is>
      </c>
    </row>
    <row r="1122">
      <c r="A1122" s="54" t="inlineStr">
        <is>
          <t>T'au Empire</t>
        </is>
      </c>
      <c r="B1122" s="54" t="inlineStr">
        <is>
          <t>Stealth Battlesuits</t>
        </is>
      </c>
      <c r="C1122" s="54" t="inlineStr">
        <is>
          <t>6 models</t>
        </is>
      </c>
      <c r="D1122" s="55" t="n">
        <v>120</v>
      </c>
      <c r="E1122" s="55" t="inlineStr">
        <is>
          <t>Stealth Battlesuits — 6 models (120 pts)</t>
        </is>
      </c>
      <c r="F1122" s="55" t="n">
        <v>120</v>
      </c>
      <c r="G1122" s="54" t="n">
        <v>34</v>
      </c>
      <c r="H1122" s="54" t="inlineStr">
        <is>
          <t>Uploaded PDF: Munitorum Field Manual v2.3 / March 2025</t>
        </is>
      </c>
    </row>
    <row r="1123">
      <c r="A1123" s="54" t="inlineStr">
        <is>
          <t>T'au Empire</t>
        </is>
      </c>
      <c r="B1123" s="54" t="inlineStr">
        <is>
          <t>Stormsurge</t>
        </is>
      </c>
      <c r="C1123" s="54" t="inlineStr">
        <is>
          <t>1 model</t>
        </is>
      </c>
      <c r="D1123" s="55" t="n">
        <v>400</v>
      </c>
      <c r="E1123" s="55" t="inlineStr">
        <is>
          <t>Stormsurge — 1 model (400 pts)</t>
        </is>
      </c>
      <c r="F1123" s="55" t="n">
        <v>400</v>
      </c>
      <c r="G1123" s="54" t="n">
        <v>34</v>
      </c>
      <c r="H1123" s="54" t="inlineStr">
        <is>
          <t>Uploaded PDF: Munitorum Field Manual v2.3 / March 2025</t>
        </is>
      </c>
    </row>
    <row r="1124">
      <c r="A1124" s="54" t="inlineStr">
        <is>
          <t>T'au Empire</t>
        </is>
      </c>
      <c r="B1124" s="54" t="inlineStr">
        <is>
          <t>Strike Team</t>
        </is>
      </c>
      <c r="C1124" s="54" t="inlineStr">
        <is>
          <t>10 models</t>
        </is>
      </c>
      <c r="D1124" s="55" t="n">
        <v>75</v>
      </c>
      <c r="E1124" s="55" t="inlineStr">
        <is>
          <t>Strike Team — 10 models (75 pts)</t>
        </is>
      </c>
      <c r="F1124" s="55" t="n">
        <v>75</v>
      </c>
      <c r="G1124" s="54" t="n">
        <v>34</v>
      </c>
      <c r="H1124" s="54" t="inlineStr">
        <is>
          <t>Uploaded PDF: Munitorum Field Manual v2.3 / March 2025</t>
        </is>
      </c>
    </row>
    <row r="1125">
      <c r="A1125" s="54" t="inlineStr">
        <is>
          <t>T'au Empire</t>
        </is>
      </c>
      <c r="B1125" s="54" t="inlineStr">
        <is>
          <t>Sun Shark Bomber</t>
        </is>
      </c>
      <c r="C1125" s="54" t="inlineStr">
        <is>
          <t>1 model</t>
        </is>
      </c>
      <c r="D1125" s="55" t="n">
        <v>160</v>
      </c>
      <c r="E1125" s="55" t="inlineStr">
        <is>
          <t>Sun Shark Bomber — 1 model (160 pts)</t>
        </is>
      </c>
      <c r="F1125" s="55" t="n">
        <v>160</v>
      </c>
      <c r="G1125" s="54" t="n">
        <v>34</v>
      </c>
      <c r="H1125" s="54" t="inlineStr">
        <is>
          <t>Uploaded PDF: Munitorum Field Manual v2.3 / March 2025</t>
        </is>
      </c>
    </row>
    <row r="1126">
      <c r="A1126" s="54" t="inlineStr">
        <is>
          <t>T'au Empire</t>
        </is>
      </c>
      <c r="B1126" s="54" t="inlineStr">
        <is>
          <t>Tidewall Droneport</t>
        </is>
      </c>
      <c r="C1126" s="54" t="inlineStr">
        <is>
          <t>1 model</t>
        </is>
      </c>
      <c r="D1126" s="55" t="n">
        <v>85</v>
      </c>
      <c r="E1126" s="55" t="inlineStr">
        <is>
          <t>Tidewall Droneport — 1 model (85 pts)</t>
        </is>
      </c>
      <c r="F1126" s="55" t="n">
        <v>85</v>
      </c>
      <c r="G1126" s="54" t="n">
        <v>34</v>
      </c>
      <c r="H1126" s="54" t="inlineStr">
        <is>
          <t>Uploaded PDF: Munitorum Field Manual v2.3 / March 2025</t>
        </is>
      </c>
    </row>
    <row r="1127">
      <c r="A1127" s="54" t="inlineStr">
        <is>
          <t>T'au Empire</t>
        </is>
      </c>
      <c r="B1127" s="54" t="inlineStr">
        <is>
          <t>Tidewall Gunrig</t>
        </is>
      </c>
      <c r="C1127" s="54" t="inlineStr">
        <is>
          <t>1 model</t>
        </is>
      </c>
      <c r="D1127" s="55" t="n">
        <v>90</v>
      </c>
      <c r="E1127" s="55" t="inlineStr">
        <is>
          <t>Tidewall Gunrig — 1 model (90 pts)</t>
        </is>
      </c>
      <c r="F1127" s="55" t="n">
        <v>90</v>
      </c>
      <c r="G1127" s="54" t="n">
        <v>34</v>
      </c>
      <c r="H1127" s="54" t="inlineStr">
        <is>
          <t>Uploaded PDF: Munitorum Field Manual v2.3 / March 2025</t>
        </is>
      </c>
    </row>
    <row r="1128">
      <c r="A1128" s="54" t="inlineStr">
        <is>
          <t>T'au Empire</t>
        </is>
      </c>
      <c r="B1128" s="54" t="inlineStr">
        <is>
          <t>Tidewall Shieldline</t>
        </is>
      </c>
      <c r="C1128" s="54" t="inlineStr">
        <is>
          <t>1 model</t>
        </is>
      </c>
      <c r="D1128" s="55" t="n">
        <v>85</v>
      </c>
      <c r="E1128" s="55" t="inlineStr">
        <is>
          <t>Tidewall Shieldline — 1 model (85 pts)</t>
        </is>
      </c>
      <c r="F1128" s="55" t="n">
        <v>85</v>
      </c>
      <c r="G1128" s="54" t="n">
        <v>34</v>
      </c>
      <c r="H1128" s="54" t="inlineStr">
        <is>
          <t>Uploaded PDF: Munitorum Field Manual v2.3 / March 2025</t>
        </is>
      </c>
    </row>
    <row r="1129">
      <c r="A1129" s="54" t="inlineStr">
        <is>
          <t>T'au Empire</t>
        </is>
      </c>
      <c r="B1129" s="54" t="inlineStr">
        <is>
          <t>Tidewall Shieldline</t>
        </is>
      </c>
      <c r="C1129" s="54" t="inlineStr">
        <is>
          <t>Tidewall Defence Platform +</t>
        </is>
      </c>
      <c r="D1129" s="55" t="n">
        <v>20</v>
      </c>
      <c r="E1129" s="55" t="inlineStr">
        <is>
          <t>Tidewall Shieldline — Tidewall Defence Platform + (20 pts)</t>
        </is>
      </c>
      <c r="F1129" s="55" t="n">
        <v>20</v>
      </c>
      <c r="G1129" s="54" t="n">
        <v>34</v>
      </c>
      <c r="H1129" s="54" t="inlineStr">
        <is>
          <t>Uploaded PDF: Munitorum Field Manual v2.3 / March 2025</t>
        </is>
      </c>
    </row>
    <row r="1130">
      <c r="A1130" s="54" t="inlineStr">
        <is>
          <t>T'au Empire</t>
        </is>
      </c>
      <c r="B1130" s="54" t="inlineStr">
        <is>
          <t>Vespid Stingwings</t>
        </is>
      </c>
      <c r="C1130" s="54" t="inlineStr">
        <is>
          <t>5 models</t>
        </is>
      </c>
      <c r="D1130" s="55" t="n">
        <v>65</v>
      </c>
      <c r="E1130" s="55" t="inlineStr">
        <is>
          <t>Vespid Stingwings — 5 models (65 pts)</t>
        </is>
      </c>
      <c r="F1130" s="55" t="n">
        <v>65</v>
      </c>
      <c r="G1130" s="54" t="n">
        <v>34</v>
      </c>
      <c r="H1130" s="54" t="inlineStr">
        <is>
          <t>Uploaded PDF: Munitorum Field Manual v2.3 / March 2025</t>
        </is>
      </c>
    </row>
    <row r="1131">
      <c r="A1131" s="54" t="inlineStr">
        <is>
          <t>T'au Empire</t>
        </is>
      </c>
      <c r="B1131" s="54" t="inlineStr">
        <is>
          <t>Vespid Stingwings</t>
        </is>
      </c>
      <c r="C1131" s="54" t="inlineStr">
        <is>
          <t>10 models</t>
        </is>
      </c>
      <c r="D1131" s="55" t="n">
        <v>130</v>
      </c>
      <c r="E1131" s="55" t="inlineStr">
        <is>
          <t>Vespid Stingwings — 10 models (130 pts)</t>
        </is>
      </c>
      <c r="F1131" s="55" t="n">
        <v>130</v>
      </c>
      <c r="G1131" s="54" t="n">
        <v>34</v>
      </c>
      <c r="H1131" s="54" t="inlineStr">
        <is>
          <t>Uploaded PDF: Munitorum Field Manual v2.3 / March 2025</t>
        </is>
      </c>
    </row>
    <row r="1132">
      <c r="A1132" s="54" t="inlineStr">
        <is>
          <t>T'au Empire</t>
        </is>
      </c>
      <c r="B1132" s="54" t="inlineStr">
        <is>
          <t>AX-1-0 Tiger Shark</t>
        </is>
      </c>
      <c r="C1132" s="54" t="inlineStr">
        <is>
          <t>1 model</t>
        </is>
      </c>
      <c r="D1132" s="55" t="n">
        <v>315</v>
      </c>
      <c r="E1132" s="55" t="inlineStr">
        <is>
          <t>AX-1-0 Tiger Shark — 1 model (315 pts)</t>
        </is>
      </c>
      <c r="F1132" s="55" t="n">
        <v>315</v>
      </c>
      <c r="G1132" s="54" t="n">
        <v>34</v>
      </c>
      <c r="H1132" s="54" t="inlineStr">
        <is>
          <t>Uploaded PDF: Munitorum Field Manual v2.3 / March 2025</t>
        </is>
      </c>
    </row>
    <row r="1133">
      <c r="A1133" s="54" t="inlineStr">
        <is>
          <t>T'au Empire</t>
        </is>
      </c>
      <c r="B1133" s="54" t="inlineStr">
        <is>
          <t>Manta</t>
        </is>
      </c>
      <c r="C1133" s="54" t="inlineStr">
        <is>
          <t>1 model</t>
        </is>
      </c>
      <c r="D1133" s="55" t="n">
        <v>2100</v>
      </c>
      <c r="E1133" s="55" t="inlineStr">
        <is>
          <t>Manta — 1 model (2100 pts)</t>
        </is>
      </c>
      <c r="F1133" s="55" t="n">
        <v>2100</v>
      </c>
      <c r="G1133" s="54" t="n">
        <v>34</v>
      </c>
      <c r="H1133" s="54" t="inlineStr">
        <is>
          <t>Uploaded PDF: Munitorum Field Manual v2.3 / March 2025</t>
        </is>
      </c>
    </row>
    <row r="1134">
      <c r="A1134" s="54" t="inlineStr">
        <is>
          <t>T'au Empire</t>
        </is>
      </c>
      <c r="B1134" s="54" t="inlineStr">
        <is>
          <t>Ta’unar Supremacy Armour</t>
        </is>
      </c>
      <c r="C1134" s="54" t="inlineStr">
        <is>
          <t>1 model</t>
        </is>
      </c>
      <c r="D1134" s="55" t="n">
        <v>790</v>
      </c>
      <c r="E1134" s="55" t="inlineStr">
        <is>
          <t>Ta’unar Supremacy Armour — 1 model (790 pts)</t>
        </is>
      </c>
      <c r="F1134" s="55" t="n">
        <v>790</v>
      </c>
      <c r="G1134" s="54" t="n">
        <v>34</v>
      </c>
      <c r="H1134" s="54" t="inlineStr">
        <is>
          <t>Uploaded PDF: Munitorum Field Manual v2.3 / March 2025</t>
        </is>
      </c>
    </row>
    <row r="1135">
      <c r="A1135" s="54" t="inlineStr">
        <is>
          <t>T'au Empire</t>
        </is>
      </c>
      <c r="B1135" s="54" t="inlineStr">
        <is>
          <t>Tiger Shark</t>
        </is>
      </c>
      <c r="C1135" s="54" t="inlineStr">
        <is>
          <t>1 model</t>
        </is>
      </c>
      <c r="D1135" s="55" t="n">
        <v>325</v>
      </c>
      <c r="E1135" s="55" t="inlineStr">
        <is>
          <t>Tiger Shark — 1 model (325 pts)</t>
        </is>
      </c>
      <c r="F1135" s="55" t="n">
        <v>325</v>
      </c>
      <c r="G1135" s="54" t="n">
        <v>34</v>
      </c>
      <c r="H1135" s="54" t="inlineStr">
        <is>
          <t>Uploaded PDF: Munitorum Field Manual v2.3 / March 2025</t>
        </is>
      </c>
    </row>
    <row r="1136">
      <c r="A1136" s="54" t="inlineStr">
        <is>
          <t>Thousand Sons</t>
        </is>
      </c>
      <c r="B1136" s="54" t="inlineStr">
        <is>
          <t>Ahriman</t>
        </is>
      </c>
      <c r="C1136" s="54" t="inlineStr">
        <is>
          <t>1 model</t>
        </is>
      </c>
      <c r="D1136" s="55" t="n">
        <v>140</v>
      </c>
      <c r="E1136" s="55" t="inlineStr">
        <is>
          <t>Ahriman — 1 model (140 pts)</t>
        </is>
      </c>
      <c r="F1136" s="55" t="n">
        <v>140</v>
      </c>
      <c r="G1136" s="54" t="n">
        <v>35</v>
      </c>
      <c r="H1136" s="54" t="inlineStr">
        <is>
          <t>Uploaded PDF: Munitorum Field Manual v2.3 / March 2025</t>
        </is>
      </c>
    </row>
    <row r="1137">
      <c r="A1137" s="54" t="inlineStr">
        <is>
          <t>Thousand Sons</t>
        </is>
      </c>
      <c r="B1137" s="54" t="inlineStr">
        <is>
          <t>Ahriman on Disc of Tzeentch</t>
        </is>
      </c>
      <c r="C1137" s="54" t="inlineStr">
        <is>
          <t>1 model</t>
        </is>
      </c>
      <c r="D1137" s="55" t="n">
        <v>150</v>
      </c>
      <c r="E1137" s="55" t="inlineStr">
        <is>
          <t>Ahriman on Disc of Tzeentch — 1 model (150 pts)</t>
        </is>
      </c>
      <c r="F1137" s="55" t="n">
        <v>150</v>
      </c>
      <c r="G1137" s="54" t="n">
        <v>35</v>
      </c>
      <c r="H1137" s="54" t="inlineStr">
        <is>
          <t>Uploaded PDF: Munitorum Field Manual v2.3 / March 2025</t>
        </is>
      </c>
    </row>
    <row r="1138">
      <c r="A1138" s="54" t="inlineStr">
        <is>
          <t>Thousand Sons</t>
        </is>
      </c>
      <c r="B1138" s="54" t="inlineStr">
        <is>
          <t>Exalted Sorcerer</t>
        </is>
      </c>
      <c r="C1138" s="54" t="inlineStr">
        <is>
          <t>1 model</t>
        </is>
      </c>
      <c r="D1138" s="55" t="n">
        <v>110</v>
      </c>
      <c r="E1138" s="55" t="inlineStr">
        <is>
          <t>Exalted Sorcerer — 1 model (110 pts)</t>
        </is>
      </c>
      <c r="F1138" s="55" t="n">
        <v>110</v>
      </c>
      <c r="G1138" s="54" t="n">
        <v>35</v>
      </c>
      <c r="H1138" s="54" t="inlineStr">
        <is>
          <t>Uploaded PDF: Munitorum Field Manual v2.3 / March 2025</t>
        </is>
      </c>
    </row>
    <row r="1139">
      <c r="A1139" s="54" t="inlineStr">
        <is>
          <t>Thousand Sons</t>
        </is>
      </c>
      <c r="B1139" s="54" t="inlineStr">
        <is>
          <t>Exalted Sorcerer on Disc of Tzeentch</t>
        </is>
      </c>
      <c r="C1139" s="54" t="inlineStr">
        <is>
          <t>1 model</t>
        </is>
      </c>
      <c r="D1139" s="55" t="n">
        <v>115</v>
      </c>
      <c r="E1139" s="55" t="inlineStr">
        <is>
          <t>Exalted Sorcerer on Disc of Tzeentch — 1 model (115 pts)</t>
        </is>
      </c>
      <c r="F1139" s="55" t="n">
        <v>115</v>
      </c>
      <c r="G1139" s="54" t="n">
        <v>35</v>
      </c>
      <c r="H1139" s="54" t="inlineStr">
        <is>
          <t>Uploaded PDF: Munitorum Field Manual v2.3 / March 2025</t>
        </is>
      </c>
    </row>
    <row r="1140">
      <c r="A1140" s="54" t="inlineStr">
        <is>
          <t>Thousand Sons</t>
        </is>
      </c>
      <c r="B1140" s="54" t="inlineStr">
        <is>
          <t>Infernal Master</t>
        </is>
      </c>
      <c r="C1140" s="54" t="inlineStr">
        <is>
          <t>1 model</t>
        </is>
      </c>
      <c r="D1140" s="55" t="n">
        <v>105</v>
      </c>
      <c r="E1140" s="55" t="inlineStr">
        <is>
          <t>Infernal Master — 1 model (105 pts)</t>
        </is>
      </c>
      <c r="F1140" s="55" t="n">
        <v>105</v>
      </c>
      <c r="G1140" s="54" t="n">
        <v>35</v>
      </c>
      <c r="H1140" s="54" t="inlineStr">
        <is>
          <t>Uploaded PDF: Munitorum Field Manual v2.3 / March 2025</t>
        </is>
      </c>
    </row>
    <row r="1141">
      <c r="A1141" s="54" t="inlineStr">
        <is>
          <t>Thousand Sons</t>
        </is>
      </c>
      <c r="B1141" s="54" t="inlineStr">
        <is>
          <t>Magnus the Red</t>
        </is>
      </c>
      <c r="C1141" s="54" t="inlineStr">
        <is>
          <t>1 model</t>
        </is>
      </c>
      <c r="D1141" s="55" t="n">
        <v>465</v>
      </c>
      <c r="E1141" s="55" t="inlineStr">
        <is>
          <t>Magnus the Red — 1 model (465 pts)</t>
        </is>
      </c>
      <c r="F1141" s="55" t="n">
        <v>465</v>
      </c>
      <c r="G1141" s="54" t="n">
        <v>35</v>
      </c>
      <c r="H1141" s="54" t="inlineStr">
        <is>
          <t>Uploaded PDF: Munitorum Field Manual v2.3 / March 2025</t>
        </is>
      </c>
    </row>
    <row r="1142">
      <c r="A1142" s="54" t="inlineStr">
        <is>
          <t>Thousand Sons</t>
        </is>
      </c>
      <c r="B1142" s="54" t="inlineStr">
        <is>
          <t>Mutalith Vortex Beast</t>
        </is>
      </c>
      <c r="C1142" s="54" t="inlineStr">
        <is>
          <t>1 model</t>
        </is>
      </c>
      <c r="D1142" s="55" t="n">
        <v>165</v>
      </c>
      <c r="E1142" s="55" t="inlineStr">
        <is>
          <t>Mutalith Vortex Beast — 1 model (165 pts)</t>
        </is>
      </c>
      <c r="F1142" s="55" t="n">
        <v>165</v>
      </c>
      <c r="G1142" s="54" t="n">
        <v>35</v>
      </c>
      <c r="H1142" s="54" t="inlineStr">
        <is>
          <t>Uploaded PDF: Munitorum Field Manual v2.3 / March 2025</t>
        </is>
      </c>
    </row>
    <row r="1143">
      <c r="A1143" s="54" t="inlineStr">
        <is>
          <t>Thousand Sons</t>
        </is>
      </c>
      <c r="B1143" s="54" t="inlineStr">
        <is>
          <t>Rubric Marines</t>
        </is>
      </c>
      <c r="C1143" s="54" t="inlineStr">
        <is>
          <t>5 models</t>
        </is>
      </c>
      <c r="D1143" s="55" t="n">
        <v>110</v>
      </c>
      <c r="E1143" s="55" t="inlineStr">
        <is>
          <t>Rubric Marines — 5 models (110 pts)</t>
        </is>
      </c>
      <c r="F1143" s="55" t="n">
        <v>110</v>
      </c>
      <c r="G1143" s="54" t="n">
        <v>35</v>
      </c>
      <c r="H1143" s="54" t="inlineStr">
        <is>
          <t>Uploaded PDF: Munitorum Field Manual v2.3 / March 2025</t>
        </is>
      </c>
    </row>
    <row r="1144">
      <c r="A1144" s="54" t="inlineStr">
        <is>
          <t>Thousand Sons</t>
        </is>
      </c>
      <c r="B1144" s="54" t="inlineStr">
        <is>
          <t>Rubric Marines</t>
        </is>
      </c>
      <c r="C1144" s="54" t="inlineStr">
        <is>
          <t>10 models</t>
        </is>
      </c>
      <c r="D1144" s="55" t="n">
        <v>200</v>
      </c>
      <c r="E1144" s="55" t="inlineStr">
        <is>
          <t>Rubric Marines — 10 models (200 pts)</t>
        </is>
      </c>
      <c r="F1144" s="55" t="n">
        <v>200</v>
      </c>
      <c r="G1144" s="54" t="n">
        <v>35</v>
      </c>
      <c r="H1144" s="54" t="inlineStr">
        <is>
          <t>Uploaded PDF: Munitorum Field Manual v2.3 / March 2025</t>
        </is>
      </c>
    </row>
    <row r="1145">
      <c r="A1145" s="54" t="inlineStr">
        <is>
          <t>Thousand Sons</t>
        </is>
      </c>
      <c r="B1145" s="54" t="inlineStr">
        <is>
          <t>Scarab Occult Terminators</t>
        </is>
      </c>
      <c r="C1145" s="54" t="inlineStr">
        <is>
          <t>5 models</t>
        </is>
      </c>
      <c r="D1145" s="55" t="n">
        <v>180</v>
      </c>
      <c r="E1145" s="55" t="inlineStr">
        <is>
          <t>Scarab Occult Terminators — 5 models (180 pts)</t>
        </is>
      </c>
      <c r="F1145" s="55" t="n">
        <v>180</v>
      </c>
      <c r="G1145" s="54" t="n">
        <v>35</v>
      </c>
      <c r="H1145" s="54" t="inlineStr">
        <is>
          <t>Uploaded PDF: Munitorum Field Manual v2.3 / March 2025</t>
        </is>
      </c>
    </row>
    <row r="1146">
      <c r="A1146" s="54" t="inlineStr">
        <is>
          <t>Thousand Sons</t>
        </is>
      </c>
      <c r="B1146" s="54" t="inlineStr">
        <is>
          <t>Scarab Occult Terminators</t>
        </is>
      </c>
      <c r="C1146" s="54" t="inlineStr">
        <is>
          <t>10 models</t>
        </is>
      </c>
      <c r="D1146" s="55" t="n">
        <v>360</v>
      </c>
      <c r="E1146" s="55" t="inlineStr">
        <is>
          <t>Scarab Occult Terminators — 10 models (360 pts)</t>
        </is>
      </c>
      <c r="F1146" s="55" t="n">
        <v>360</v>
      </c>
      <c r="G1146" s="54" t="n">
        <v>35</v>
      </c>
      <c r="H1146" s="54" t="inlineStr">
        <is>
          <t>Uploaded PDF: Munitorum Field Manual v2.3 / March 2025</t>
        </is>
      </c>
    </row>
    <row r="1147">
      <c r="A1147" s="54" t="inlineStr">
        <is>
          <t>Thousand Sons</t>
        </is>
      </c>
      <c r="B1147" s="54" t="inlineStr">
        <is>
          <t>Thousand Sons Chaos Spawn</t>
        </is>
      </c>
      <c r="C1147" s="54" t="inlineStr">
        <is>
          <t>2 models</t>
        </is>
      </c>
      <c r="D1147" s="55" t="n">
        <v>65</v>
      </c>
      <c r="E1147" s="55" t="inlineStr">
        <is>
          <t>Thousand Sons Chaos Spawn — 2 models (65 pts)</t>
        </is>
      </c>
      <c r="F1147" s="55" t="n">
        <v>65</v>
      </c>
      <c r="G1147" s="54" t="n">
        <v>35</v>
      </c>
      <c r="H1147" s="54" t="inlineStr">
        <is>
          <t>Uploaded PDF: Munitorum Field Manual v2.3 / March 2025</t>
        </is>
      </c>
    </row>
    <row r="1148">
      <c r="A1148" s="54" t="inlineStr">
        <is>
          <t>Thousand Sons</t>
        </is>
      </c>
      <c r="B1148" s="54" t="inlineStr">
        <is>
          <t>Thousand Sons Cultists</t>
        </is>
      </c>
      <c r="C1148" s="54" t="inlineStr">
        <is>
          <t>10 models</t>
        </is>
      </c>
      <c r="D1148" s="55" t="n">
        <v>55</v>
      </c>
      <c r="E1148" s="55" t="inlineStr">
        <is>
          <t>Thousand Sons Cultists — 10 models (55 pts)</t>
        </is>
      </c>
      <c r="F1148" s="55" t="n">
        <v>55</v>
      </c>
      <c r="G1148" s="54" t="n">
        <v>35</v>
      </c>
      <c r="H1148" s="54" t="inlineStr">
        <is>
          <t>Uploaded PDF: Munitorum Field Manual v2.3 / March 2025</t>
        </is>
      </c>
    </row>
    <row r="1149">
      <c r="A1149" s="54" t="inlineStr">
        <is>
          <t>Thousand Sons</t>
        </is>
      </c>
      <c r="B1149" s="54" t="inlineStr">
        <is>
          <t>Thousand Sons Cultists</t>
        </is>
      </c>
      <c r="C1149" s="54" t="inlineStr">
        <is>
          <t>20 models</t>
        </is>
      </c>
      <c r="D1149" s="55" t="n">
        <v>100</v>
      </c>
      <c r="E1149" s="55" t="inlineStr">
        <is>
          <t>Thousand Sons Cultists — 20 models (100 pts)</t>
        </is>
      </c>
      <c r="F1149" s="55" t="n">
        <v>100</v>
      </c>
      <c r="G1149" s="54" t="n">
        <v>35</v>
      </c>
      <c r="H1149" s="54" t="inlineStr">
        <is>
          <t>Uploaded PDF: Munitorum Field Manual v2.3 / March 2025</t>
        </is>
      </c>
    </row>
    <row r="1150">
      <c r="A1150" s="54" t="inlineStr">
        <is>
          <t>Thousand Sons</t>
        </is>
      </c>
      <c r="B1150" s="54" t="inlineStr">
        <is>
          <t>Thousand Sons Daemon Prince</t>
        </is>
      </c>
      <c r="C1150" s="54" t="inlineStr">
        <is>
          <t>1 model</t>
        </is>
      </c>
      <c r="D1150" s="55" t="n">
        <v>170</v>
      </c>
      <c r="E1150" s="55" t="inlineStr">
        <is>
          <t>Thousand Sons Daemon Prince — 1 model (170 pts)</t>
        </is>
      </c>
      <c r="F1150" s="55" t="n">
        <v>170</v>
      </c>
      <c r="G1150" s="54" t="n">
        <v>35</v>
      </c>
      <c r="H1150" s="54" t="inlineStr">
        <is>
          <t>Uploaded PDF: Munitorum Field Manual v2.3 / March 2025</t>
        </is>
      </c>
    </row>
    <row r="1151">
      <c r="A1151" s="54" t="inlineStr">
        <is>
          <t>Thousand Sons</t>
        </is>
      </c>
      <c r="B1151" s="54" t="inlineStr">
        <is>
          <t>Thousand Sons Daemon Prince with Wings</t>
        </is>
      </c>
      <c r="C1151" s="54" t="inlineStr">
        <is>
          <t>1 model</t>
        </is>
      </c>
      <c r="D1151" s="55" t="n">
        <v>180</v>
      </c>
      <c r="E1151" s="55" t="inlineStr">
        <is>
          <t>Thousand Sons Daemon Prince with Wings — 1 model (180 pts)</t>
        </is>
      </c>
      <c r="F1151" s="55" t="n">
        <v>180</v>
      </c>
      <c r="G1151" s="54" t="n">
        <v>35</v>
      </c>
      <c r="H1151" s="54" t="inlineStr">
        <is>
          <t>Uploaded PDF: Munitorum Field Manual v2.3 / March 2025</t>
        </is>
      </c>
    </row>
    <row r="1152">
      <c r="A1152" s="54" t="inlineStr">
        <is>
          <t>Thousand Sons</t>
        </is>
      </c>
      <c r="B1152" s="54" t="inlineStr">
        <is>
          <t>Thousand Sons Defiler</t>
        </is>
      </c>
      <c r="C1152" s="54" t="inlineStr">
        <is>
          <t>1 model</t>
        </is>
      </c>
      <c r="D1152" s="55" t="n">
        <v>190</v>
      </c>
      <c r="E1152" s="55" t="inlineStr">
        <is>
          <t>Thousand Sons Defiler — 1 model (190 pts)</t>
        </is>
      </c>
      <c r="F1152" s="55" t="n">
        <v>190</v>
      </c>
      <c r="G1152" s="54" t="n">
        <v>35</v>
      </c>
      <c r="H1152" s="54" t="inlineStr">
        <is>
          <t>Uploaded PDF: Munitorum Field Manual v2.3 / March 2025</t>
        </is>
      </c>
    </row>
    <row r="1153">
      <c r="A1153" s="54" t="inlineStr">
        <is>
          <t>Thousand Sons</t>
        </is>
      </c>
      <c r="B1153" s="54" t="inlineStr">
        <is>
          <t>Thousand Sons Forgefiend</t>
        </is>
      </c>
      <c r="C1153" s="54" t="inlineStr">
        <is>
          <t>1 model</t>
        </is>
      </c>
      <c r="D1153" s="55" t="n">
        <v>145</v>
      </c>
      <c r="E1153" s="55" t="inlineStr">
        <is>
          <t>Thousand Sons Forgefiend — 1 model (145 pts)</t>
        </is>
      </c>
      <c r="F1153" s="55" t="n">
        <v>145</v>
      </c>
      <c r="G1153" s="54" t="n">
        <v>35</v>
      </c>
      <c r="H1153" s="54" t="inlineStr">
        <is>
          <t>Uploaded PDF: Munitorum Field Manual v2.3 / March 2025</t>
        </is>
      </c>
    </row>
    <row r="1154">
      <c r="A1154" s="54" t="inlineStr">
        <is>
          <t>Thousand Sons</t>
        </is>
      </c>
      <c r="B1154" s="54" t="inlineStr">
        <is>
          <t>Thousand Sons Helbrute</t>
        </is>
      </c>
      <c r="C1154" s="54" t="inlineStr">
        <is>
          <t>1 model</t>
        </is>
      </c>
      <c r="D1154" s="55" t="n">
        <v>130</v>
      </c>
      <c r="E1154" s="55" t="inlineStr">
        <is>
          <t>Thousand Sons Helbrute — 1 model (130 pts)</t>
        </is>
      </c>
      <c r="F1154" s="55" t="n">
        <v>130</v>
      </c>
      <c r="G1154" s="54" t="n">
        <v>35</v>
      </c>
      <c r="H1154" s="54" t="inlineStr">
        <is>
          <t>Uploaded PDF: Munitorum Field Manual v2.3 / March 2025</t>
        </is>
      </c>
    </row>
    <row r="1155">
      <c r="A1155" s="54" t="inlineStr">
        <is>
          <t>Thousand Sons</t>
        </is>
      </c>
      <c r="B1155" s="54" t="inlineStr">
        <is>
          <t>Thousand Sons Heldrake</t>
        </is>
      </c>
      <c r="C1155" s="54" t="inlineStr">
        <is>
          <t>1 model</t>
        </is>
      </c>
      <c r="D1155" s="55" t="n">
        <v>195</v>
      </c>
      <c r="E1155" s="55" t="inlineStr">
        <is>
          <t>Thousand Sons Heldrake — 1 model (195 pts)</t>
        </is>
      </c>
      <c r="F1155" s="55" t="n">
        <v>195</v>
      </c>
      <c r="G1155" s="54" t="n">
        <v>35</v>
      </c>
      <c r="H1155" s="54" t="inlineStr">
        <is>
          <t>Uploaded PDF: Munitorum Field Manual v2.3 / March 2025</t>
        </is>
      </c>
    </row>
    <row r="1156">
      <c r="A1156" s="54" t="inlineStr">
        <is>
          <t>Thousand Sons</t>
        </is>
      </c>
      <c r="B1156" s="54" t="inlineStr">
        <is>
          <t>Thousand Sons Land Raider</t>
        </is>
      </c>
      <c r="C1156" s="54" t="inlineStr">
        <is>
          <t>1 model</t>
        </is>
      </c>
      <c r="D1156" s="55" t="n">
        <v>240</v>
      </c>
      <c r="E1156" s="55" t="inlineStr">
        <is>
          <t>Thousand Sons Land Raider — 1 model (240 pts)</t>
        </is>
      </c>
      <c r="F1156" s="55" t="n">
        <v>240</v>
      </c>
      <c r="G1156" s="54" t="n">
        <v>35</v>
      </c>
      <c r="H1156" s="54" t="inlineStr">
        <is>
          <t>Uploaded PDF: Munitorum Field Manual v2.3 / March 2025</t>
        </is>
      </c>
    </row>
    <row r="1157">
      <c r="A1157" s="54" t="inlineStr">
        <is>
          <t>Thousand Sons</t>
        </is>
      </c>
      <c r="B1157" s="54" t="inlineStr">
        <is>
          <t>Thousand Sons Maulerfiend</t>
        </is>
      </c>
      <c r="C1157" s="54" t="inlineStr">
        <is>
          <t>1 model</t>
        </is>
      </c>
      <c r="D1157" s="55" t="n">
        <v>140</v>
      </c>
      <c r="E1157" s="55" t="inlineStr">
        <is>
          <t>Thousand Sons Maulerfiend — 1 model (140 pts)</t>
        </is>
      </c>
      <c r="F1157" s="55" t="n">
        <v>140</v>
      </c>
      <c r="G1157" s="54" t="n">
        <v>35</v>
      </c>
      <c r="H1157" s="54" t="inlineStr">
        <is>
          <t>Uploaded PDF: Munitorum Field Manual v2.3 / March 2025</t>
        </is>
      </c>
    </row>
    <row r="1158">
      <c r="A1158" s="54" t="inlineStr">
        <is>
          <t>Thousand Sons</t>
        </is>
      </c>
      <c r="B1158" s="54" t="inlineStr">
        <is>
          <t>Thousand Sons Predator Annihilator</t>
        </is>
      </c>
      <c r="C1158" s="54" t="inlineStr">
        <is>
          <t>1 model</t>
        </is>
      </c>
      <c r="D1158" s="55" t="n">
        <v>135</v>
      </c>
      <c r="E1158" s="55" t="inlineStr">
        <is>
          <t>Thousand Sons Predator Annihilator — 1 model (135 pts)</t>
        </is>
      </c>
      <c r="F1158" s="55" t="n">
        <v>135</v>
      </c>
      <c r="G1158" s="54" t="n">
        <v>35</v>
      </c>
      <c r="H1158" s="54" t="inlineStr">
        <is>
          <t>Uploaded PDF: Munitorum Field Manual v2.3 / March 2025</t>
        </is>
      </c>
    </row>
    <row r="1159">
      <c r="A1159" s="54" t="inlineStr">
        <is>
          <t>Thousand Sons</t>
        </is>
      </c>
      <c r="B1159" s="54" t="inlineStr">
        <is>
          <t>Thousand Sons Predator Destructor</t>
        </is>
      </c>
      <c r="C1159" s="54" t="inlineStr">
        <is>
          <t>1 model</t>
        </is>
      </c>
      <c r="D1159" s="55" t="n">
        <v>140</v>
      </c>
      <c r="E1159" s="55" t="inlineStr">
        <is>
          <t>Thousand Sons Predator Destructor — 1 model (140 pts)</t>
        </is>
      </c>
      <c r="F1159" s="55" t="n">
        <v>140</v>
      </c>
      <c r="G1159" s="54" t="n">
        <v>35</v>
      </c>
      <c r="H1159" s="54" t="inlineStr">
        <is>
          <t>Uploaded PDF: Munitorum Field Manual v2.3 / March 2025</t>
        </is>
      </c>
    </row>
    <row r="1160">
      <c r="A1160" s="54" t="inlineStr">
        <is>
          <t>Thousand Sons</t>
        </is>
      </c>
      <c r="B1160" s="54" t="inlineStr">
        <is>
          <t>Thousand Sons Rhino</t>
        </is>
      </c>
      <c r="C1160" s="54" t="inlineStr">
        <is>
          <t>1 model</t>
        </is>
      </c>
      <c r="D1160" s="55" t="n">
        <v>75</v>
      </c>
      <c r="E1160" s="55" t="inlineStr">
        <is>
          <t>Thousand Sons Rhino — 1 model (75 pts)</t>
        </is>
      </c>
      <c r="F1160" s="55" t="n">
        <v>75</v>
      </c>
      <c r="G1160" s="54" t="n">
        <v>35</v>
      </c>
      <c r="H1160" s="54" t="inlineStr">
        <is>
          <t>Uploaded PDF: Munitorum Field Manual v2.3 / March 2025</t>
        </is>
      </c>
    </row>
    <row r="1161">
      <c r="A1161" s="54" t="inlineStr">
        <is>
          <t>Thousand Sons</t>
        </is>
      </c>
      <c r="B1161" s="54" t="inlineStr">
        <is>
          <t>Thousand Sons Sorcerer</t>
        </is>
      </c>
      <c r="C1161" s="54" t="inlineStr">
        <is>
          <t>1 model</t>
        </is>
      </c>
      <c r="D1161" s="55" t="n">
        <v>105</v>
      </c>
      <c r="E1161" s="55" t="inlineStr">
        <is>
          <t>Thousand Sons Sorcerer — 1 model (105 pts)</t>
        </is>
      </c>
      <c r="F1161" s="55" t="n">
        <v>105</v>
      </c>
      <c r="G1161" s="54" t="n">
        <v>35</v>
      </c>
      <c r="H1161" s="54" t="inlineStr">
        <is>
          <t>Uploaded PDF: Munitorum Field Manual v2.3 / March 2025</t>
        </is>
      </c>
    </row>
    <row r="1162">
      <c r="A1162" s="54" t="inlineStr">
        <is>
          <t>Thousand Sons</t>
        </is>
      </c>
      <c r="B1162" s="54" t="inlineStr">
        <is>
          <t>Thousand Sons Sorcerer in Terminator Armour</t>
        </is>
      </c>
      <c r="C1162" s="54" t="inlineStr">
        <is>
          <t>1 model</t>
        </is>
      </c>
      <c r="D1162" s="55" t="n">
        <v>105</v>
      </c>
      <c r="E1162" s="55" t="inlineStr">
        <is>
          <t>Thousand Sons Sorcerer in Terminator Armour — 1 model (105 pts)</t>
        </is>
      </c>
      <c r="F1162" s="55" t="n">
        <v>105</v>
      </c>
      <c r="G1162" s="54" t="n">
        <v>35</v>
      </c>
      <c r="H1162" s="54" t="inlineStr">
        <is>
          <t>Uploaded PDF: Munitorum Field Manual v2.3 / March 2025</t>
        </is>
      </c>
    </row>
    <row r="1163">
      <c r="A1163" s="54" t="inlineStr">
        <is>
          <t>Thousand Sons</t>
        </is>
      </c>
      <c r="B1163" s="54" t="inlineStr">
        <is>
          <t>Thousand Sons Vindicator</t>
        </is>
      </c>
      <c r="C1163" s="54" t="inlineStr">
        <is>
          <t>1 model</t>
        </is>
      </c>
      <c r="D1163" s="55" t="n">
        <v>185</v>
      </c>
      <c r="E1163" s="55" t="inlineStr">
        <is>
          <t>Thousand Sons Vindicator — 1 model (185 pts)</t>
        </is>
      </c>
      <c r="F1163" s="55" t="n">
        <v>185</v>
      </c>
      <c r="G1163" s="54" t="n">
        <v>35</v>
      </c>
      <c r="H1163" s="54" t="inlineStr">
        <is>
          <t>Uploaded PDF: Munitorum Field Manual v2.3 / March 2025</t>
        </is>
      </c>
    </row>
    <row r="1164">
      <c r="A1164" s="54" t="inlineStr">
        <is>
          <t>Thousand Sons</t>
        </is>
      </c>
      <c r="B1164" s="54" t="inlineStr">
        <is>
          <t>Tzaangor Enlightened</t>
        </is>
      </c>
      <c r="C1164" s="54" t="inlineStr">
        <is>
          <t>3 models</t>
        </is>
      </c>
      <c r="D1164" s="55" t="n">
        <v>50</v>
      </c>
      <c r="E1164" s="55" t="inlineStr">
        <is>
          <t>Tzaangor Enlightened — 3 models (50 pts)</t>
        </is>
      </c>
      <c r="F1164" s="55" t="n">
        <v>50</v>
      </c>
      <c r="G1164" s="54" t="n">
        <v>35</v>
      </c>
      <c r="H1164" s="54" t="inlineStr">
        <is>
          <t>Uploaded PDF: Munitorum Field Manual v2.3 / March 2025</t>
        </is>
      </c>
    </row>
    <row r="1165">
      <c r="A1165" s="54" t="inlineStr">
        <is>
          <t>Thousand Sons</t>
        </is>
      </c>
      <c r="B1165" s="54" t="inlineStr">
        <is>
          <t>Tzaangor Enlightened</t>
        </is>
      </c>
      <c r="C1165" s="54" t="inlineStr">
        <is>
          <t>6 models</t>
        </is>
      </c>
      <c r="D1165" s="55" t="n">
        <v>80</v>
      </c>
      <c r="E1165" s="55" t="inlineStr">
        <is>
          <t>Tzaangor Enlightened — 6 models (80 pts)</t>
        </is>
      </c>
      <c r="F1165" s="55" t="n">
        <v>80</v>
      </c>
      <c r="G1165" s="54" t="n">
        <v>35</v>
      </c>
      <c r="H1165" s="54" t="inlineStr">
        <is>
          <t>Uploaded PDF: Munitorum Field Manual v2.3 / March 2025</t>
        </is>
      </c>
    </row>
    <row r="1166">
      <c r="A1166" s="54" t="inlineStr">
        <is>
          <t>Thousand Sons</t>
        </is>
      </c>
      <c r="B1166" s="54" t="inlineStr">
        <is>
          <t>Tzaangor Shaman</t>
        </is>
      </c>
      <c r="C1166" s="54" t="inlineStr">
        <is>
          <t>1 model</t>
        </is>
      </c>
      <c r="D1166" s="55" t="n">
        <v>60</v>
      </c>
      <c r="E1166" s="55" t="inlineStr">
        <is>
          <t>Tzaangor Shaman — 1 model (60 pts)</t>
        </is>
      </c>
      <c r="F1166" s="55" t="n">
        <v>60</v>
      </c>
      <c r="G1166" s="54" t="n">
        <v>35</v>
      </c>
      <c r="H1166" s="54" t="inlineStr">
        <is>
          <t>Uploaded PDF: Munitorum Field Manual v2.3 / March 2025</t>
        </is>
      </c>
    </row>
    <row r="1167">
      <c r="A1167" s="54" t="inlineStr">
        <is>
          <t>Thousand Sons</t>
        </is>
      </c>
      <c r="B1167" s="54" t="inlineStr">
        <is>
          <t>Tzaangors</t>
        </is>
      </c>
      <c r="C1167" s="54" t="inlineStr">
        <is>
          <t>10 models</t>
        </is>
      </c>
      <c r="D1167" s="55" t="n">
        <v>65</v>
      </c>
      <c r="E1167" s="55" t="inlineStr">
        <is>
          <t>Tzaangors — 10 models (65 pts)</t>
        </is>
      </c>
      <c r="F1167" s="55" t="n">
        <v>65</v>
      </c>
      <c r="G1167" s="54" t="n">
        <v>35</v>
      </c>
      <c r="H1167" s="54" t="inlineStr">
        <is>
          <t>Uploaded PDF: Munitorum Field Manual v2.3 / March 2025</t>
        </is>
      </c>
    </row>
    <row r="1168">
      <c r="A1168" s="54" t="inlineStr">
        <is>
          <t>Thousand Sons</t>
        </is>
      </c>
      <c r="B1168" s="54" t="inlineStr">
        <is>
          <t>Tzaangors</t>
        </is>
      </c>
      <c r="C1168" s="54" t="inlineStr">
        <is>
          <t>20 models</t>
        </is>
      </c>
      <c r="D1168" s="55" t="n">
        <v>120</v>
      </c>
      <c r="E1168" s="55" t="inlineStr">
        <is>
          <t>Tzaangors — 20 models (120 pts)</t>
        </is>
      </c>
      <c r="F1168" s="55" t="n">
        <v>120</v>
      </c>
      <c r="G1168" s="54" t="n">
        <v>35</v>
      </c>
      <c r="H1168" s="54" t="inlineStr">
        <is>
          <t>Uploaded PDF: Munitorum Field Manual v2.3 / March 2025</t>
        </is>
      </c>
    </row>
    <row r="1169">
      <c r="A1169" s="54" t="inlineStr">
        <is>
          <t>Tyranids</t>
        </is>
      </c>
      <c r="B1169" s="54" t="inlineStr">
        <is>
          <t>Barbgaunts</t>
        </is>
      </c>
      <c r="C1169" s="54" t="inlineStr">
        <is>
          <t>5 models</t>
        </is>
      </c>
      <c r="D1169" s="55" t="n">
        <v>55</v>
      </c>
      <c r="E1169" s="55" t="inlineStr">
        <is>
          <t>Barbgaunts — 5 models (55 pts)</t>
        </is>
      </c>
      <c r="F1169" s="55" t="n">
        <v>55</v>
      </c>
      <c r="G1169" s="54" t="n">
        <v>36</v>
      </c>
      <c r="H1169" s="54" t="inlineStr">
        <is>
          <t>Uploaded PDF: Munitorum Field Manual v2.3 / March 2025</t>
        </is>
      </c>
    </row>
    <row r="1170">
      <c r="A1170" s="54" t="inlineStr">
        <is>
          <t>Tyranids</t>
        </is>
      </c>
      <c r="B1170" s="54" t="inlineStr">
        <is>
          <t>Barbgaunts</t>
        </is>
      </c>
      <c r="C1170" s="54" t="inlineStr">
        <is>
          <t>10 models</t>
        </is>
      </c>
      <c r="D1170" s="55" t="n">
        <v>110</v>
      </c>
      <c r="E1170" s="55" t="inlineStr">
        <is>
          <t>Barbgaunts — 10 models (110 pts)</t>
        </is>
      </c>
      <c r="F1170" s="55" t="n">
        <v>110</v>
      </c>
      <c r="G1170" s="54" t="n">
        <v>36</v>
      </c>
      <c r="H1170" s="54" t="inlineStr">
        <is>
          <t>Uploaded PDF: Munitorum Field Manual v2.3 / March 2025</t>
        </is>
      </c>
    </row>
    <row r="1171">
      <c r="A1171" s="54" t="inlineStr">
        <is>
          <t>Tyranids</t>
        </is>
      </c>
      <c r="B1171" s="54" t="inlineStr">
        <is>
          <t>Biovores</t>
        </is>
      </c>
      <c r="C1171" s="54" t="inlineStr">
        <is>
          <t>1 model</t>
        </is>
      </c>
      <c r="D1171" s="55" t="n">
        <v>50</v>
      </c>
      <c r="E1171" s="55" t="inlineStr">
        <is>
          <t>Biovores — 1 model (50 pts)</t>
        </is>
      </c>
      <c r="F1171" s="55" t="n">
        <v>50</v>
      </c>
      <c r="G1171" s="54" t="n">
        <v>36</v>
      </c>
      <c r="H1171" s="54" t="inlineStr">
        <is>
          <t>Uploaded PDF: Munitorum Field Manual v2.3 / March 2025</t>
        </is>
      </c>
    </row>
    <row r="1172">
      <c r="A1172" s="54" t="inlineStr">
        <is>
          <t>Tyranids</t>
        </is>
      </c>
      <c r="B1172" s="54" t="inlineStr">
        <is>
          <t>Biovores</t>
        </is>
      </c>
      <c r="C1172" s="54" t="inlineStr">
        <is>
          <t>2 models</t>
        </is>
      </c>
      <c r="D1172" s="55" t="n">
        <v>100</v>
      </c>
      <c r="E1172" s="55" t="inlineStr">
        <is>
          <t>Biovores — 2 models (100 pts)</t>
        </is>
      </c>
      <c r="F1172" s="55" t="n">
        <v>100</v>
      </c>
      <c r="G1172" s="54" t="n">
        <v>36</v>
      </c>
      <c r="H1172" s="54" t="inlineStr">
        <is>
          <t>Uploaded PDF: Munitorum Field Manual v2.3 / March 2025</t>
        </is>
      </c>
    </row>
    <row r="1173">
      <c r="A1173" s="54" t="inlineStr">
        <is>
          <t>Tyranids</t>
        </is>
      </c>
      <c r="B1173" s="54" t="inlineStr">
        <is>
          <t>Biovores</t>
        </is>
      </c>
      <c r="C1173" s="54" t="inlineStr">
        <is>
          <t>3 models</t>
        </is>
      </c>
      <c r="D1173" s="55" t="n">
        <v>150</v>
      </c>
      <c r="E1173" s="55" t="inlineStr">
        <is>
          <t>Biovores — 3 models (150 pts)</t>
        </is>
      </c>
      <c r="F1173" s="55" t="n">
        <v>150</v>
      </c>
      <c r="G1173" s="54" t="n">
        <v>36</v>
      </c>
      <c r="H1173" s="54" t="inlineStr">
        <is>
          <t>Uploaded PDF: Munitorum Field Manual v2.3 / March 2025</t>
        </is>
      </c>
    </row>
    <row r="1174">
      <c r="A1174" s="54" t="inlineStr">
        <is>
          <t>Tyranids</t>
        </is>
      </c>
      <c r="B1174" s="54" t="inlineStr">
        <is>
          <t>Broodlord</t>
        </is>
      </c>
      <c r="C1174" s="54" t="inlineStr">
        <is>
          <t>1 model</t>
        </is>
      </c>
      <c r="D1174" s="55" t="n">
        <v>80</v>
      </c>
      <c r="E1174" s="55" t="inlineStr">
        <is>
          <t>Broodlord — 1 model (80 pts)</t>
        </is>
      </c>
      <c r="F1174" s="55" t="n">
        <v>80</v>
      </c>
      <c r="G1174" s="54" t="n">
        <v>36</v>
      </c>
      <c r="H1174" s="54" t="inlineStr">
        <is>
          <t>Uploaded PDF: Munitorum Field Manual v2.3 / March 2025</t>
        </is>
      </c>
    </row>
    <row r="1175">
      <c r="A1175" s="54" t="inlineStr">
        <is>
          <t>Tyranids</t>
        </is>
      </c>
      <c r="B1175" s="54" t="inlineStr">
        <is>
          <t>Carnifexes</t>
        </is>
      </c>
      <c r="C1175" s="54" t="inlineStr">
        <is>
          <t>1 model</t>
        </is>
      </c>
      <c r="D1175" s="55" t="n">
        <v>115</v>
      </c>
      <c r="E1175" s="55" t="inlineStr">
        <is>
          <t>Carnifexes — 1 model (115 pts)</t>
        </is>
      </c>
      <c r="F1175" s="55" t="n">
        <v>115</v>
      </c>
      <c r="G1175" s="54" t="n">
        <v>36</v>
      </c>
      <c r="H1175" s="54" t="inlineStr">
        <is>
          <t>Uploaded PDF: Munitorum Field Manual v2.3 / March 2025</t>
        </is>
      </c>
    </row>
    <row r="1176">
      <c r="A1176" s="54" t="inlineStr">
        <is>
          <t>Tyranids</t>
        </is>
      </c>
      <c r="B1176" s="54" t="inlineStr">
        <is>
          <t>Carnifexes</t>
        </is>
      </c>
      <c r="C1176" s="54" t="inlineStr">
        <is>
          <t>2 models</t>
        </is>
      </c>
      <c r="D1176" s="55" t="n">
        <v>230</v>
      </c>
      <c r="E1176" s="55" t="inlineStr">
        <is>
          <t>Carnifexes — 2 models (230 pts)</t>
        </is>
      </c>
      <c r="F1176" s="55" t="n">
        <v>230</v>
      </c>
      <c r="G1176" s="54" t="n">
        <v>36</v>
      </c>
      <c r="H1176" s="54" t="inlineStr">
        <is>
          <t>Uploaded PDF: Munitorum Field Manual v2.3 / March 2025</t>
        </is>
      </c>
    </row>
    <row r="1177">
      <c r="A1177" s="54" t="inlineStr">
        <is>
          <t>Tyranids</t>
        </is>
      </c>
      <c r="B1177" s="54" t="inlineStr">
        <is>
          <t>Deathleaper</t>
        </is>
      </c>
      <c r="C1177" s="54" t="inlineStr">
        <is>
          <t>1 model</t>
        </is>
      </c>
      <c r="D1177" s="55" t="n">
        <v>80</v>
      </c>
      <c r="E1177" s="55" t="inlineStr">
        <is>
          <t>Deathleaper — 1 model (80 pts)</t>
        </is>
      </c>
      <c r="F1177" s="55" t="n">
        <v>80</v>
      </c>
      <c r="G1177" s="54" t="n">
        <v>36</v>
      </c>
      <c r="H1177" s="54" t="inlineStr">
        <is>
          <t>Uploaded PDF: Munitorum Field Manual v2.3 / March 2025</t>
        </is>
      </c>
    </row>
    <row r="1178">
      <c r="A1178" s="54" t="inlineStr">
        <is>
          <t>Tyranids</t>
        </is>
      </c>
      <c r="B1178" s="54" t="inlineStr">
        <is>
          <t>Exocrine</t>
        </is>
      </c>
      <c r="C1178" s="54" t="inlineStr">
        <is>
          <t>1 model</t>
        </is>
      </c>
      <c r="D1178" s="55" t="n">
        <v>140</v>
      </c>
      <c r="E1178" s="55" t="inlineStr">
        <is>
          <t>Exocrine — 1 model (140 pts)</t>
        </is>
      </c>
      <c r="F1178" s="55" t="n">
        <v>140</v>
      </c>
      <c r="G1178" s="54" t="n">
        <v>36</v>
      </c>
      <c r="H1178" s="54" t="inlineStr">
        <is>
          <t>Uploaded PDF: Munitorum Field Manual v2.3 / March 2025</t>
        </is>
      </c>
    </row>
    <row r="1179">
      <c r="A1179" s="54" t="inlineStr">
        <is>
          <t>Tyranids</t>
        </is>
      </c>
      <c r="B1179" s="54" t="inlineStr">
        <is>
          <t>Gargoyles</t>
        </is>
      </c>
      <c r="C1179" s="54" t="inlineStr">
        <is>
          <t>10 models</t>
        </is>
      </c>
      <c r="D1179" s="55" t="n">
        <v>85</v>
      </c>
      <c r="E1179" s="55" t="inlineStr">
        <is>
          <t>Gargoyles — 10 models (85 pts)</t>
        </is>
      </c>
      <c r="F1179" s="55" t="n">
        <v>85</v>
      </c>
      <c r="G1179" s="54" t="n">
        <v>36</v>
      </c>
      <c r="H1179" s="54" t="inlineStr">
        <is>
          <t>Uploaded PDF: Munitorum Field Manual v2.3 / March 2025</t>
        </is>
      </c>
    </row>
    <row r="1180">
      <c r="A1180" s="54" t="inlineStr">
        <is>
          <t>Tyranids</t>
        </is>
      </c>
      <c r="B1180" s="54" t="inlineStr">
        <is>
          <t>Gargoyles</t>
        </is>
      </c>
      <c r="C1180" s="54" t="inlineStr">
        <is>
          <t>20 models</t>
        </is>
      </c>
      <c r="D1180" s="55" t="n">
        <v>170</v>
      </c>
      <c r="E1180" s="55" t="inlineStr">
        <is>
          <t>Gargoyles — 20 models (170 pts)</t>
        </is>
      </c>
      <c r="F1180" s="55" t="n">
        <v>170</v>
      </c>
      <c r="G1180" s="54" t="n">
        <v>36</v>
      </c>
      <c r="H1180" s="54" t="inlineStr">
        <is>
          <t>Uploaded PDF: Munitorum Field Manual v2.3 / March 2025</t>
        </is>
      </c>
    </row>
    <row r="1181">
      <c r="A1181" s="54" t="inlineStr">
        <is>
          <t>Tyranids</t>
        </is>
      </c>
      <c r="B1181" s="54" t="inlineStr">
        <is>
          <t>Genestealers</t>
        </is>
      </c>
      <c r="C1181" s="54" t="inlineStr">
        <is>
          <t>5 models</t>
        </is>
      </c>
      <c r="D1181" s="55" t="n">
        <v>75</v>
      </c>
      <c r="E1181" s="55" t="inlineStr">
        <is>
          <t>Genestealers — 5 models (75 pts)</t>
        </is>
      </c>
      <c r="F1181" s="55" t="n">
        <v>75</v>
      </c>
      <c r="G1181" s="54" t="n">
        <v>36</v>
      </c>
      <c r="H1181" s="54" t="inlineStr">
        <is>
          <t>Uploaded PDF: Munitorum Field Manual v2.3 / March 2025</t>
        </is>
      </c>
    </row>
    <row r="1182">
      <c r="A1182" s="54" t="inlineStr">
        <is>
          <t>Tyranids</t>
        </is>
      </c>
      <c r="B1182" s="54" t="inlineStr">
        <is>
          <t>Genestealers</t>
        </is>
      </c>
      <c r="C1182" s="54" t="inlineStr">
        <is>
          <t>10 models</t>
        </is>
      </c>
      <c r="D1182" s="55" t="n">
        <v>150</v>
      </c>
      <c r="E1182" s="55" t="inlineStr">
        <is>
          <t>Genestealers — 10 models (150 pts)</t>
        </is>
      </c>
      <c r="F1182" s="55" t="n">
        <v>150</v>
      </c>
      <c r="G1182" s="54" t="n">
        <v>36</v>
      </c>
      <c r="H1182" s="54" t="inlineStr">
        <is>
          <t>Uploaded PDF: Munitorum Field Manual v2.3 / March 2025</t>
        </is>
      </c>
    </row>
    <row r="1183">
      <c r="A1183" s="54" t="inlineStr">
        <is>
          <t>Tyranids</t>
        </is>
      </c>
      <c r="B1183" s="54" t="inlineStr">
        <is>
          <t>Harpy</t>
        </is>
      </c>
      <c r="C1183" s="54" t="inlineStr">
        <is>
          <t>1 model</t>
        </is>
      </c>
      <c r="D1183" s="55" t="n">
        <v>215</v>
      </c>
      <c r="E1183" s="55" t="inlineStr">
        <is>
          <t>Harpy — 1 model (215 pts)</t>
        </is>
      </c>
      <c r="F1183" s="55" t="n">
        <v>215</v>
      </c>
      <c r="G1183" s="54" t="n">
        <v>36</v>
      </c>
      <c r="H1183" s="54" t="inlineStr">
        <is>
          <t>Uploaded PDF: Munitorum Field Manual v2.3 / March 2025</t>
        </is>
      </c>
    </row>
    <row r="1184">
      <c r="A1184" s="54" t="inlineStr">
        <is>
          <t>Tyranids</t>
        </is>
      </c>
      <c r="B1184" s="54" t="inlineStr">
        <is>
          <t>Haruspex</t>
        </is>
      </c>
      <c r="C1184" s="54" t="inlineStr">
        <is>
          <t>1 model</t>
        </is>
      </c>
      <c r="D1184" s="55" t="n">
        <v>125</v>
      </c>
      <c r="E1184" s="55" t="inlineStr">
        <is>
          <t>Haruspex — 1 model (125 pts)</t>
        </is>
      </c>
      <c r="F1184" s="55" t="n">
        <v>125</v>
      </c>
      <c r="G1184" s="54" t="n">
        <v>36</v>
      </c>
      <c r="H1184" s="54" t="inlineStr">
        <is>
          <t>Uploaded PDF: Munitorum Field Manual v2.3 / March 2025</t>
        </is>
      </c>
    </row>
    <row r="1185">
      <c r="A1185" s="54" t="inlineStr">
        <is>
          <t>Tyranids</t>
        </is>
      </c>
      <c r="B1185" s="54" t="inlineStr">
        <is>
          <t>Hive Crone</t>
        </is>
      </c>
      <c r="C1185" s="54" t="inlineStr">
        <is>
          <t>1 model</t>
        </is>
      </c>
      <c r="D1185" s="55" t="n">
        <v>200</v>
      </c>
      <c r="E1185" s="55" t="inlineStr">
        <is>
          <t>Hive Crone — 1 model (200 pts)</t>
        </is>
      </c>
      <c r="F1185" s="55" t="n">
        <v>200</v>
      </c>
      <c r="G1185" s="54" t="n">
        <v>36</v>
      </c>
      <c r="H1185" s="54" t="inlineStr">
        <is>
          <t>Uploaded PDF: Munitorum Field Manual v2.3 / March 2025</t>
        </is>
      </c>
    </row>
    <row r="1186">
      <c r="A1186" s="54" t="inlineStr">
        <is>
          <t>Tyranids</t>
        </is>
      </c>
      <c r="B1186" s="54" t="inlineStr">
        <is>
          <t>Hive Guard</t>
        </is>
      </c>
      <c r="C1186" s="54" t="inlineStr">
        <is>
          <t>3 models</t>
        </is>
      </c>
      <c r="D1186" s="55" t="n">
        <v>100</v>
      </c>
      <c r="E1186" s="55" t="inlineStr">
        <is>
          <t>Hive Guard — 3 models (100 pts)</t>
        </is>
      </c>
      <c r="F1186" s="55" t="n">
        <v>100</v>
      </c>
      <c r="G1186" s="54" t="n">
        <v>36</v>
      </c>
      <c r="H1186" s="54" t="inlineStr">
        <is>
          <t>Uploaded PDF: Munitorum Field Manual v2.3 / March 2025</t>
        </is>
      </c>
    </row>
    <row r="1187">
      <c r="A1187" s="54" t="inlineStr">
        <is>
          <t>Tyranids</t>
        </is>
      </c>
      <c r="B1187" s="54" t="inlineStr">
        <is>
          <t>Hive Guard</t>
        </is>
      </c>
      <c r="C1187" s="54" t="inlineStr">
        <is>
          <t>6 models</t>
        </is>
      </c>
      <c r="D1187" s="55" t="n">
        <v>200</v>
      </c>
      <c r="E1187" s="55" t="inlineStr">
        <is>
          <t>Hive Guard — 6 models (200 pts)</t>
        </is>
      </c>
      <c r="F1187" s="55" t="n">
        <v>200</v>
      </c>
      <c r="G1187" s="54" t="n">
        <v>36</v>
      </c>
      <c r="H1187" s="54" t="inlineStr">
        <is>
          <t>Uploaded PDF: Munitorum Field Manual v2.3 / March 2025</t>
        </is>
      </c>
    </row>
    <row r="1188">
      <c r="A1188" s="54" t="inlineStr">
        <is>
          <t>Tyranids</t>
        </is>
      </c>
      <c r="B1188" s="54" t="inlineStr">
        <is>
          <t>Hive Tyrant</t>
        </is>
      </c>
      <c r="C1188" s="54" t="inlineStr">
        <is>
          <t>1 model</t>
        </is>
      </c>
      <c r="D1188" s="55" t="n">
        <v>225</v>
      </c>
      <c r="E1188" s="55" t="inlineStr">
        <is>
          <t>Hive Tyrant — 1 model (225 pts)</t>
        </is>
      </c>
      <c r="F1188" s="55" t="n">
        <v>225</v>
      </c>
      <c r="G1188" s="54" t="n">
        <v>36</v>
      </c>
      <c r="H1188" s="54" t="inlineStr">
        <is>
          <t>Uploaded PDF: Munitorum Field Manual v2.3 / March 2025</t>
        </is>
      </c>
    </row>
    <row r="1189">
      <c r="A1189" s="54" t="inlineStr">
        <is>
          <t>Tyranids</t>
        </is>
      </c>
      <c r="B1189" s="54" t="inlineStr">
        <is>
          <t>Hormagaunts</t>
        </is>
      </c>
      <c r="C1189" s="54" t="inlineStr">
        <is>
          <t>10 models</t>
        </is>
      </c>
      <c r="D1189" s="55" t="n">
        <v>65</v>
      </c>
      <c r="E1189" s="55" t="inlineStr">
        <is>
          <t>Hormagaunts — 10 models (65 pts)</t>
        </is>
      </c>
      <c r="F1189" s="55" t="n">
        <v>65</v>
      </c>
      <c r="G1189" s="54" t="n">
        <v>36</v>
      </c>
      <c r="H1189" s="54" t="inlineStr">
        <is>
          <t>Uploaded PDF: Munitorum Field Manual v2.3 / March 2025</t>
        </is>
      </c>
    </row>
    <row r="1190">
      <c r="A1190" s="54" t="inlineStr">
        <is>
          <t>Tyranids</t>
        </is>
      </c>
      <c r="B1190" s="54" t="inlineStr">
        <is>
          <t>Hormagaunts</t>
        </is>
      </c>
      <c r="C1190" s="54" t="inlineStr">
        <is>
          <t>20 models</t>
        </is>
      </c>
      <c r="D1190" s="55" t="n">
        <v>130</v>
      </c>
      <c r="E1190" s="55" t="inlineStr">
        <is>
          <t>Hormagaunts — 20 models (130 pts)</t>
        </is>
      </c>
      <c r="F1190" s="55" t="n">
        <v>130</v>
      </c>
      <c r="G1190" s="54" t="n">
        <v>36</v>
      </c>
      <c r="H1190" s="54" t="inlineStr">
        <is>
          <t>Uploaded PDF: Munitorum Field Manual v2.3 / March 2025</t>
        </is>
      </c>
    </row>
    <row r="1191">
      <c r="A1191" s="54" t="inlineStr">
        <is>
          <t>Tyranids</t>
        </is>
      </c>
      <c r="B1191" s="54" t="inlineStr">
        <is>
          <t>Lictor</t>
        </is>
      </c>
      <c r="C1191" s="54" t="inlineStr">
        <is>
          <t>1 model</t>
        </is>
      </c>
      <c r="D1191" s="55" t="n">
        <v>60</v>
      </c>
      <c r="E1191" s="55" t="inlineStr">
        <is>
          <t>Lictor — 1 model (60 pts)</t>
        </is>
      </c>
      <c r="F1191" s="55" t="n">
        <v>60</v>
      </c>
      <c r="G1191" s="54" t="n">
        <v>36</v>
      </c>
      <c r="H1191" s="54" t="inlineStr">
        <is>
          <t>Uploaded PDF: Munitorum Field Manual v2.3 / March 2025</t>
        </is>
      </c>
    </row>
    <row r="1192">
      <c r="A1192" s="54" t="inlineStr">
        <is>
          <t>Tyranids</t>
        </is>
      </c>
      <c r="B1192" s="54" t="inlineStr">
        <is>
          <t>Maleceptor</t>
        </is>
      </c>
      <c r="C1192" s="54" t="inlineStr">
        <is>
          <t>1 model</t>
        </is>
      </c>
      <c r="D1192" s="55" t="n">
        <v>170</v>
      </c>
      <c r="E1192" s="55" t="inlineStr">
        <is>
          <t>Maleceptor — 1 model (170 pts)</t>
        </is>
      </c>
      <c r="F1192" s="55" t="n">
        <v>170</v>
      </c>
      <c r="G1192" s="54" t="n">
        <v>36</v>
      </c>
      <c r="H1192" s="54" t="inlineStr">
        <is>
          <t>Uploaded PDF: Munitorum Field Manual v2.3 / March 2025</t>
        </is>
      </c>
    </row>
    <row r="1193">
      <c r="A1193" s="54" t="inlineStr">
        <is>
          <t>Tyranids</t>
        </is>
      </c>
      <c r="B1193" s="54" t="inlineStr">
        <is>
          <t>Mawloc</t>
        </is>
      </c>
      <c r="C1193" s="54" t="inlineStr">
        <is>
          <t>1 model</t>
        </is>
      </c>
      <c r="D1193" s="55" t="n">
        <v>145</v>
      </c>
      <c r="E1193" s="55" t="inlineStr">
        <is>
          <t>Mawloc — 1 model (145 pts)</t>
        </is>
      </c>
      <c r="F1193" s="55" t="n">
        <v>145</v>
      </c>
      <c r="G1193" s="54" t="n">
        <v>36</v>
      </c>
      <c r="H1193" s="54" t="inlineStr">
        <is>
          <t>Uploaded PDF: Munitorum Field Manual v2.3 / March 2025</t>
        </is>
      </c>
    </row>
    <row r="1194">
      <c r="A1194" s="54" t="inlineStr">
        <is>
          <t>Tyranids</t>
        </is>
      </c>
      <c r="B1194" s="54" t="inlineStr">
        <is>
          <t>Mucolid Spores</t>
        </is>
      </c>
      <c r="C1194" s="54" t="inlineStr">
        <is>
          <t>1 model</t>
        </is>
      </c>
      <c r="D1194" s="55" t="n">
        <v>30</v>
      </c>
      <c r="E1194" s="55" t="inlineStr">
        <is>
          <t>Mucolid Spores — 1 model (30 pts)</t>
        </is>
      </c>
      <c r="F1194" s="55" t="n">
        <v>30</v>
      </c>
      <c r="G1194" s="54" t="n">
        <v>36</v>
      </c>
      <c r="H1194" s="54" t="inlineStr">
        <is>
          <t>Uploaded PDF: Munitorum Field Manual v2.3 / March 2025</t>
        </is>
      </c>
    </row>
    <row r="1195">
      <c r="A1195" s="54" t="inlineStr">
        <is>
          <t>Tyranids</t>
        </is>
      </c>
      <c r="B1195" s="54" t="inlineStr">
        <is>
          <t>Mucolid Spores</t>
        </is>
      </c>
      <c r="C1195" s="54" t="inlineStr">
        <is>
          <t>2 models</t>
        </is>
      </c>
      <c r="D1195" s="55" t="n">
        <v>60</v>
      </c>
      <c r="E1195" s="55" t="inlineStr">
        <is>
          <t>Mucolid Spores — 2 models (60 pts)</t>
        </is>
      </c>
      <c r="F1195" s="55" t="n">
        <v>60</v>
      </c>
      <c r="G1195" s="54" t="n">
        <v>36</v>
      </c>
      <c r="H1195" s="54" t="inlineStr">
        <is>
          <t>Uploaded PDF: Munitorum Field Manual v2.3 / March 2025</t>
        </is>
      </c>
    </row>
    <row r="1196">
      <c r="A1196" s="54" t="inlineStr">
        <is>
          <t>Tyranids</t>
        </is>
      </c>
      <c r="B1196" s="54" t="inlineStr">
        <is>
          <t>Neurogaunts</t>
        </is>
      </c>
      <c r="C1196" s="54" t="inlineStr">
        <is>
          <t>11 models</t>
        </is>
      </c>
      <c r="D1196" s="55" t="n">
        <v>45</v>
      </c>
      <c r="E1196" s="55" t="inlineStr">
        <is>
          <t>Neurogaunts — 11 models (45 pts)</t>
        </is>
      </c>
      <c r="F1196" s="55" t="n">
        <v>45</v>
      </c>
      <c r="G1196" s="54" t="n">
        <v>36</v>
      </c>
      <c r="H1196" s="54" t="inlineStr">
        <is>
          <t>Uploaded PDF: Munitorum Field Manual v2.3 / March 2025</t>
        </is>
      </c>
    </row>
    <row r="1197">
      <c r="A1197" s="54" t="inlineStr">
        <is>
          <t>Tyranids</t>
        </is>
      </c>
      <c r="B1197" s="54" t="inlineStr">
        <is>
          <t>Neurogaunts</t>
        </is>
      </c>
      <c r="C1197" s="54" t="inlineStr">
        <is>
          <t>22 models</t>
        </is>
      </c>
      <c r="D1197" s="55" t="n">
        <v>90</v>
      </c>
      <c r="E1197" s="55" t="inlineStr">
        <is>
          <t>Neurogaunts — 22 models (90 pts)</t>
        </is>
      </c>
      <c r="F1197" s="55" t="n">
        <v>90</v>
      </c>
      <c r="G1197" s="54" t="n">
        <v>36</v>
      </c>
      <c r="H1197" s="54" t="inlineStr">
        <is>
          <t>Uploaded PDF: Munitorum Field Manual v2.3 / March 2025</t>
        </is>
      </c>
    </row>
    <row r="1198">
      <c r="A1198" s="54" t="inlineStr">
        <is>
          <t>Tyranids</t>
        </is>
      </c>
      <c r="B1198" s="54" t="inlineStr">
        <is>
          <t>Neurolictor</t>
        </is>
      </c>
      <c r="C1198" s="54" t="inlineStr">
        <is>
          <t>1 model</t>
        </is>
      </c>
      <c r="D1198" s="55" t="n">
        <v>80</v>
      </c>
      <c r="E1198" s="55" t="inlineStr">
        <is>
          <t>Neurolictor — 1 model (80 pts)</t>
        </is>
      </c>
      <c r="F1198" s="55" t="n">
        <v>80</v>
      </c>
      <c r="G1198" s="54" t="n">
        <v>36</v>
      </c>
      <c r="H1198" s="54" t="inlineStr">
        <is>
          <t>Uploaded PDF: Munitorum Field Manual v2.3 / March 2025</t>
        </is>
      </c>
    </row>
    <row r="1199">
      <c r="A1199" s="54" t="inlineStr">
        <is>
          <t>Tyranids</t>
        </is>
      </c>
      <c r="B1199" s="54" t="inlineStr">
        <is>
          <t>Neurotyrant</t>
        </is>
      </c>
      <c r="C1199" s="54" t="inlineStr">
        <is>
          <t>1 model</t>
        </is>
      </c>
      <c r="D1199" s="55" t="n">
        <v>105</v>
      </c>
      <c r="E1199" s="55" t="inlineStr">
        <is>
          <t>Neurotyrant — 1 model (105 pts)</t>
        </is>
      </c>
      <c r="F1199" s="55" t="n">
        <v>105</v>
      </c>
      <c r="G1199" s="54" t="n">
        <v>36</v>
      </c>
      <c r="H1199" s="54" t="inlineStr">
        <is>
          <t>Uploaded PDF: Munitorum Field Manual v2.3 / March 2025</t>
        </is>
      </c>
    </row>
    <row r="1200">
      <c r="A1200" s="54" t="inlineStr">
        <is>
          <t>Tyranids</t>
        </is>
      </c>
      <c r="B1200" s="54" t="inlineStr">
        <is>
          <t>Norn Assimilator</t>
        </is>
      </c>
      <c r="C1200" s="54" t="inlineStr">
        <is>
          <t>1 model</t>
        </is>
      </c>
      <c r="D1200" s="55" t="n">
        <v>275</v>
      </c>
      <c r="E1200" s="55" t="inlineStr">
        <is>
          <t>Norn Assimilator — 1 model (275 pts)</t>
        </is>
      </c>
      <c r="F1200" s="55" t="n">
        <v>275</v>
      </c>
      <c r="G1200" s="54" t="n">
        <v>36</v>
      </c>
      <c r="H1200" s="54" t="inlineStr">
        <is>
          <t>Uploaded PDF: Munitorum Field Manual v2.3 / March 2025</t>
        </is>
      </c>
    </row>
    <row r="1201">
      <c r="A1201" s="54" t="inlineStr">
        <is>
          <t>Tyranids</t>
        </is>
      </c>
      <c r="B1201" s="54" t="inlineStr">
        <is>
          <t>Norn Emissary</t>
        </is>
      </c>
      <c r="C1201" s="54" t="inlineStr">
        <is>
          <t>1 model</t>
        </is>
      </c>
      <c r="D1201" s="55" t="n">
        <v>260</v>
      </c>
      <c r="E1201" s="55" t="inlineStr">
        <is>
          <t>Norn Emissary — 1 model (260 pts)</t>
        </is>
      </c>
      <c r="F1201" s="55" t="n">
        <v>260</v>
      </c>
      <c r="G1201" s="54" t="n">
        <v>36</v>
      </c>
      <c r="H1201" s="54" t="inlineStr">
        <is>
          <t>Uploaded PDF: Munitorum Field Manual v2.3 / March 2025</t>
        </is>
      </c>
    </row>
    <row r="1202">
      <c r="A1202" s="54" t="inlineStr">
        <is>
          <t>Tyranids</t>
        </is>
      </c>
      <c r="B1202" s="54" t="inlineStr">
        <is>
          <t>Old One Eye</t>
        </is>
      </c>
      <c r="C1202" s="54" t="inlineStr">
        <is>
          <t>1 model</t>
        </is>
      </c>
      <c r="D1202" s="55" t="n">
        <v>150</v>
      </c>
      <c r="E1202" s="55" t="inlineStr">
        <is>
          <t>Old One Eye — 1 model (150 pts)</t>
        </is>
      </c>
      <c r="F1202" s="55" t="n">
        <v>150</v>
      </c>
      <c r="G1202" s="54" t="n">
        <v>36</v>
      </c>
      <c r="H1202" s="54" t="inlineStr">
        <is>
          <t>Uploaded PDF: Munitorum Field Manual v2.3 / March 2025</t>
        </is>
      </c>
    </row>
    <row r="1203">
      <c r="A1203" s="54" t="inlineStr">
        <is>
          <t>Tyranids</t>
        </is>
      </c>
      <c r="B1203" s="54" t="inlineStr">
        <is>
          <t>Parasite of Mortrex</t>
        </is>
      </c>
      <c r="C1203" s="54" t="inlineStr">
        <is>
          <t>1 model</t>
        </is>
      </c>
      <c r="D1203" s="55" t="n">
        <v>80</v>
      </c>
      <c r="E1203" s="55" t="inlineStr">
        <is>
          <t>Parasite of Mortrex — 1 model (80 pts)</t>
        </is>
      </c>
      <c r="F1203" s="55" t="n">
        <v>80</v>
      </c>
      <c r="G1203" s="54" t="n">
        <v>36</v>
      </c>
      <c r="H1203" s="54" t="inlineStr">
        <is>
          <t>Uploaded PDF: Munitorum Field Manual v2.3 / March 2025</t>
        </is>
      </c>
    </row>
    <row r="1204">
      <c r="A1204" s="54" t="inlineStr">
        <is>
          <t>Tyranids</t>
        </is>
      </c>
      <c r="B1204" s="54" t="inlineStr">
        <is>
          <t>Psychophage</t>
        </is>
      </c>
      <c r="C1204" s="54" t="inlineStr">
        <is>
          <t>1 model</t>
        </is>
      </c>
      <c r="D1204" s="55" t="n">
        <v>95</v>
      </c>
      <c r="E1204" s="55" t="inlineStr">
        <is>
          <t>Psychophage — 1 model (95 pts)</t>
        </is>
      </c>
      <c r="F1204" s="55" t="n">
        <v>95</v>
      </c>
      <c r="G1204" s="54" t="n">
        <v>36</v>
      </c>
      <c r="H1204" s="54" t="inlineStr">
        <is>
          <t>Uploaded PDF: Munitorum Field Manual v2.3 / March 2025</t>
        </is>
      </c>
    </row>
    <row r="1205">
      <c r="A1205" s="54" t="inlineStr">
        <is>
          <t>Tyranids</t>
        </is>
      </c>
      <c r="B1205" s="54" t="inlineStr">
        <is>
          <t>Pyrovores</t>
        </is>
      </c>
      <c r="C1205" s="54" t="inlineStr">
        <is>
          <t>1 model</t>
        </is>
      </c>
      <c r="D1205" s="55" t="n">
        <v>40</v>
      </c>
      <c r="E1205" s="55" t="inlineStr">
        <is>
          <t>Pyrovores — 1 model (40 pts)</t>
        </is>
      </c>
      <c r="F1205" s="55" t="n">
        <v>40</v>
      </c>
      <c r="G1205" s="54" t="n">
        <v>36</v>
      </c>
      <c r="H1205" s="54" t="inlineStr">
        <is>
          <t>Uploaded PDF: Munitorum Field Manual v2.3 / March 2025</t>
        </is>
      </c>
    </row>
    <row r="1206">
      <c r="A1206" s="54" t="inlineStr">
        <is>
          <t>Tyranids</t>
        </is>
      </c>
      <c r="B1206" s="54" t="inlineStr">
        <is>
          <t>Pyrovores</t>
        </is>
      </c>
      <c r="C1206" s="54" t="inlineStr">
        <is>
          <t>2 models</t>
        </is>
      </c>
      <c r="D1206" s="55" t="n">
        <v>70</v>
      </c>
      <c r="E1206" s="55" t="inlineStr">
        <is>
          <t>Pyrovores — 2 models (70 pts)</t>
        </is>
      </c>
      <c r="F1206" s="55" t="n">
        <v>70</v>
      </c>
      <c r="G1206" s="54" t="n">
        <v>36</v>
      </c>
      <c r="H1206" s="54" t="inlineStr">
        <is>
          <t>Uploaded PDF: Munitorum Field Manual v2.3 / March 2025</t>
        </is>
      </c>
    </row>
    <row r="1207">
      <c r="A1207" s="54" t="inlineStr">
        <is>
          <t>Tyranids</t>
        </is>
      </c>
      <c r="B1207" s="54" t="inlineStr">
        <is>
          <t>Pyrovores</t>
        </is>
      </c>
      <c r="C1207" s="54" t="inlineStr">
        <is>
          <t>3 models</t>
        </is>
      </c>
      <c r="D1207" s="55" t="n">
        <v>105</v>
      </c>
      <c r="E1207" s="55" t="inlineStr">
        <is>
          <t>Pyrovores — 3 models (105 pts)</t>
        </is>
      </c>
      <c r="F1207" s="55" t="n">
        <v>105</v>
      </c>
      <c r="G1207" s="54" t="n">
        <v>36</v>
      </c>
      <c r="H1207" s="54" t="inlineStr">
        <is>
          <t>Uploaded PDF: Munitorum Field Manual v2.3 / March 2025</t>
        </is>
      </c>
    </row>
    <row r="1208">
      <c r="A1208" s="54" t="inlineStr">
        <is>
          <t>Tyranids</t>
        </is>
      </c>
      <c r="B1208" s="54" t="inlineStr">
        <is>
          <t>Raveners</t>
        </is>
      </c>
      <c r="C1208" s="54" t="inlineStr">
        <is>
          <t>3 models</t>
        </is>
      </c>
      <c r="D1208" s="55" t="n">
        <v>75</v>
      </c>
      <c r="E1208" s="55" t="inlineStr">
        <is>
          <t>Raveners — 3 models (75 pts)</t>
        </is>
      </c>
      <c r="F1208" s="55" t="n">
        <v>75</v>
      </c>
      <c r="G1208" s="54" t="n">
        <v>36</v>
      </c>
      <c r="H1208" s="54" t="inlineStr">
        <is>
          <t>Uploaded PDF: Munitorum Field Manual v2.3 / March 2025</t>
        </is>
      </c>
    </row>
    <row r="1209">
      <c r="A1209" s="54" t="inlineStr">
        <is>
          <t>Tyranids</t>
        </is>
      </c>
      <c r="B1209" s="54" t="inlineStr">
        <is>
          <t>Raveners</t>
        </is>
      </c>
      <c r="C1209" s="54" t="inlineStr">
        <is>
          <t>6 models</t>
        </is>
      </c>
      <c r="D1209" s="55" t="n">
        <v>150</v>
      </c>
      <c r="E1209" s="55" t="inlineStr">
        <is>
          <t>Raveners — 6 models (150 pts)</t>
        </is>
      </c>
      <c r="F1209" s="55" t="n">
        <v>150</v>
      </c>
      <c r="G1209" s="54" t="n">
        <v>36</v>
      </c>
      <c r="H1209" s="54" t="inlineStr">
        <is>
          <t>Uploaded PDF: Munitorum Field Manual v2.3 / March 2025</t>
        </is>
      </c>
    </row>
    <row r="1210">
      <c r="A1210" s="54" t="inlineStr">
        <is>
          <t>Tyranids</t>
        </is>
      </c>
      <c r="B1210" s="54" t="inlineStr">
        <is>
          <t>Ripper Swarms</t>
        </is>
      </c>
      <c r="C1210" s="54" t="inlineStr">
        <is>
          <t>1 model</t>
        </is>
      </c>
      <c r="D1210" s="55" t="n">
        <v>25</v>
      </c>
      <c r="E1210" s="55" t="inlineStr">
        <is>
          <t>Ripper Swarms — 1 model (25 pts)</t>
        </is>
      </c>
      <c r="F1210" s="55" t="n">
        <v>25</v>
      </c>
      <c r="G1210" s="54" t="n">
        <v>36</v>
      </c>
      <c r="H1210" s="54" t="inlineStr">
        <is>
          <t>Uploaded PDF: Munitorum Field Manual v2.3 / March 2025</t>
        </is>
      </c>
    </row>
    <row r="1211">
      <c r="A1211" s="54" t="inlineStr">
        <is>
          <t>Tyranids</t>
        </is>
      </c>
      <c r="B1211" s="54" t="inlineStr">
        <is>
          <t>Ripper Swarms</t>
        </is>
      </c>
      <c r="C1211" s="54" t="inlineStr">
        <is>
          <t>2 models</t>
        </is>
      </c>
      <c r="D1211" s="55" t="n">
        <v>40</v>
      </c>
      <c r="E1211" s="55" t="inlineStr">
        <is>
          <t>Ripper Swarms — 2 models (40 pts)</t>
        </is>
      </c>
      <c r="F1211" s="55" t="n">
        <v>40</v>
      </c>
      <c r="G1211" s="54" t="n">
        <v>36</v>
      </c>
      <c r="H1211" s="54" t="inlineStr">
        <is>
          <t>Uploaded PDF: Munitorum Field Manual v2.3 / March 2025</t>
        </is>
      </c>
    </row>
    <row r="1212">
      <c r="A1212" s="54" t="inlineStr">
        <is>
          <t>Tyranids</t>
        </is>
      </c>
      <c r="B1212" s="54" t="inlineStr">
        <is>
          <t>Ripper Swarms</t>
        </is>
      </c>
      <c r="C1212" s="54" t="inlineStr">
        <is>
          <t>3 models</t>
        </is>
      </c>
      <c r="D1212" s="55" t="n">
        <v>50</v>
      </c>
      <c r="E1212" s="55" t="inlineStr">
        <is>
          <t>Ripper Swarms — 3 models (50 pts)</t>
        </is>
      </c>
      <c r="F1212" s="55" t="n">
        <v>50</v>
      </c>
      <c r="G1212" s="54" t="n">
        <v>36</v>
      </c>
      <c r="H1212" s="54" t="inlineStr">
        <is>
          <t>Uploaded PDF: Munitorum Field Manual v2.3 / March 2025</t>
        </is>
      </c>
    </row>
    <row r="1213">
      <c r="A1213" s="54" t="inlineStr">
        <is>
          <t>Tyranids</t>
        </is>
      </c>
      <c r="B1213" s="54" t="inlineStr">
        <is>
          <t>Screamer-Killer</t>
        </is>
      </c>
      <c r="C1213" s="54" t="inlineStr">
        <is>
          <t>1 model</t>
        </is>
      </c>
      <c r="D1213" s="55" t="n">
        <v>145</v>
      </c>
      <c r="E1213" s="55" t="inlineStr">
        <is>
          <t>Screamer-Killer — 1 model (145 pts)</t>
        </is>
      </c>
      <c r="F1213" s="55" t="n">
        <v>145</v>
      </c>
      <c r="G1213" s="54" t="n">
        <v>36</v>
      </c>
      <c r="H1213" s="54" t="inlineStr">
        <is>
          <t>Uploaded PDF: Munitorum Field Manual v2.3 / March 2025</t>
        </is>
      </c>
    </row>
    <row r="1214">
      <c r="A1214" s="54" t="inlineStr">
        <is>
          <t>Tyranids</t>
        </is>
      </c>
      <c r="B1214" s="54" t="inlineStr">
        <is>
          <t>Spore MInes</t>
        </is>
      </c>
      <c r="C1214" s="54" t="inlineStr">
        <is>
          <t>3 models</t>
        </is>
      </c>
      <c r="D1214" s="55" t="n">
        <v>55</v>
      </c>
      <c r="E1214" s="55" t="inlineStr">
        <is>
          <t>Spore MInes — 3 models (55 pts)</t>
        </is>
      </c>
      <c r="F1214" s="55" t="n">
        <v>55</v>
      </c>
      <c r="G1214" s="54" t="n">
        <v>36</v>
      </c>
      <c r="H1214" s="54" t="inlineStr">
        <is>
          <t>Uploaded PDF: Munitorum Field Manual v2.3 / March 2025</t>
        </is>
      </c>
    </row>
    <row r="1215">
      <c r="A1215" s="54" t="inlineStr">
        <is>
          <t>Tyranids</t>
        </is>
      </c>
      <c r="B1215" s="54" t="inlineStr">
        <is>
          <t>Spore MInes</t>
        </is>
      </c>
      <c r="C1215" s="54" t="inlineStr">
        <is>
          <t>6 models</t>
        </is>
      </c>
      <c r="D1215" s="55" t="n">
        <v>110</v>
      </c>
      <c r="E1215" s="55" t="inlineStr">
        <is>
          <t>Spore MInes — 6 models (110 pts)</t>
        </is>
      </c>
      <c r="F1215" s="55" t="n">
        <v>110</v>
      </c>
      <c r="G1215" s="54" t="n">
        <v>36</v>
      </c>
      <c r="H1215" s="54" t="inlineStr">
        <is>
          <t>Uploaded PDF: Munitorum Field Manual v2.3 / March 2025</t>
        </is>
      </c>
    </row>
    <row r="1216">
      <c r="A1216" s="54" t="inlineStr">
        <is>
          <t>Tyranids</t>
        </is>
      </c>
      <c r="B1216" s="54" t="inlineStr">
        <is>
          <t>Sporocyst</t>
        </is>
      </c>
      <c r="C1216" s="54" t="inlineStr">
        <is>
          <t>1 model</t>
        </is>
      </c>
      <c r="D1216" s="55" t="n">
        <v>145</v>
      </c>
      <c r="E1216" s="55" t="inlineStr">
        <is>
          <t>Sporocyst — 1 model (145 pts)</t>
        </is>
      </c>
      <c r="F1216" s="55" t="n">
        <v>145</v>
      </c>
      <c r="G1216" s="54" t="n">
        <v>36</v>
      </c>
      <c r="H1216" s="54" t="inlineStr">
        <is>
          <t>Uploaded PDF: Munitorum Field Manual v2.3 / March 2025</t>
        </is>
      </c>
    </row>
    <row r="1217">
      <c r="A1217" s="54" t="inlineStr">
        <is>
          <t>Tyranids</t>
        </is>
      </c>
      <c r="B1217" s="54" t="inlineStr">
        <is>
          <t>Termagants</t>
        </is>
      </c>
      <c r="C1217" s="54" t="inlineStr">
        <is>
          <t>10 models</t>
        </is>
      </c>
      <c r="D1217" s="55" t="n">
        <v>60</v>
      </c>
      <c r="E1217" s="55" t="inlineStr">
        <is>
          <t>Termagants — 10 models (60 pts)</t>
        </is>
      </c>
      <c r="F1217" s="55" t="n">
        <v>60</v>
      </c>
      <c r="G1217" s="54" t="n">
        <v>36</v>
      </c>
      <c r="H1217" s="54" t="inlineStr">
        <is>
          <t>Uploaded PDF: Munitorum Field Manual v2.3 / March 2025</t>
        </is>
      </c>
    </row>
    <row r="1218">
      <c r="A1218" s="54" t="inlineStr">
        <is>
          <t>Tyranids</t>
        </is>
      </c>
      <c r="B1218" s="54" t="inlineStr">
        <is>
          <t>Termagants</t>
        </is>
      </c>
      <c r="C1218" s="54" t="inlineStr">
        <is>
          <t>20 models</t>
        </is>
      </c>
      <c r="D1218" s="55" t="n">
        <v>120</v>
      </c>
      <c r="E1218" s="55" t="inlineStr">
        <is>
          <t>Termagants — 20 models (120 pts)</t>
        </is>
      </c>
      <c r="F1218" s="55" t="n">
        <v>120</v>
      </c>
      <c r="G1218" s="54" t="n">
        <v>36</v>
      </c>
      <c r="H1218" s="54" t="inlineStr">
        <is>
          <t>Uploaded PDF: Munitorum Field Manual v2.3 / March 2025</t>
        </is>
      </c>
    </row>
    <row r="1219">
      <c r="A1219" s="54" t="inlineStr">
        <is>
          <t>Tyranids</t>
        </is>
      </c>
      <c r="B1219" s="54" t="inlineStr">
        <is>
          <t>Tervigon</t>
        </is>
      </c>
      <c r="C1219" s="54" t="inlineStr">
        <is>
          <t>1 model</t>
        </is>
      </c>
      <c r="D1219" s="55" t="n">
        <v>175</v>
      </c>
      <c r="E1219" s="55" t="inlineStr">
        <is>
          <t>Tervigon — 1 model (175 pts)</t>
        </is>
      </c>
      <c r="F1219" s="55" t="n">
        <v>175</v>
      </c>
      <c r="G1219" s="54" t="n">
        <v>36</v>
      </c>
      <c r="H1219" s="54" t="inlineStr">
        <is>
          <t>Uploaded PDF: Munitorum Field Manual v2.3 / March 2025</t>
        </is>
      </c>
    </row>
    <row r="1220">
      <c r="A1220" s="54" t="inlineStr">
        <is>
          <t>Tyranids</t>
        </is>
      </c>
      <c r="B1220" s="54" t="inlineStr">
        <is>
          <t>The Swarmlord</t>
        </is>
      </c>
      <c r="C1220" s="54" t="inlineStr">
        <is>
          <t>1 model</t>
        </is>
      </c>
      <c r="D1220" s="55" t="n">
        <v>240</v>
      </c>
      <c r="E1220" s="55" t="inlineStr">
        <is>
          <t>The Swarmlord — 1 model (240 pts)</t>
        </is>
      </c>
      <c r="F1220" s="55" t="n">
        <v>240</v>
      </c>
      <c r="G1220" s="54" t="n">
        <v>36</v>
      </c>
      <c r="H1220" s="54" t="inlineStr">
        <is>
          <t>Uploaded PDF: Munitorum Field Manual v2.3 / March 2025</t>
        </is>
      </c>
    </row>
    <row r="1221">
      <c r="A1221" s="54" t="inlineStr">
        <is>
          <t>Tyranids</t>
        </is>
      </c>
      <c r="B1221" s="54" t="inlineStr">
        <is>
          <t>Toxicrene</t>
        </is>
      </c>
      <c r="C1221" s="54" t="inlineStr">
        <is>
          <t>1 model</t>
        </is>
      </c>
      <c r="D1221" s="55" t="n">
        <v>150</v>
      </c>
      <c r="E1221" s="55" t="inlineStr">
        <is>
          <t>Toxicrene — 1 model (150 pts)</t>
        </is>
      </c>
      <c r="F1221" s="55" t="n">
        <v>150</v>
      </c>
      <c r="G1221" s="54" t="n">
        <v>36</v>
      </c>
      <c r="H1221" s="54" t="inlineStr">
        <is>
          <t>Uploaded PDF: Munitorum Field Manual v2.3 / March 2025</t>
        </is>
      </c>
    </row>
    <row r="1222">
      <c r="A1222" s="54" t="inlineStr">
        <is>
          <t>Tyranids</t>
        </is>
      </c>
      <c r="B1222" s="54" t="inlineStr">
        <is>
          <t>Trygon</t>
        </is>
      </c>
      <c r="C1222" s="54" t="inlineStr">
        <is>
          <t>1 model</t>
        </is>
      </c>
      <c r="D1222" s="55" t="n">
        <v>140</v>
      </c>
      <c r="E1222" s="55" t="inlineStr">
        <is>
          <t>Trygon — 1 model (140 pts)</t>
        </is>
      </c>
      <c r="F1222" s="55" t="n">
        <v>140</v>
      </c>
      <c r="G1222" s="54" t="n">
        <v>36</v>
      </c>
      <c r="H1222" s="54" t="inlineStr">
        <is>
          <t>Uploaded PDF: Munitorum Field Manual v2.3 / March 2025</t>
        </is>
      </c>
    </row>
    <row r="1223">
      <c r="A1223" s="54" t="inlineStr">
        <is>
          <t>Tyranids</t>
        </is>
      </c>
      <c r="B1223" s="54" t="inlineStr">
        <is>
          <t>Tyranid Warriors with Melee Bio-weapons</t>
        </is>
      </c>
      <c r="C1223" s="54" t="inlineStr">
        <is>
          <t>3 models</t>
        </is>
      </c>
      <c r="D1223" s="55" t="n">
        <v>75</v>
      </c>
      <c r="E1223" s="55" t="inlineStr">
        <is>
          <t>Tyranid Warriors with Melee Bio-weapons — 3 models (75 pts)</t>
        </is>
      </c>
      <c r="F1223" s="55" t="n">
        <v>75</v>
      </c>
      <c r="G1223" s="54" t="n">
        <v>36</v>
      </c>
      <c r="H1223" s="54" t="inlineStr">
        <is>
          <t>Uploaded PDF: Munitorum Field Manual v2.3 / March 2025</t>
        </is>
      </c>
    </row>
    <row r="1224">
      <c r="A1224" s="54" t="inlineStr">
        <is>
          <t>Tyranids</t>
        </is>
      </c>
      <c r="B1224" s="54" t="inlineStr">
        <is>
          <t>Tyranid Warriors with Melee Bio-weapons</t>
        </is>
      </c>
      <c r="C1224" s="54" t="inlineStr">
        <is>
          <t>6 models</t>
        </is>
      </c>
      <c r="D1224" s="55" t="n">
        <v>150</v>
      </c>
      <c r="E1224" s="55" t="inlineStr">
        <is>
          <t>Tyranid Warriors with Melee Bio-weapons — 6 models (150 pts)</t>
        </is>
      </c>
      <c r="F1224" s="55" t="n">
        <v>150</v>
      </c>
      <c r="G1224" s="54" t="n">
        <v>36</v>
      </c>
      <c r="H1224" s="54" t="inlineStr">
        <is>
          <t>Uploaded PDF: Munitorum Field Manual v2.3 / March 2025</t>
        </is>
      </c>
    </row>
    <row r="1225">
      <c r="A1225" s="54" t="inlineStr">
        <is>
          <t>Tyranids</t>
        </is>
      </c>
      <c r="B1225" s="54" t="inlineStr">
        <is>
          <t>Tyranid Warriors with Ranged Bio-weapons</t>
        </is>
      </c>
      <c r="C1225" s="54" t="inlineStr">
        <is>
          <t>3 models</t>
        </is>
      </c>
      <c r="D1225" s="55" t="n">
        <v>65</v>
      </c>
      <c r="E1225" s="55" t="inlineStr">
        <is>
          <t>Tyranid Warriors with Ranged Bio-weapons — 3 models (65 pts)</t>
        </is>
      </c>
      <c r="F1225" s="55" t="n">
        <v>65</v>
      </c>
      <c r="G1225" s="54" t="n">
        <v>36</v>
      </c>
      <c r="H1225" s="54" t="inlineStr">
        <is>
          <t>Uploaded PDF: Munitorum Field Manual v2.3 / March 2025</t>
        </is>
      </c>
    </row>
    <row r="1226">
      <c r="A1226" s="54" t="inlineStr">
        <is>
          <t>Tyranids</t>
        </is>
      </c>
      <c r="B1226" s="54" t="inlineStr">
        <is>
          <t>Tyranid Warriors with Ranged Bio-weapons</t>
        </is>
      </c>
      <c r="C1226" s="54" t="inlineStr">
        <is>
          <t>6 models</t>
        </is>
      </c>
      <c r="D1226" s="55" t="n">
        <v>130</v>
      </c>
      <c r="E1226" s="55" t="inlineStr">
        <is>
          <t>Tyranid Warriors with Ranged Bio-weapons — 6 models (130 pts)</t>
        </is>
      </c>
      <c r="F1226" s="55" t="n">
        <v>130</v>
      </c>
      <c r="G1226" s="54" t="n">
        <v>36</v>
      </c>
      <c r="H1226" s="54" t="inlineStr">
        <is>
          <t>Uploaded PDF: Munitorum Field Manual v2.3 / March 2025</t>
        </is>
      </c>
    </row>
    <row r="1227">
      <c r="A1227" s="54" t="inlineStr">
        <is>
          <t>Tyranids</t>
        </is>
      </c>
      <c r="B1227" s="54" t="inlineStr">
        <is>
          <t>Tyrannocyte</t>
        </is>
      </c>
      <c r="C1227" s="54" t="inlineStr">
        <is>
          <t>1 model</t>
        </is>
      </c>
      <c r="D1227" s="55" t="n">
        <v>105</v>
      </c>
      <c r="E1227" s="55" t="inlineStr">
        <is>
          <t>Tyrannocyte — 1 model (105 pts)</t>
        </is>
      </c>
      <c r="F1227" s="55" t="n">
        <v>105</v>
      </c>
      <c r="G1227" s="54" t="n">
        <v>36</v>
      </c>
      <c r="H1227" s="54" t="inlineStr">
        <is>
          <t>Uploaded PDF: Munitorum Field Manual v2.3 / March 2025</t>
        </is>
      </c>
    </row>
    <row r="1228">
      <c r="A1228" s="54" t="inlineStr">
        <is>
          <t>Tyranids</t>
        </is>
      </c>
      <c r="B1228" s="54" t="inlineStr">
        <is>
          <t>Tyrannofex</t>
        </is>
      </c>
      <c r="C1228" s="54" t="inlineStr">
        <is>
          <t>1 model</t>
        </is>
      </c>
      <c r="D1228" s="55" t="n">
        <v>200</v>
      </c>
      <c r="E1228" s="55" t="inlineStr">
        <is>
          <t>Tyrannofex — 1 model (200 pts)</t>
        </is>
      </c>
      <c r="F1228" s="55" t="n">
        <v>200</v>
      </c>
      <c r="G1228" s="54" t="n">
        <v>36</v>
      </c>
      <c r="H1228" s="54" t="inlineStr">
        <is>
          <t>Uploaded PDF: Munitorum Field Manual v2.3 / March 2025</t>
        </is>
      </c>
    </row>
    <row r="1229">
      <c r="A1229" s="54" t="inlineStr">
        <is>
          <t>Tyranids</t>
        </is>
      </c>
      <c r="B1229" s="54" t="inlineStr">
        <is>
          <t>Tyrant Guard</t>
        </is>
      </c>
      <c r="C1229" s="54" t="inlineStr">
        <is>
          <t>3 models</t>
        </is>
      </c>
      <c r="D1229" s="55" t="n">
        <v>80</v>
      </c>
      <c r="E1229" s="55" t="inlineStr">
        <is>
          <t>Tyrant Guard — 3 models (80 pts)</t>
        </is>
      </c>
      <c r="F1229" s="55" t="n">
        <v>80</v>
      </c>
      <c r="G1229" s="54" t="n">
        <v>36</v>
      </c>
      <c r="H1229" s="54" t="inlineStr">
        <is>
          <t>Uploaded PDF: Munitorum Field Manual v2.3 / March 2025</t>
        </is>
      </c>
    </row>
    <row r="1230">
      <c r="A1230" s="54" t="inlineStr">
        <is>
          <t>Tyranids</t>
        </is>
      </c>
      <c r="B1230" s="54" t="inlineStr">
        <is>
          <t>Tyrant Guard</t>
        </is>
      </c>
      <c r="C1230" s="54" t="inlineStr">
        <is>
          <t>6 models</t>
        </is>
      </c>
      <c r="D1230" s="55" t="n">
        <v>160</v>
      </c>
      <c r="E1230" s="55" t="inlineStr">
        <is>
          <t>Tyrant Guard — 6 models (160 pts)</t>
        </is>
      </c>
      <c r="F1230" s="55" t="n">
        <v>160</v>
      </c>
      <c r="G1230" s="54" t="n">
        <v>36</v>
      </c>
      <c r="H1230" s="54" t="inlineStr">
        <is>
          <t>Uploaded PDF: Munitorum Field Manual v2.3 / March 2025</t>
        </is>
      </c>
    </row>
    <row r="1231">
      <c r="A1231" s="54" t="inlineStr">
        <is>
          <t>Tyranids</t>
        </is>
      </c>
      <c r="B1231" s="54" t="inlineStr">
        <is>
          <t>Venomthropes</t>
        </is>
      </c>
      <c r="C1231" s="54" t="inlineStr">
        <is>
          <t>3 models</t>
        </is>
      </c>
      <c r="D1231" s="55" t="n">
        <v>70</v>
      </c>
      <c r="E1231" s="55" t="inlineStr">
        <is>
          <t>Venomthropes — 3 models (70 pts)</t>
        </is>
      </c>
      <c r="F1231" s="55" t="n">
        <v>70</v>
      </c>
      <c r="G1231" s="54" t="n">
        <v>36</v>
      </c>
      <c r="H1231" s="54" t="inlineStr">
        <is>
          <t>Uploaded PDF: Munitorum Field Manual v2.3 / March 2025</t>
        </is>
      </c>
    </row>
    <row r="1232">
      <c r="A1232" s="54" t="inlineStr">
        <is>
          <t>Tyranids</t>
        </is>
      </c>
      <c r="B1232" s="54" t="inlineStr">
        <is>
          <t>Venomthropes</t>
        </is>
      </c>
      <c r="C1232" s="54" t="inlineStr">
        <is>
          <t>6 models</t>
        </is>
      </c>
      <c r="D1232" s="55" t="n">
        <v>140</v>
      </c>
      <c r="E1232" s="55" t="inlineStr">
        <is>
          <t>Venomthropes — 6 models (140 pts)</t>
        </is>
      </c>
      <c r="F1232" s="55" t="n">
        <v>140</v>
      </c>
      <c r="G1232" s="54" t="n">
        <v>36</v>
      </c>
      <c r="H1232" s="54" t="inlineStr">
        <is>
          <t>Uploaded PDF: Munitorum Field Manual v2.3 / March 2025</t>
        </is>
      </c>
    </row>
    <row r="1233">
      <c r="A1233" s="54" t="inlineStr">
        <is>
          <t>Tyranids</t>
        </is>
      </c>
      <c r="B1233" s="54" t="inlineStr">
        <is>
          <t>Von Ryan’s Leapers</t>
        </is>
      </c>
      <c r="C1233" s="54" t="inlineStr">
        <is>
          <t>3 models</t>
        </is>
      </c>
      <c r="D1233" s="55" t="n">
        <v>70</v>
      </c>
      <c r="E1233" s="55" t="inlineStr">
        <is>
          <t>Von Ryan’s Leapers — 3 models (70 pts)</t>
        </is>
      </c>
      <c r="F1233" s="55" t="n">
        <v>70</v>
      </c>
      <c r="G1233" s="54" t="n">
        <v>36</v>
      </c>
      <c r="H1233" s="54" t="inlineStr">
        <is>
          <t>Uploaded PDF: Munitorum Field Manual v2.3 / March 2025</t>
        </is>
      </c>
    </row>
    <row r="1234">
      <c r="A1234" s="54" t="inlineStr">
        <is>
          <t>Tyranids</t>
        </is>
      </c>
      <c r="B1234" s="54" t="inlineStr">
        <is>
          <t>Von Ryan’s Leapers</t>
        </is>
      </c>
      <c r="C1234" s="54" t="inlineStr">
        <is>
          <t>6 models</t>
        </is>
      </c>
      <c r="D1234" s="55" t="n">
        <v>140</v>
      </c>
      <c r="E1234" s="55" t="inlineStr">
        <is>
          <t>Von Ryan’s Leapers — 6 models (140 pts)</t>
        </is>
      </c>
      <c r="F1234" s="55" t="n">
        <v>140</v>
      </c>
      <c r="G1234" s="54" t="n">
        <v>36</v>
      </c>
      <c r="H1234" s="54" t="inlineStr">
        <is>
          <t>Uploaded PDF: Munitorum Field Manual v2.3 / March 2025</t>
        </is>
      </c>
    </row>
    <row r="1235">
      <c r="A1235" s="54" t="inlineStr">
        <is>
          <t>Tyranids</t>
        </is>
      </c>
      <c r="B1235" s="54" t="inlineStr">
        <is>
          <t>Winged Hive Tyrant</t>
        </is>
      </c>
      <c r="C1235" s="54" t="inlineStr">
        <is>
          <t>1 model</t>
        </is>
      </c>
      <c r="D1235" s="55" t="n">
        <v>200</v>
      </c>
      <c r="E1235" s="55" t="inlineStr">
        <is>
          <t>Winged Hive Tyrant — 1 model (200 pts)</t>
        </is>
      </c>
      <c r="F1235" s="55" t="n">
        <v>200</v>
      </c>
      <c r="G1235" s="54" t="n">
        <v>36</v>
      </c>
      <c r="H1235" s="54" t="inlineStr">
        <is>
          <t>Uploaded PDF: Munitorum Field Manual v2.3 / March 2025</t>
        </is>
      </c>
    </row>
    <row r="1236">
      <c r="A1236" s="54" t="inlineStr">
        <is>
          <t>Tyranids</t>
        </is>
      </c>
      <c r="B1236" s="54" t="inlineStr">
        <is>
          <t>Winged Tyranid Prime</t>
        </is>
      </c>
      <c r="C1236" s="54" t="inlineStr">
        <is>
          <t>1 model</t>
        </is>
      </c>
      <c r="D1236" s="55" t="n">
        <v>65</v>
      </c>
      <c r="E1236" s="55" t="inlineStr">
        <is>
          <t>Winged Tyranid Prime — 1 model (65 pts)</t>
        </is>
      </c>
      <c r="F1236" s="55" t="n">
        <v>65</v>
      </c>
      <c r="G1236" s="54" t="n">
        <v>36</v>
      </c>
      <c r="H1236" s="54" t="inlineStr">
        <is>
          <t>Uploaded PDF: Munitorum Field Manual v2.3 / March 2025</t>
        </is>
      </c>
    </row>
    <row r="1237">
      <c r="A1237" s="54" t="inlineStr">
        <is>
          <t>Tyranids</t>
        </is>
      </c>
      <c r="B1237" s="54" t="inlineStr">
        <is>
          <t>Zoanthropes</t>
        </is>
      </c>
      <c r="C1237" s="54" t="inlineStr">
        <is>
          <t>3 models</t>
        </is>
      </c>
      <c r="D1237" s="55" t="n">
        <v>100</v>
      </c>
      <c r="E1237" s="55" t="inlineStr">
        <is>
          <t>Zoanthropes — 3 models (100 pts)</t>
        </is>
      </c>
      <c r="F1237" s="55" t="n">
        <v>100</v>
      </c>
      <c r="G1237" s="54" t="n">
        <v>36</v>
      </c>
      <c r="H1237" s="54" t="inlineStr">
        <is>
          <t>Uploaded PDF: Munitorum Field Manual v2.3 / March 2025</t>
        </is>
      </c>
    </row>
    <row r="1238">
      <c r="A1238" s="54" t="inlineStr">
        <is>
          <t>Tyranids</t>
        </is>
      </c>
      <c r="B1238" s="54" t="inlineStr">
        <is>
          <t>Zoanthropes</t>
        </is>
      </c>
      <c r="C1238" s="54" t="inlineStr">
        <is>
          <t>6 models</t>
        </is>
      </c>
      <c r="D1238" s="55" t="n">
        <v>200</v>
      </c>
      <c r="E1238" s="55" t="inlineStr">
        <is>
          <t>Zoanthropes — 6 models (200 pts)</t>
        </is>
      </c>
      <c r="F1238" s="55" t="n">
        <v>200</v>
      </c>
      <c r="G1238" s="54" t="n">
        <v>36</v>
      </c>
      <c r="H1238" s="54" t="inlineStr">
        <is>
          <t>Uploaded PDF: Munitorum Field Manual v2.3 / March 2025</t>
        </is>
      </c>
    </row>
    <row r="1239">
      <c r="A1239" s="54" t="inlineStr">
        <is>
          <t>Tyranids</t>
        </is>
      </c>
      <c r="B1239" s="54" t="inlineStr">
        <is>
          <t>Harridan</t>
        </is>
      </c>
      <c r="C1239" s="54" t="inlineStr">
        <is>
          <t>1 model</t>
        </is>
      </c>
      <c r="D1239" s="55" t="n">
        <v>610</v>
      </c>
      <c r="E1239" s="55" t="inlineStr">
        <is>
          <t>Harridan — 1 model (610 pts)</t>
        </is>
      </c>
      <c r="F1239" s="55" t="n">
        <v>610</v>
      </c>
      <c r="G1239" s="54" t="n">
        <v>36</v>
      </c>
      <c r="H1239" s="54" t="inlineStr">
        <is>
          <t>Uploaded PDF: Munitorum Field Manual v2.3 / March 2025</t>
        </is>
      </c>
    </row>
    <row r="1240">
      <c r="A1240" s="54" t="inlineStr">
        <is>
          <t>Tyranids</t>
        </is>
      </c>
      <c r="B1240" s="54" t="inlineStr">
        <is>
          <t>Hierophant</t>
        </is>
      </c>
      <c r="C1240" s="54" t="inlineStr">
        <is>
          <t>1 model</t>
        </is>
      </c>
      <c r="D1240" s="55" t="n">
        <v>810</v>
      </c>
      <c r="E1240" s="55" t="inlineStr">
        <is>
          <t>Hierophant — 1 model (810 pts)</t>
        </is>
      </c>
      <c r="F1240" s="55" t="n">
        <v>810</v>
      </c>
      <c r="G1240" s="54" t="n">
        <v>36</v>
      </c>
      <c r="H1240" s="54" t="inlineStr">
        <is>
          <t>Uploaded PDF: Munitorum Field Manual v2.3 / March 2025</t>
        </is>
      </c>
    </row>
    <row r="1241">
      <c r="A1241" s="54" t="inlineStr">
        <is>
          <t>World Eaters</t>
        </is>
      </c>
      <c r="B1241" s="54" t="inlineStr">
        <is>
          <t>Angron</t>
        </is>
      </c>
      <c r="C1241" s="54" t="inlineStr">
        <is>
          <t>1 model</t>
        </is>
      </c>
      <c r="D1241" s="55" t="n">
        <v>435</v>
      </c>
      <c r="E1241" s="55" t="inlineStr">
        <is>
          <t>Angron — 1 model (435 pts)</t>
        </is>
      </c>
      <c r="F1241" s="55" t="n">
        <v>435</v>
      </c>
      <c r="G1241" s="54" t="n">
        <v>38</v>
      </c>
      <c r="H1241" s="54" t="inlineStr">
        <is>
          <t>Uploaded PDF: Munitorum Field Manual v2.3 / March 2025</t>
        </is>
      </c>
    </row>
    <row r="1242">
      <c r="A1242" s="54" t="inlineStr">
        <is>
          <t>World Eaters</t>
        </is>
      </c>
      <c r="B1242" s="54" t="inlineStr">
        <is>
          <t>Eightbound</t>
        </is>
      </c>
      <c r="C1242" s="54" t="inlineStr">
        <is>
          <t>3 models</t>
        </is>
      </c>
      <c r="D1242" s="55" t="n">
        <v>140</v>
      </c>
      <c r="E1242" s="55" t="inlineStr">
        <is>
          <t>Eightbound — 3 models (140 pts)</t>
        </is>
      </c>
      <c r="F1242" s="55" t="n">
        <v>140</v>
      </c>
      <c r="G1242" s="54" t="n">
        <v>38</v>
      </c>
      <c r="H1242" s="54" t="inlineStr">
        <is>
          <t>Uploaded PDF: Munitorum Field Manual v2.3 / March 2025</t>
        </is>
      </c>
    </row>
    <row r="1243">
      <c r="A1243" s="54" t="inlineStr">
        <is>
          <t>World Eaters</t>
        </is>
      </c>
      <c r="B1243" s="54" t="inlineStr">
        <is>
          <t>Eightbound</t>
        </is>
      </c>
      <c r="C1243" s="54" t="inlineStr">
        <is>
          <t>6 models</t>
        </is>
      </c>
      <c r="D1243" s="55" t="n">
        <v>280</v>
      </c>
      <c r="E1243" s="55" t="inlineStr">
        <is>
          <t>Eightbound — 6 models (280 pts)</t>
        </is>
      </c>
      <c r="F1243" s="55" t="n">
        <v>280</v>
      </c>
      <c r="G1243" s="54" t="n">
        <v>38</v>
      </c>
      <c r="H1243" s="54" t="inlineStr">
        <is>
          <t>Uploaded PDF: Munitorum Field Manual v2.3 / March 2025</t>
        </is>
      </c>
    </row>
    <row r="1244">
      <c r="A1244" s="54" t="inlineStr">
        <is>
          <t>World Eaters</t>
        </is>
      </c>
      <c r="B1244" s="54" t="inlineStr">
        <is>
          <t>Exalted Eightbound</t>
        </is>
      </c>
      <c r="C1244" s="54" t="inlineStr">
        <is>
          <t>3 models</t>
        </is>
      </c>
      <c r="D1244" s="55" t="n">
        <v>155</v>
      </c>
      <c r="E1244" s="55" t="inlineStr">
        <is>
          <t>Exalted Eightbound — 3 models (155 pts)</t>
        </is>
      </c>
      <c r="F1244" s="55" t="n">
        <v>155</v>
      </c>
      <c r="G1244" s="54" t="n">
        <v>38</v>
      </c>
      <c r="H1244" s="54" t="inlineStr">
        <is>
          <t>Uploaded PDF: Munitorum Field Manual v2.3 / March 2025</t>
        </is>
      </c>
    </row>
    <row r="1245">
      <c r="A1245" s="54" t="inlineStr">
        <is>
          <t>World Eaters</t>
        </is>
      </c>
      <c r="B1245" s="54" t="inlineStr">
        <is>
          <t>Exalted Eightbound</t>
        </is>
      </c>
      <c r="C1245" s="54" t="inlineStr">
        <is>
          <t>6 models</t>
        </is>
      </c>
      <c r="D1245" s="55" t="n">
        <v>310</v>
      </c>
      <c r="E1245" s="55" t="inlineStr">
        <is>
          <t>Exalted Eightbound — 6 models (310 pts)</t>
        </is>
      </c>
      <c r="F1245" s="55" t="n">
        <v>310</v>
      </c>
      <c r="G1245" s="54" t="n">
        <v>38</v>
      </c>
      <c r="H1245" s="54" t="inlineStr">
        <is>
          <t>Uploaded PDF: Munitorum Field Manual v2.3 / March 2025</t>
        </is>
      </c>
    </row>
    <row r="1246">
      <c r="A1246" s="54" t="inlineStr">
        <is>
          <t>World Eaters</t>
        </is>
      </c>
      <c r="B1246" s="54" t="inlineStr">
        <is>
          <t>Jakhals</t>
        </is>
      </c>
      <c r="C1246" s="54" t="inlineStr">
        <is>
          <t>10 models</t>
        </is>
      </c>
      <c r="D1246" s="55" t="n">
        <v>65</v>
      </c>
      <c r="E1246" s="55" t="inlineStr">
        <is>
          <t>Jakhals — 10 models (65 pts)</t>
        </is>
      </c>
      <c r="F1246" s="55" t="n">
        <v>65</v>
      </c>
      <c r="G1246" s="54" t="n">
        <v>38</v>
      </c>
      <c r="H1246" s="54" t="inlineStr">
        <is>
          <t>Uploaded PDF: Munitorum Field Manual v2.3 / March 2025</t>
        </is>
      </c>
    </row>
    <row r="1247">
      <c r="A1247" s="54" t="inlineStr">
        <is>
          <t>World Eaters</t>
        </is>
      </c>
      <c r="B1247" s="54" t="inlineStr">
        <is>
          <t>Jakhals</t>
        </is>
      </c>
      <c r="C1247" s="54" t="inlineStr">
        <is>
          <t>20 models</t>
        </is>
      </c>
      <c r="D1247" s="55" t="n">
        <v>130</v>
      </c>
      <c r="E1247" s="55" t="inlineStr">
        <is>
          <t>Jakhals — 20 models (130 pts)</t>
        </is>
      </c>
      <c r="F1247" s="55" t="n">
        <v>130</v>
      </c>
      <c r="G1247" s="54" t="n">
        <v>38</v>
      </c>
      <c r="H1247" s="54" t="inlineStr">
        <is>
          <t>Uploaded PDF: Munitorum Field Manual v2.3 / March 2025</t>
        </is>
      </c>
    </row>
    <row r="1248">
      <c r="A1248" s="54" t="inlineStr">
        <is>
          <t>World Eaters</t>
        </is>
      </c>
      <c r="B1248" s="54" t="inlineStr">
        <is>
          <t>Khorne Berzerkers</t>
        </is>
      </c>
      <c r="C1248" s="54" t="inlineStr">
        <is>
          <t>5 models</t>
        </is>
      </c>
      <c r="D1248" s="55" t="n">
        <v>90</v>
      </c>
      <c r="E1248" s="55" t="inlineStr">
        <is>
          <t>Khorne Berzerkers — 5 models (90 pts)</t>
        </is>
      </c>
      <c r="F1248" s="55" t="n">
        <v>90</v>
      </c>
      <c r="G1248" s="54" t="n">
        <v>38</v>
      </c>
      <c r="H1248" s="54" t="inlineStr">
        <is>
          <t>Uploaded PDF: Munitorum Field Manual v2.3 / March 2025</t>
        </is>
      </c>
    </row>
    <row r="1249">
      <c r="A1249" s="54" t="inlineStr">
        <is>
          <t>World Eaters</t>
        </is>
      </c>
      <c r="B1249" s="54" t="inlineStr">
        <is>
          <t>Khorne Berzerkers</t>
        </is>
      </c>
      <c r="C1249" s="54" t="inlineStr">
        <is>
          <t>10 models</t>
        </is>
      </c>
      <c r="D1249" s="55" t="n">
        <v>180</v>
      </c>
      <c r="E1249" s="55" t="inlineStr">
        <is>
          <t>Khorne Berzerkers — 10 models (180 pts)</t>
        </is>
      </c>
      <c r="F1249" s="55" t="n">
        <v>180</v>
      </c>
      <c r="G1249" s="54" t="n">
        <v>38</v>
      </c>
      <c r="H1249" s="54" t="inlineStr">
        <is>
          <t>Uploaded PDF: Munitorum Field Manual v2.3 / March 2025</t>
        </is>
      </c>
    </row>
    <row r="1250">
      <c r="A1250" s="54" t="inlineStr">
        <is>
          <t>World Eaters</t>
        </is>
      </c>
      <c r="B1250" s="54" t="inlineStr">
        <is>
          <t>Khorne Lord of Skulls</t>
        </is>
      </c>
      <c r="C1250" s="54" t="inlineStr">
        <is>
          <t>1 model</t>
        </is>
      </c>
      <c r="D1250" s="55" t="n">
        <v>450</v>
      </c>
      <c r="E1250" s="55" t="inlineStr">
        <is>
          <t>Khorne Lord of Skulls — 1 model (450 pts)</t>
        </is>
      </c>
      <c r="F1250" s="55" t="n">
        <v>450</v>
      </c>
      <c r="G1250" s="54" t="n">
        <v>38</v>
      </c>
      <c r="H1250" s="54" t="inlineStr">
        <is>
          <t>Uploaded PDF: Munitorum Field Manual v2.3 / March 2025</t>
        </is>
      </c>
    </row>
    <row r="1251">
      <c r="A1251" s="54" t="inlineStr">
        <is>
          <t>World Eaters</t>
        </is>
      </c>
      <c r="B1251" s="54" t="inlineStr">
        <is>
          <t>Khârn the Betrayer</t>
        </is>
      </c>
      <c r="C1251" s="54" t="inlineStr">
        <is>
          <t>1 model</t>
        </is>
      </c>
      <c r="D1251" s="55" t="n">
        <v>100</v>
      </c>
      <c r="E1251" s="55" t="inlineStr">
        <is>
          <t>Khârn the Betrayer — 1 model (100 pts)</t>
        </is>
      </c>
      <c r="F1251" s="55" t="n">
        <v>100</v>
      </c>
      <c r="G1251" s="54" t="n">
        <v>38</v>
      </c>
      <c r="H1251" s="54" t="inlineStr">
        <is>
          <t>Uploaded PDF: Munitorum Field Manual v2.3 / March 2025</t>
        </is>
      </c>
    </row>
    <row r="1252">
      <c r="A1252" s="54" t="inlineStr">
        <is>
          <t>World Eaters</t>
        </is>
      </c>
      <c r="B1252" s="54" t="inlineStr">
        <is>
          <t>Lord Invocatus</t>
        </is>
      </c>
      <c r="C1252" s="54" t="inlineStr">
        <is>
          <t>1 model</t>
        </is>
      </c>
      <c r="D1252" s="55" t="n">
        <v>140</v>
      </c>
      <c r="E1252" s="55" t="inlineStr">
        <is>
          <t>Lord Invocatus — 1 model (140 pts)</t>
        </is>
      </c>
      <c r="F1252" s="55" t="n">
        <v>140</v>
      </c>
      <c r="G1252" s="54" t="n">
        <v>38</v>
      </c>
      <c r="H1252" s="54" t="inlineStr">
        <is>
          <t>Uploaded PDF: Munitorum Field Manual v2.3 / March 2025</t>
        </is>
      </c>
    </row>
    <row r="1253">
      <c r="A1253" s="54" t="inlineStr">
        <is>
          <t>World Eaters</t>
        </is>
      </c>
      <c r="B1253" s="54" t="inlineStr">
        <is>
          <t>World Eaters Chaos Spawn</t>
        </is>
      </c>
      <c r="C1253" s="54" t="inlineStr">
        <is>
          <t>2 models</t>
        </is>
      </c>
      <c r="D1253" s="55" t="n">
        <v>70</v>
      </c>
      <c r="E1253" s="55" t="inlineStr">
        <is>
          <t>World Eaters Chaos Spawn — 2 models (70 pts)</t>
        </is>
      </c>
      <c r="F1253" s="55" t="n">
        <v>70</v>
      </c>
      <c r="G1253" s="54" t="n">
        <v>38</v>
      </c>
      <c r="H1253" s="54" t="inlineStr">
        <is>
          <t>Uploaded PDF: Munitorum Field Manual v2.3 / March 2025</t>
        </is>
      </c>
    </row>
    <row r="1254">
      <c r="A1254" s="54" t="inlineStr">
        <is>
          <t>World Eaters</t>
        </is>
      </c>
      <c r="B1254" s="54" t="inlineStr">
        <is>
          <t>World Eaters Daemon Prince</t>
        </is>
      </c>
      <c r="C1254" s="54" t="inlineStr">
        <is>
          <t>1 model</t>
        </is>
      </c>
      <c r="D1254" s="55" t="n">
        <v>185</v>
      </c>
      <c r="E1254" s="55" t="inlineStr">
        <is>
          <t>World Eaters Daemon Prince — 1 model (185 pts)</t>
        </is>
      </c>
      <c r="F1254" s="55" t="n">
        <v>185</v>
      </c>
      <c r="G1254" s="54" t="n">
        <v>38</v>
      </c>
      <c r="H1254" s="54" t="inlineStr">
        <is>
          <t>Uploaded PDF: Munitorum Field Manual v2.3 / March 2025</t>
        </is>
      </c>
    </row>
    <row r="1255">
      <c r="A1255" s="54" t="inlineStr">
        <is>
          <t>World Eaters</t>
        </is>
      </c>
      <c r="B1255" s="54" t="inlineStr">
        <is>
          <t>World Eaters Daemon Prince with Wings</t>
        </is>
      </c>
      <c r="C1255" s="54" t="inlineStr">
        <is>
          <t>1 model</t>
        </is>
      </c>
      <c r="D1255" s="55" t="n">
        <v>155</v>
      </c>
      <c r="E1255" s="55" t="inlineStr">
        <is>
          <t>World Eaters Daemon Prince with Wings — 1 model (155 pts)</t>
        </is>
      </c>
      <c r="F1255" s="55" t="n">
        <v>155</v>
      </c>
      <c r="G1255" s="54" t="n">
        <v>38</v>
      </c>
      <c r="H1255" s="54" t="inlineStr">
        <is>
          <t>Uploaded PDF: Munitorum Field Manual v2.3 / March 2025</t>
        </is>
      </c>
    </row>
    <row r="1256">
      <c r="A1256" s="54" t="inlineStr">
        <is>
          <t>World Eaters</t>
        </is>
      </c>
      <c r="B1256" s="54" t="inlineStr">
        <is>
          <t>World Eaters Defiler</t>
        </is>
      </c>
      <c r="C1256" s="54" t="inlineStr">
        <is>
          <t>1 model</t>
        </is>
      </c>
      <c r="D1256" s="55" t="n">
        <v>190</v>
      </c>
      <c r="E1256" s="55" t="inlineStr">
        <is>
          <t>World Eaters Defiler — 1 model (190 pts)</t>
        </is>
      </c>
      <c r="F1256" s="55" t="n">
        <v>190</v>
      </c>
      <c r="G1256" s="54" t="n">
        <v>38</v>
      </c>
      <c r="H1256" s="54" t="inlineStr">
        <is>
          <t>Uploaded PDF: Munitorum Field Manual v2.3 / March 2025</t>
        </is>
      </c>
    </row>
    <row r="1257">
      <c r="A1257" s="54" t="inlineStr">
        <is>
          <t>World Eaters</t>
        </is>
      </c>
      <c r="B1257" s="54" t="inlineStr">
        <is>
          <t>World Eaters Forgefiend</t>
        </is>
      </c>
      <c r="C1257" s="54" t="inlineStr">
        <is>
          <t>1 model</t>
        </is>
      </c>
      <c r="D1257" s="55" t="n">
        <v>145</v>
      </c>
      <c r="E1257" s="55" t="inlineStr">
        <is>
          <t>World Eaters Forgefiend — 1 model (145 pts)</t>
        </is>
      </c>
      <c r="F1257" s="55" t="n">
        <v>145</v>
      </c>
      <c r="G1257" s="54" t="n">
        <v>38</v>
      </c>
      <c r="H1257" s="54" t="inlineStr">
        <is>
          <t>Uploaded PDF: Munitorum Field Manual v2.3 / March 2025</t>
        </is>
      </c>
    </row>
    <row r="1258">
      <c r="A1258" s="54" t="inlineStr">
        <is>
          <t>World Eaters</t>
        </is>
      </c>
      <c r="B1258" s="54" t="inlineStr">
        <is>
          <t>World Eaters Helbrute</t>
        </is>
      </c>
      <c r="C1258" s="54" t="inlineStr">
        <is>
          <t>1 model</t>
        </is>
      </c>
      <c r="D1258" s="55" t="n">
        <v>130</v>
      </c>
      <c r="E1258" s="55" t="inlineStr">
        <is>
          <t>World Eaters Helbrute — 1 model (130 pts)</t>
        </is>
      </c>
      <c r="F1258" s="55" t="n">
        <v>130</v>
      </c>
      <c r="G1258" s="54" t="n">
        <v>38</v>
      </c>
      <c r="H1258" s="54" t="inlineStr">
        <is>
          <t>Uploaded PDF: Munitorum Field Manual v2.3 / March 2025</t>
        </is>
      </c>
    </row>
    <row r="1259">
      <c r="A1259" s="54" t="inlineStr">
        <is>
          <t>World Eaters</t>
        </is>
      </c>
      <c r="B1259" s="54" t="inlineStr">
        <is>
          <t>World Eaters Heldrake</t>
        </is>
      </c>
      <c r="C1259" s="54" t="inlineStr">
        <is>
          <t>1 model</t>
        </is>
      </c>
      <c r="D1259" s="55" t="n">
        <v>210</v>
      </c>
      <c r="E1259" s="55" t="inlineStr">
        <is>
          <t>World Eaters Heldrake — 1 model (210 pts)</t>
        </is>
      </c>
      <c r="F1259" s="55" t="n">
        <v>210</v>
      </c>
      <c r="G1259" s="54" t="n">
        <v>38</v>
      </c>
      <c r="H1259" s="54" t="inlineStr">
        <is>
          <t>Uploaded PDF: Munitorum Field Manual v2.3 / March 2025</t>
        </is>
      </c>
    </row>
    <row r="1260">
      <c r="A1260" s="54" t="inlineStr">
        <is>
          <t>World Eaters</t>
        </is>
      </c>
      <c r="B1260" s="54" t="inlineStr">
        <is>
          <t>World Eaters Land Raider</t>
        </is>
      </c>
      <c r="C1260" s="54" t="inlineStr">
        <is>
          <t>1 model</t>
        </is>
      </c>
      <c r="D1260" s="55" t="n">
        <v>240</v>
      </c>
      <c r="E1260" s="55" t="inlineStr">
        <is>
          <t>World Eaters Land Raider — 1 model (240 pts)</t>
        </is>
      </c>
      <c r="F1260" s="55" t="n">
        <v>240</v>
      </c>
      <c r="G1260" s="54" t="n">
        <v>38</v>
      </c>
      <c r="H1260" s="54" t="inlineStr">
        <is>
          <t>Uploaded PDF: Munitorum Field Manual v2.3 / March 2025</t>
        </is>
      </c>
    </row>
    <row r="1261">
      <c r="A1261" s="54" t="inlineStr">
        <is>
          <t>World Eaters</t>
        </is>
      </c>
      <c r="B1261" s="54" t="inlineStr">
        <is>
          <t>World Eaters Lord on Juggernaut</t>
        </is>
      </c>
      <c r="C1261" s="54" t="inlineStr">
        <is>
          <t>1 model</t>
        </is>
      </c>
      <c r="D1261" s="55" t="n">
        <v>80</v>
      </c>
      <c r="E1261" s="55" t="inlineStr">
        <is>
          <t>World Eaters Lord on Juggernaut — 1 model (80 pts)</t>
        </is>
      </c>
      <c r="F1261" s="55" t="n">
        <v>80</v>
      </c>
      <c r="G1261" s="54" t="n">
        <v>38</v>
      </c>
      <c r="H1261" s="54" t="inlineStr">
        <is>
          <t>Uploaded PDF: Munitorum Field Manual v2.3 / March 2025</t>
        </is>
      </c>
    </row>
    <row r="1262">
      <c r="A1262" s="54" t="inlineStr">
        <is>
          <t>World Eaters</t>
        </is>
      </c>
      <c r="B1262" s="54" t="inlineStr">
        <is>
          <t>World Eaters Master of Executions</t>
        </is>
      </c>
      <c r="C1262" s="54" t="inlineStr">
        <is>
          <t>1 model</t>
        </is>
      </c>
      <c r="D1262" s="55" t="n">
        <v>110</v>
      </c>
      <c r="E1262" s="55" t="inlineStr">
        <is>
          <t>World Eaters Master of Executions — 1 model (110 pts)</t>
        </is>
      </c>
      <c r="F1262" s="55" t="n">
        <v>110</v>
      </c>
      <c r="G1262" s="54" t="n">
        <v>38</v>
      </c>
      <c r="H1262" s="54" t="inlineStr">
        <is>
          <t>Uploaded PDF: Munitorum Field Manual v2.3 / March 2025</t>
        </is>
      </c>
    </row>
    <row r="1263">
      <c r="A1263" s="54" t="inlineStr">
        <is>
          <t>World Eaters</t>
        </is>
      </c>
      <c r="B1263" s="54" t="inlineStr">
        <is>
          <t>World Eaters Maulerfiend</t>
        </is>
      </c>
      <c r="C1263" s="54" t="inlineStr">
        <is>
          <t>1 model</t>
        </is>
      </c>
      <c r="D1263" s="55" t="n">
        <v>140</v>
      </c>
      <c r="E1263" s="55" t="inlineStr">
        <is>
          <t>World Eaters Maulerfiend — 1 model (140 pts)</t>
        </is>
      </c>
      <c r="F1263" s="55" t="n">
        <v>140</v>
      </c>
      <c r="G1263" s="54" t="n">
        <v>38</v>
      </c>
      <c r="H1263" s="54" t="inlineStr">
        <is>
          <t>Uploaded PDF: Munitorum Field Manual v2.3 / March 2025</t>
        </is>
      </c>
    </row>
    <row r="1264">
      <c r="A1264" s="54" t="inlineStr">
        <is>
          <t>World Eaters</t>
        </is>
      </c>
      <c r="B1264" s="54" t="inlineStr">
        <is>
          <t>World Eaters Predator Annihilator</t>
        </is>
      </c>
      <c r="C1264" s="54" t="inlineStr">
        <is>
          <t>1 model</t>
        </is>
      </c>
      <c r="D1264" s="55" t="n">
        <v>135</v>
      </c>
      <c r="E1264" s="55" t="inlineStr">
        <is>
          <t>World Eaters Predator Annihilator — 1 model (135 pts)</t>
        </is>
      </c>
      <c r="F1264" s="55" t="n">
        <v>135</v>
      </c>
      <c r="G1264" s="54" t="n">
        <v>38</v>
      </c>
      <c r="H1264" s="54" t="inlineStr">
        <is>
          <t>Uploaded PDF: Munitorum Field Manual v2.3 / March 2025</t>
        </is>
      </c>
    </row>
    <row r="1265">
      <c r="A1265" s="54" t="inlineStr">
        <is>
          <t>World Eaters</t>
        </is>
      </c>
      <c r="B1265" s="54" t="inlineStr">
        <is>
          <t>World Eaters Predator Destructor</t>
        </is>
      </c>
      <c r="C1265" s="54" t="inlineStr">
        <is>
          <t>1 model</t>
        </is>
      </c>
      <c r="D1265" s="55" t="n">
        <v>140</v>
      </c>
      <c r="E1265" s="55" t="inlineStr">
        <is>
          <t>World Eaters Predator Destructor — 1 model (140 pts)</t>
        </is>
      </c>
      <c r="F1265" s="55" t="n">
        <v>140</v>
      </c>
      <c r="G1265" s="54" t="n">
        <v>38</v>
      </c>
      <c r="H1265" s="54" t="inlineStr">
        <is>
          <t>Uploaded PDF: Munitorum Field Manual v2.3 / March 2025</t>
        </is>
      </c>
    </row>
    <row r="1266">
      <c r="A1266" s="54" t="inlineStr">
        <is>
          <t>World Eaters</t>
        </is>
      </c>
      <c r="B1266" s="54" t="inlineStr">
        <is>
          <t>World Eaters Rhino</t>
        </is>
      </c>
      <c r="C1266" s="54" t="inlineStr">
        <is>
          <t>1 model</t>
        </is>
      </c>
      <c r="D1266" s="55" t="n">
        <v>75</v>
      </c>
      <c r="E1266" s="55" t="inlineStr">
        <is>
          <t>World Eaters Rhino — 1 model (75 pts)</t>
        </is>
      </c>
      <c r="F1266" s="55" t="n">
        <v>75</v>
      </c>
      <c r="G1266" s="54" t="n">
        <v>38</v>
      </c>
      <c r="H1266" s="54" t="inlineStr">
        <is>
          <t>Uploaded PDF: Munitorum Field Manual v2.3 / March 2025</t>
        </is>
      </c>
    </row>
    <row r="1267">
      <c r="A1267" s="54" t="inlineStr">
        <is>
          <t>World Eaters</t>
        </is>
      </c>
      <c r="B1267" s="54" t="inlineStr">
        <is>
          <t>World Eaters Terminator Squad</t>
        </is>
      </c>
      <c r="C1267" s="54" t="inlineStr">
        <is>
          <t>5 models</t>
        </is>
      </c>
      <c r="D1267" s="55" t="n">
        <v>180</v>
      </c>
      <c r="E1267" s="55" t="inlineStr">
        <is>
          <t>World Eaters Terminator Squad — 5 models (180 pts)</t>
        </is>
      </c>
      <c r="F1267" s="55" t="n">
        <v>180</v>
      </c>
      <c r="G1267" s="54" t="n">
        <v>38</v>
      </c>
      <c r="H1267" s="54" t="inlineStr">
        <is>
          <t>Uploaded PDF: Munitorum Field Manual v2.3 / March 2025</t>
        </is>
      </c>
    </row>
    <row r="1268">
      <c r="A1268" s="54" t="inlineStr">
        <is>
          <t>World Eaters</t>
        </is>
      </c>
      <c r="B1268" s="54" t="inlineStr">
        <is>
          <t>World Eaters Terminator Squad</t>
        </is>
      </c>
      <c r="C1268" s="54" t="inlineStr">
        <is>
          <t>10 models</t>
        </is>
      </c>
      <c r="D1268" s="55" t="n">
        <v>360</v>
      </c>
      <c r="E1268" s="55" t="inlineStr">
        <is>
          <t>World Eaters Terminator Squad — 10 models (360 pts)</t>
        </is>
      </c>
      <c r="F1268" s="55" t="n">
        <v>360</v>
      </c>
      <c r="G1268" s="54" t="n">
        <v>38</v>
      </c>
      <c r="H1268" s="54" t="inlineStr">
        <is>
          <t>Uploaded PDF: Munitorum Field Manual v2.3 / March 2025</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N203"/>
  <sheetViews>
    <sheetView workbookViewId="0">
      <selection activeCell="A1" sqref="A1"/>
    </sheetView>
  </sheetViews>
  <sheetFormatPr baseColWidth="8" defaultRowHeight="15"/>
  <cols>
    <col width="8" customWidth="1" style="48" min="1" max="1"/>
    <col width="55" customWidth="1" style="48" min="2" max="2"/>
    <col width="22" customWidth="1" style="48" min="3" max="3"/>
    <col width="32" customWidth="1" style="48" min="4" max="4"/>
    <col width="28" customWidth="1" style="48" min="5" max="5"/>
    <col width="12" customWidth="1" style="48" min="6" max="6"/>
    <col width="10" customWidth="1" style="48" min="7" max="7"/>
    <col width="12" customWidth="1" style="48" min="8" max="8"/>
    <col width="42" customWidth="1" style="48" min="9" max="9"/>
    <col width="9" customWidth="1" style="48" min="10" max="10"/>
    <col width="45" customWidth="1" style="48" min="11" max="11"/>
    <col width="18" customWidth="1" style="48" min="13" max="13"/>
    <col width="18" customWidth="1" style="48" min="14" max="14"/>
  </cols>
  <sheetData>
    <row r="1" ht="28" customHeight="1" s="48">
      <c r="A1" s="46" t="inlineStr">
        <is>
          <t>Warhammer 40,000 Army Calculator – points from uploaded Munitorum Field Manual v2.3</t>
        </is>
      </c>
      <c r="B1" s="1" t="n"/>
      <c r="C1" s="1" t="n"/>
      <c r="D1" s="1" t="n"/>
      <c r="E1" s="1" t="n"/>
      <c r="F1" s="1" t="n"/>
      <c r="G1" s="1" t="n"/>
      <c r="H1" s="1" t="n"/>
      <c r="I1" s="1" t="n"/>
      <c r="J1" s="1" t="n"/>
      <c r="K1" s="1" t="n"/>
    </row>
    <row r="3">
      <c r="A3" s="66" t="inlineStr">
        <is>
          <t>Slot</t>
        </is>
      </c>
      <c r="B3" s="66" t="inlineStr">
        <is>
          <t>Unit Option</t>
        </is>
      </c>
      <c r="C3" s="66" t="inlineStr">
        <is>
          <t>Faction</t>
        </is>
      </c>
      <c r="D3" s="66" t="inlineStr">
        <is>
          <t>Unit Name</t>
        </is>
      </c>
      <c r="E3" s="66" t="inlineStr">
        <is>
          <t>Models</t>
        </is>
      </c>
      <c r="F3" s="66" t="inlineStr">
        <is>
          <t>Points Each</t>
        </is>
      </c>
      <c r="G3" s="66" t="inlineStr">
        <is>
          <t>Quantity</t>
        </is>
      </c>
      <c r="H3" s="66" t="inlineStr">
        <is>
          <t>Line Total</t>
        </is>
      </c>
      <c r="I3" s="66" t="inlineStr">
        <is>
          <t>Notes</t>
        </is>
      </c>
      <c r="J3" s="66" t="inlineStr">
        <is>
          <t>PDF Page</t>
        </is>
      </c>
      <c r="K3" s="66" t="inlineStr">
        <is>
          <t>Source</t>
        </is>
      </c>
      <c r="M3" s="66" t="inlineStr">
        <is>
          <t>Summary</t>
        </is>
      </c>
      <c r="N3" s="66" t="inlineStr">
        <is>
          <t>Value</t>
        </is>
      </c>
    </row>
    <row r="4">
      <c r="A4" s="72" t="n">
        <v>1</v>
      </c>
      <c r="B4" s="72" t="n"/>
      <c r="C4" s="72">
        <f>IFERROR(XLOOKUP(B4,'Points Options'!$E:$E,'Points Options'!$A:$A),"")</f>
        <v/>
      </c>
      <c r="D4" s="72">
        <f>IFERROR(XLOOKUP(B4,'Points Options'!$E:$E,'Points Options'!$B:$B),"")</f>
        <v/>
      </c>
      <c r="E4" s="72">
        <f>IFERROR(XLOOKUP(B4,'Points Options'!$E:$E,'Points Options'!$C:$C),"")</f>
        <v/>
      </c>
      <c r="F4" s="73">
        <f>IFERROR(XLOOKUP(B4,'Points Options'!$E:$E,'Points Options'!$F:$F),"")</f>
        <v/>
      </c>
      <c r="G4" s="73" t="n">
        <v>1</v>
      </c>
      <c r="H4" s="73">
        <f>IF(B4="","",F4*G4)</f>
        <v/>
      </c>
      <c r="I4" s="72">
        <f>IFERROR(XLOOKUP(B4,'Points Options'!$E:$E,'Points Options'!$B:$B)&amp;" - "&amp;XLOOKUP(B4,'Points Options'!$E:$E,'Points Options'!$C:$C),"")</f>
        <v/>
      </c>
      <c r="J4" s="72">
        <f>IFERROR(XLOOKUP(B4,'Points Options'!$E:$E,'Points Options'!$G:$G),"")</f>
        <v/>
      </c>
      <c r="K4" s="72">
        <f>IFERROR(XLOOKUP(B4,'Points Options'!$E:$E,'Points Options'!$H:$H),"")</f>
        <v/>
      </c>
      <c r="M4" s="71" t="inlineStr">
        <is>
          <t>Army Total</t>
        </is>
      </c>
      <c r="N4" s="60">
        <f>SUM(H4:H203)</f>
        <v/>
      </c>
    </row>
    <row r="5">
      <c r="A5" s="72" t="n">
        <v>2</v>
      </c>
      <c r="B5" s="72" t="n"/>
      <c r="C5" s="72">
        <f>IFERROR(XLOOKUP(B5,'Points Options'!$E:$E,'Points Options'!$A:$A),"")</f>
        <v/>
      </c>
      <c r="D5" s="72">
        <f>IFERROR(XLOOKUP(B5,'Points Options'!$E:$E,'Points Options'!$B:$B),"")</f>
        <v/>
      </c>
      <c r="E5" s="72">
        <f>IFERROR(XLOOKUP(B5,'Points Options'!$E:$E,'Points Options'!$C:$C),"")</f>
        <v/>
      </c>
      <c r="F5" s="73">
        <f>IFERROR(XLOOKUP(B5,'Points Options'!$E:$E,'Points Options'!$F:$F),"")</f>
        <v/>
      </c>
      <c r="G5" s="73" t="n">
        <v>1</v>
      </c>
      <c r="H5" s="73">
        <f>IF(B5="","",F5*G5)</f>
        <v/>
      </c>
      <c r="I5" s="72">
        <f>IFERROR(XLOOKUP(B5,'Points Options'!$E:$E,'Points Options'!$B:$B)&amp;" - "&amp;XLOOKUP(B5,'Points Options'!$E:$E,'Points Options'!$C:$C),"")</f>
        <v/>
      </c>
      <c r="J5" s="72">
        <f>IFERROR(XLOOKUP(B5,'Points Options'!$E:$E,'Points Options'!$G:$G),"")</f>
        <v/>
      </c>
      <c r="K5" s="72">
        <f>IFERROR(XLOOKUP(B5,'Points Options'!$E:$E,'Points Options'!$H:$H),"")</f>
        <v/>
      </c>
      <c r="M5" s="71" t="inlineStr">
        <is>
          <t>Target</t>
        </is>
      </c>
      <c r="N5" s="60" t="n">
        <v>2000</v>
      </c>
    </row>
    <row r="6">
      <c r="A6" s="72" t="n">
        <v>3</v>
      </c>
      <c r="B6" s="72" t="n"/>
      <c r="C6" s="72">
        <f>IFERROR(XLOOKUP(B6,'Points Options'!$E:$E,'Points Options'!$A:$A),"")</f>
        <v/>
      </c>
      <c r="D6" s="72">
        <f>IFERROR(XLOOKUP(B6,'Points Options'!$E:$E,'Points Options'!$B:$B),"")</f>
        <v/>
      </c>
      <c r="E6" s="72">
        <f>IFERROR(XLOOKUP(B6,'Points Options'!$E:$E,'Points Options'!$C:$C),"")</f>
        <v/>
      </c>
      <c r="F6" s="73">
        <f>IFERROR(XLOOKUP(B6,'Points Options'!$E:$E,'Points Options'!$F:$F),"")</f>
        <v/>
      </c>
      <c r="G6" s="73" t="n">
        <v>1</v>
      </c>
      <c r="H6" s="73">
        <f>IF(B6="","",F6*G6)</f>
        <v/>
      </c>
      <c r="I6" s="72">
        <f>IFERROR(XLOOKUP(B6,'Points Options'!$E:$E,'Points Options'!$B:$B)&amp;" - "&amp;XLOOKUP(B6,'Points Options'!$E:$E,'Points Options'!$C:$C),"")</f>
        <v/>
      </c>
      <c r="J6" s="72">
        <f>IFERROR(XLOOKUP(B6,'Points Options'!$E:$E,'Points Options'!$G:$G),"")</f>
        <v/>
      </c>
      <c r="K6" s="72">
        <f>IFERROR(XLOOKUP(B6,'Points Options'!$E:$E,'Points Options'!$H:$H),"")</f>
        <v/>
      </c>
      <c r="M6" s="71" t="inlineStr">
        <is>
          <t>Remaining</t>
        </is>
      </c>
      <c r="N6" s="60">
        <f>N5-N4</f>
        <v/>
      </c>
    </row>
    <row r="7">
      <c r="A7" s="72" t="n">
        <v>4</v>
      </c>
      <c r="B7" s="72" t="n"/>
      <c r="C7" s="72">
        <f>IFERROR(XLOOKUP(B7,'Points Options'!$E:$E,'Points Options'!$A:$A),"")</f>
        <v/>
      </c>
      <c r="D7" s="72">
        <f>IFERROR(XLOOKUP(B7,'Points Options'!$E:$E,'Points Options'!$B:$B),"")</f>
        <v/>
      </c>
      <c r="E7" s="72">
        <f>IFERROR(XLOOKUP(B7,'Points Options'!$E:$E,'Points Options'!$C:$C),"")</f>
        <v/>
      </c>
      <c r="F7" s="73">
        <f>IFERROR(XLOOKUP(B7,'Points Options'!$E:$E,'Points Options'!$F:$F),"")</f>
        <v/>
      </c>
      <c r="G7" s="73" t="n">
        <v>1</v>
      </c>
      <c r="H7" s="73">
        <f>IF(B7="","",F7*G7)</f>
        <v/>
      </c>
      <c r="I7" s="72">
        <f>IFERROR(XLOOKUP(B7,'Points Options'!$E:$E,'Points Options'!$B:$B)&amp;" - "&amp;XLOOKUP(B7,'Points Options'!$E:$E,'Points Options'!$C:$C),"")</f>
        <v/>
      </c>
      <c r="J7" s="72">
        <f>IFERROR(XLOOKUP(B7,'Points Options'!$E:$E,'Points Options'!$G:$G),"")</f>
        <v/>
      </c>
      <c r="K7" s="72">
        <f>IFERROR(XLOOKUP(B7,'Points Options'!$E:$E,'Points Options'!$H:$H),"")</f>
        <v/>
      </c>
      <c r="M7" s="71" t="inlineStr">
        <is>
          <t>Rows Used</t>
        </is>
      </c>
      <c r="N7" s="60">
        <f>COUNTIF(B4:B203,"&lt;&gt;")</f>
        <v/>
      </c>
    </row>
    <row r="8">
      <c r="A8" s="72" t="n">
        <v>5</v>
      </c>
      <c r="B8" s="72" t="n"/>
      <c r="C8" s="72">
        <f>IFERROR(XLOOKUP(B8,'Points Options'!$E:$E,'Points Options'!$A:$A),"")</f>
        <v/>
      </c>
      <c r="D8" s="72">
        <f>IFERROR(XLOOKUP(B8,'Points Options'!$E:$E,'Points Options'!$B:$B),"")</f>
        <v/>
      </c>
      <c r="E8" s="72">
        <f>IFERROR(XLOOKUP(B8,'Points Options'!$E:$E,'Points Options'!$C:$C),"")</f>
        <v/>
      </c>
      <c r="F8" s="73">
        <f>IFERROR(XLOOKUP(B8,'Points Options'!$E:$E,'Points Options'!$F:$F),"")</f>
        <v/>
      </c>
      <c r="G8" s="73" t="n">
        <v>1</v>
      </c>
      <c r="H8" s="73">
        <f>IF(B8="","",F8*G8)</f>
        <v/>
      </c>
      <c r="I8" s="72">
        <f>IFERROR(XLOOKUP(B8,'Points Options'!$E:$E,'Points Options'!$B:$B)&amp;" - "&amp;XLOOKUP(B8,'Points Options'!$E:$E,'Points Options'!$C:$C),"")</f>
        <v/>
      </c>
      <c r="J8" s="72">
        <f>IFERROR(XLOOKUP(B8,'Points Options'!$E:$E,'Points Options'!$G:$G),"")</f>
        <v/>
      </c>
      <c r="K8" s="72">
        <f>IFERROR(XLOOKUP(B8,'Points Options'!$E:$E,'Points Options'!$H:$H),"")</f>
        <v/>
      </c>
      <c r="M8" s="71" t="inlineStr">
        <is>
          <t>Source</t>
        </is>
      </c>
      <c r="N8" t="inlineStr">
        <is>
          <t>Munitorum Field Manual v2.3 / March 2025</t>
        </is>
      </c>
    </row>
    <row r="9">
      <c r="A9" s="72" t="n">
        <v>6</v>
      </c>
      <c r="B9" s="72" t="n"/>
      <c r="C9" s="72">
        <f>IFERROR(XLOOKUP(B9,'Points Options'!$E:$E,'Points Options'!$A:$A),"")</f>
        <v/>
      </c>
      <c r="D9" s="72">
        <f>IFERROR(XLOOKUP(B9,'Points Options'!$E:$E,'Points Options'!$B:$B),"")</f>
        <v/>
      </c>
      <c r="E9" s="72">
        <f>IFERROR(XLOOKUP(B9,'Points Options'!$E:$E,'Points Options'!$C:$C),"")</f>
        <v/>
      </c>
      <c r="F9" s="73">
        <f>IFERROR(XLOOKUP(B9,'Points Options'!$E:$E,'Points Options'!$F:$F),"")</f>
        <v/>
      </c>
      <c r="G9" s="73" t="n">
        <v>1</v>
      </c>
      <c r="H9" s="73">
        <f>IF(B9="","",F9*G9)</f>
        <v/>
      </c>
      <c r="I9" s="72">
        <f>IFERROR(XLOOKUP(B9,'Points Options'!$E:$E,'Points Options'!$B:$B)&amp;" - "&amp;XLOOKUP(B9,'Points Options'!$E:$E,'Points Options'!$C:$C),"")</f>
        <v/>
      </c>
      <c r="J9" s="72">
        <f>IFERROR(XLOOKUP(B9,'Points Options'!$E:$E,'Points Options'!$G:$G),"")</f>
        <v/>
      </c>
      <c r="K9" s="72">
        <f>IFERROR(XLOOKUP(B9,'Points Options'!$E:$E,'Points Options'!$H:$H),"")</f>
        <v/>
      </c>
    </row>
    <row r="10">
      <c r="A10" s="72" t="n">
        <v>7</v>
      </c>
      <c r="B10" s="72" t="n"/>
      <c r="C10" s="72">
        <f>IFERROR(XLOOKUP(B10,'Points Options'!$E:$E,'Points Options'!$A:$A),"")</f>
        <v/>
      </c>
      <c r="D10" s="72">
        <f>IFERROR(XLOOKUP(B10,'Points Options'!$E:$E,'Points Options'!$B:$B),"")</f>
        <v/>
      </c>
      <c r="E10" s="72">
        <f>IFERROR(XLOOKUP(B10,'Points Options'!$E:$E,'Points Options'!$C:$C),"")</f>
        <v/>
      </c>
      <c r="F10" s="73">
        <f>IFERROR(XLOOKUP(B10,'Points Options'!$E:$E,'Points Options'!$F:$F),"")</f>
        <v/>
      </c>
      <c r="G10" s="73" t="n">
        <v>1</v>
      </c>
      <c r="H10" s="73">
        <f>IF(B10="","",F10*G10)</f>
        <v/>
      </c>
      <c r="I10" s="72">
        <f>IFERROR(XLOOKUP(B10,'Points Options'!$E:$E,'Points Options'!$B:$B)&amp;" - "&amp;XLOOKUP(B10,'Points Options'!$E:$E,'Points Options'!$C:$C),"")</f>
        <v/>
      </c>
      <c r="J10" s="72">
        <f>IFERROR(XLOOKUP(B10,'Points Options'!$E:$E,'Points Options'!$G:$G),"")</f>
        <v/>
      </c>
      <c r="K10" s="72">
        <f>IFERROR(XLOOKUP(B10,'Points Options'!$E:$E,'Points Options'!$H:$H),"")</f>
        <v/>
      </c>
    </row>
    <row r="11">
      <c r="A11" s="72" t="n">
        <v>8</v>
      </c>
      <c r="B11" s="72" t="n"/>
      <c r="C11" s="72">
        <f>IFERROR(XLOOKUP(B11,'Points Options'!$E:$E,'Points Options'!$A:$A),"")</f>
        <v/>
      </c>
      <c r="D11" s="72">
        <f>IFERROR(XLOOKUP(B11,'Points Options'!$E:$E,'Points Options'!$B:$B),"")</f>
        <v/>
      </c>
      <c r="E11" s="72">
        <f>IFERROR(XLOOKUP(B11,'Points Options'!$E:$E,'Points Options'!$C:$C),"")</f>
        <v/>
      </c>
      <c r="F11" s="73">
        <f>IFERROR(XLOOKUP(B11,'Points Options'!$E:$E,'Points Options'!$F:$F),"")</f>
        <v/>
      </c>
      <c r="G11" s="73" t="n">
        <v>1</v>
      </c>
      <c r="H11" s="73">
        <f>IF(B11="","",F11*G11)</f>
        <v/>
      </c>
      <c r="I11" s="72">
        <f>IFERROR(XLOOKUP(B11,'Points Options'!$E:$E,'Points Options'!$B:$B)&amp;" - "&amp;XLOOKUP(B11,'Points Options'!$E:$E,'Points Options'!$C:$C),"")</f>
        <v/>
      </c>
      <c r="J11" s="72">
        <f>IFERROR(XLOOKUP(B11,'Points Options'!$E:$E,'Points Options'!$G:$G),"")</f>
        <v/>
      </c>
      <c r="K11" s="72">
        <f>IFERROR(XLOOKUP(B11,'Points Options'!$E:$E,'Points Options'!$H:$H),"")</f>
        <v/>
      </c>
    </row>
    <row r="12">
      <c r="A12" s="72" t="n">
        <v>9</v>
      </c>
      <c r="B12" s="72" t="n"/>
      <c r="C12" s="72">
        <f>IFERROR(XLOOKUP(B12,'Points Options'!$E:$E,'Points Options'!$A:$A),"")</f>
        <v/>
      </c>
      <c r="D12" s="72">
        <f>IFERROR(XLOOKUP(B12,'Points Options'!$E:$E,'Points Options'!$B:$B),"")</f>
        <v/>
      </c>
      <c r="E12" s="72">
        <f>IFERROR(XLOOKUP(B12,'Points Options'!$E:$E,'Points Options'!$C:$C),"")</f>
        <v/>
      </c>
      <c r="F12" s="73">
        <f>IFERROR(XLOOKUP(B12,'Points Options'!$E:$E,'Points Options'!$F:$F),"")</f>
        <v/>
      </c>
      <c r="G12" s="73" t="n">
        <v>1</v>
      </c>
      <c r="H12" s="73">
        <f>IF(B12="","",F12*G12)</f>
        <v/>
      </c>
      <c r="I12" s="72">
        <f>IFERROR(XLOOKUP(B12,'Points Options'!$E:$E,'Points Options'!$B:$B)&amp;" - "&amp;XLOOKUP(B12,'Points Options'!$E:$E,'Points Options'!$C:$C),"")</f>
        <v/>
      </c>
      <c r="J12" s="72">
        <f>IFERROR(XLOOKUP(B12,'Points Options'!$E:$E,'Points Options'!$G:$G),"")</f>
        <v/>
      </c>
      <c r="K12" s="72">
        <f>IFERROR(XLOOKUP(B12,'Points Options'!$E:$E,'Points Options'!$H:$H),"")</f>
        <v/>
      </c>
    </row>
    <row r="13">
      <c r="A13" s="72" t="n">
        <v>10</v>
      </c>
      <c r="B13" s="72" t="n"/>
      <c r="C13" s="72">
        <f>IFERROR(XLOOKUP(B13,'Points Options'!$E:$E,'Points Options'!$A:$A),"")</f>
        <v/>
      </c>
      <c r="D13" s="72">
        <f>IFERROR(XLOOKUP(B13,'Points Options'!$E:$E,'Points Options'!$B:$B),"")</f>
        <v/>
      </c>
      <c r="E13" s="72">
        <f>IFERROR(XLOOKUP(B13,'Points Options'!$E:$E,'Points Options'!$C:$C),"")</f>
        <v/>
      </c>
      <c r="F13" s="73">
        <f>IFERROR(XLOOKUP(B13,'Points Options'!$E:$E,'Points Options'!$F:$F),"")</f>
        <v/>
      </c>
      <c r="G13" s="73" t="n">
        <v>1</v>
      </c>
      <c r="H13" s="73">
        <f>IF(B13="","",F13*G13)</f>
        <v/>
      </c>
      <c r="I13" s="72">
        <f>IFERROR(XLOOKUP(B13,'Points Options'!$E:$E,'Points Options'!$B:$B)&amp;" - "&amp;XLOOKUP(B13,'Points Options'!$E:$E,'Points Options'!$C:$C),"")</f>
        <v/>
      </c>
      <c r="J13" s="72">
        <f>IFERROR(XLOOKUP(B13,'Points Options'!$E:$E,'Points Options'!$G:$G),"")</f>
        <v/>
      </c>
      <c r="K13" s="72">
        <f>IFERROR(XLOOKUP(B13,'Points Options'!$E:$E,'Points Options'!$H:$H),"")</f>
        <v/>
      </c>
    </row>
    <row r="14">
      <c r="A14" s="72" t="n">
        <v>11</v>
      </c>
      <c r="B14" s="72" t="n"/>
      <c r="C14" s="72">
        <f>IFERROR(XLOOKUP(B14,'Points Options'!$E:$E,'Points Options'!$A:$A),"")</f>
        <v/>
      </c>
      <c r="D14" s="72">
        <f>IFERROR(XLOOKUP(B14,'Points Options'!$E:$E,'Points Options'!$B:$B),"")</f>
        <v/>
      </c>
      <c r="E14" s="72">
        <f>IFERROR(XLOOKUP(B14,'Points Options'!$E:$E,'Points Options'!$C:$C),"")</f>
        <v/>
      </c>
      <c r="F14" s="73">
        <f>IFERROR(XLOOKUP(B14,'Points Options'!$E:$E,'Points Options'!$F:$F),"")</f>
        <v/>
      </c>
      <c r="G14" s="73" t="n">
        <v>1</v>
      </c>
      <c r="H14" s="73">
        <f>IF(B14="","",F14*G14)</f>
        <v/>
      </c>
      <c r="I14" s="72">
        <f>IFERROR(XLOOKUP(B14,'Points Options'!$E:$E,'Points Options'!$B:$B)&amp;" - "&amp;XLOOKUP(B14,'Points Options'!$E:$E,'Points Options'!$C:$C),"")</f>
        <v/>
      </c>
      <c r="J14" s="72">
        <f>IFERROR(XLOOKUP(B14,'Points Options'!$E:$E,'Points Options'!$G:$G),"")</f>
        <v/>
      </c>
      <c r="K14" s="72">
        <f>IFERROR(XLOOKUP(B14,'Points Options'!$E:$E,'Points Options'!$H:$H),"")</f>
        <v/>
      </c>
    </row>
    <row r="15">
      <c r="A15" s="72" t="n">
        <v>12</v>
      </c>
      <c r="B15" s="72" t="n"/>
      <c r="C15" s="72">
        <f>IFERROR(XLOOKUP(B15,'Points Options'!$E:$E,'Points Options'!$A:$A),"")</f>
        <v/>
      </c>
      <c r="D15" s="72">
        <f>IFERROR(XLOOKUP(B15,'Points Options'!$E:$E,'Points Options'!$B:$B),"")</f>
        <v/>
      </c>
      <c r="E15" s="72">
        <f>IFERROR(XLOOKUP(B15,'Points Options'!$E:$E,'Points Options'!$C:$C),"")</f>
        <v/>
      </c>
      <c r="F15" s="73">
        <f>IFERROR(XLOOKUP(B15,'Points Options'!$E:$E,'Points Options'!$F:$F),"")</f>
        <v/>
      </c>
      <c r="G15" s="73" t="n">
        <v>1</v>
      </c>
      <c r="H15" s="73">
        <f>IF(B15="","",F15*G15)</f>
        <v/>
      </c>
      <c r="I15" s="72">
        <f>IFERROR(XLOOKUP(B15,'Points Options'!$E:$E,'Points Options'!$B:$B)&amp;" - "&amp;XLOOKUP(B15,'Points Options'!$E:$E,'Points Options'!$C:$C),"")</f>
        <v/>
      </c>
      <c r="J15" s="72">
        <f>IFERROR(XLOOKUP(B15,'Points Options'!$E:$E,'Points Options'!$G:$G),"")</f>
        <v/>
      </c>
      <c r="K15" s="72">
        <f>IFERROR(XLOOKUP(B15,'Points Options'!$E:$E,'Points Options'!$H:$H),"")</f>
        <v/>
      </c>
    </row>
    <row r="16">
      <c r="A16" s="72" t="n">
        <v>13</v>
      </c>
      <c r="B16" s="72" t="n"/>
      <c r="C16" s="72">
        <f>IFERROR(XLOOKUP(B16,'Points Options'!$E:$E,'Points Options'!$A:$A),"")</f>
        <v/>
      </c>
      <c r="D16" s="72">
        <f>IFERROR(XLOOKUP(B16,'Points Options'!$E:$E,'Points Options'!$B:$B),"")</f>
        <v/>
      </c>
      <c r="E16" s="72">
        <f>IFERROR(XLOOKUP(B16,'Points Options'!$E:$E,'Points Options'!$C:$C),"")</f>
        <v/>
      </c>
      <c r="F16" s="73">
        <f>IFERROR(XLOOKUP(B16,'Points Options'!$E:$E,'Points Options'!$F:$F),"")</f>
        <v/>
      </c>
      <c r="G16" s="73" t="n">
        <v>1</v>
      </c>
      <c r="H16" s="73">
        <f>IF(B16="","",F16*G16)</f>
        <v/>
      </c>
      <c r="I16" s="72">
        <f>IFERROR(XLOOKUP(B16,'Points Options'!$E:$E,'Points Options'!$B:$B)&amp;" - "&amp;XLOOKUP(B16,'Points Options'!$E:$E,'Points Options'!$C:$C),"")</f>
        <v/>
      </c>
      <c r="J16" s="72">
        <f>IFERROR(XLOOKUP(B16,'Points Options'!$E:$E,'Points Options'!$G:$G),"")</f>
        <v/>
      </c>
      <c r="K16" s="72">
        <f>IFERROR(XLOOKUP(B16,'Points Options'!$E:$E,'Points Options'!$H:$H),"")</f>
        <v/>
      </c>
    </row>
    <row r="17">
      <c r="A17" s="72" t="n">
        <v>14</v>
      </c>
      <c r="B17" s="72" t="n"/>
      <c r="C17" s="72">
        <f>IFERROR(XLOOKUP(B17,'Points Options'!$E:$E,'Points Options'!$A:$A),"")</f>
        <v/>
      </c>
      <c r="D17" s="72">
        <f>IFERROR(XLOOKUP(B17,'Points Options'!$E:$E,'Points Options'!$B:$B),"")</f>
        <v/>
      </c>
      <c r="E17" s="72">
        <f>IFERROR(XLOOKUP(B17,'Points Options'!$E:$E,'Points Options'!$C:$C),"")</f>
        <v/>
      </c>
      <c r="F17" s="73">
        <f>IFERROR(XLOOKUP(B17,'Points Options'!$E:$E,'Points Options'!$F:$F),"")</f>
        <v/>
      </c>
      <c r="G17" s="73" t="n">
        <v>1</v>
      </c>
      <c r="H17" s="73">
        <f>IF(B17="","",F17*G17)</f>
        <v/>
      </c>
      <c r="I17" s="72">
        <f>IFERROR(XLOOKUP(B17,'Points Options'!$E:$E,'Points Options'!$B:$B)&amp;" - "&amp;XLOOKUP(B17,'Points Options'!$E:$E,'Points Options'!$C:$C),"")</f>
        <v/>
      </c>
      <c r="J17" s="72">
        <f>IFERROR(XLOOKUP(B17,'Points Options'!$E:$E,'Points Options'!$G:$G),"")</f>
        <v/>
      </c>
      <c r="K17" s="72">
        <f>IFERROR(XLOOKUP(B17,'Points Options'!$E:$E,'Points Options'!$H:$H),"")</f>
        <v/>
      </c>
    </row>
    <row r="18">
      <c r="A18" s="72" t="n">
        <v>15</v>
      </c>
      <c r="B18" s="72" t="n"/>
      <c r="C18" s="72">
        <f>IFERROR(XLOOKUP(B18,'Points Options'!$E:$E,'Points Options'!$A:$A),"")</f>
        <v/>
      </c>
      <c r="D18" s="72">
        <f>IFERROR(XLOOKUP(B18,'Points Options'!$E:$E,'Points Options'!$B:$B),"")</f>
        <v/>
      </c>
      <c r="E18" s="72">
        <f>IFERROR(XLOOKUP(B18,'Points Options'!$E:$E,'Points Options'!$C:$C),"")</f>
        <v/>
      </c>
      <c r="F18" s="73">
        <f>IFERROR(XLOOKUP(B18,'Points Options'!$E:$E,'Points Options'!$F:$F),"")</f>
        <v/>
      </c>
      <c r="G18" s="73" t="n">
        <v>1</v>
      </c>
      <c r="H18" s="73">
        <f>IF(B18="","",F18*G18)</f>
        <v/>
      </c>
      <c r="I18" s="72">
        <f>IFERROR(XLOOKUP(B18,'Points Options'!$E:$E,'Points Options'!$B:$B)&amp;" - "&amp;XLOOKUP(B18,'Points Options'!$E:$E,'Points Options'!$C:$C),"")</f>
        <v/>
      </c>
      <c r="J18" s="72">
        <f>IFERROR(XLOOKUP(B18,'Points Options'!$E:$E,'Points Options'!$G:$G),"")</f>
        <v/>
      </c>
      <c r="K18" s="72">
        <f>IFERROR(XLOOKUP(B18,'Points Options'!$E:$E,'Points Options'!$H:$H),"")</f>
        <v/>
      </c>
    </row>
    <row r="19">
      <c r="A19" s="72" t="n">
        <v>16</v>
      </c>
      <c r="B19" s="72" t="n"/>
      <c r="C19" s="72">
        <f>IFERROR(XLOOKUP(B19,'Points Options'!$E:$E,'Points Options'!$A:$A),"")</f>
        <v/>
      </c>
      <c r="D19" s="72">
        <f>IFERROR(XLOOKUP(B19,'Points Options'!$E:$E,'Points Options'!$B:$B),"")</f>
        <v/>
      </c>
      <c r="E19" s="72">
        <f>IFERROR(XLOOKUP(B19,'Points Options'!$E:$E,'Points Options'!$C:$C),"")</f>
        <v/>
      </c>
      <c r="F19" s="73">
        <f>IFERROR(XLOOKUP(B19,'Points Options'!$E:$E,'Points Options'!$F:$F),"")</f>
        <v/>
      </c>
      <c r="G19" s="73" t="n">
        <v>1</v>
      </c>
      <c r="H19" s="73">
        <f>IF(B19="","",F19*G19)</f>
        <v/>
      </c>
      <c r="I19" s="72">
        <f>IFERROR(XLOOKUP(B19,'Points Options'!$E:$E,'Points Options'!$B:$B)&amp;" - "&amp;XLOOKUP(B19,'Points Options'!$E:$E,'Points Options'!$C:$C),"")</f>
        <v/>
      </c>
      <c r="J19" s="72">
        <f>IFERROR(XLOOKUP(B19,'Points Options'!$E:$E,'Points Options'!$G:$G),"")</f>
        <v/>
      </c>
      <c r="K19" s="72">
        <f>IFERROR(XLOOKUP(B19,'Points Options'!$E:$E,'Points Options'!$H:$H),"")</f>
        <v/>
      </c>
    </row>
    <row r="20">
      <c r="A20" s="72" t="n">
        <v>17</v>
      </c>
      <c r="B20" s="72" t="n"/>
      <c r="C20" s="72">
        <f>IFERROR(XLOOKUP(B20,'Points Options'!$E:$E,'Points Options'!$A:$A),"")</f>
        <v/>
      </c>
      <c r="D20" s="72">
        <f>IFERROR(XLOOKUP(B20,'Points Options'!$E:$E,'Points Options'!$B:$B),"")</f>
        <v/>
      </c>
      <c r="E20" s="72">
        <f>IFERROR(XLOOKUP(B20,'Points Options'!$E:$E,'Points Options'!$C:$C),"")</f>
        <v/>
      </c>
      <c r="F20" s="73">
        <f>IFERROR(XLOOKUP(B20,'Points Options'!$E:$E,'Points Options'!$F:$F),"")</f>
        <v/>
      </c>
      <c r="G20" s="73" t="n">
        <v>1</v>
      </c>
      <c r="H20" s="73">
        <f>IF(B20="","",F20*G20)</f>
        <v/>
      </c>
      <c r="I20" s="72">
        <f>IFERROR(XLOOKUP(B20,'Points Options'!$E:$E,'Points Options'!$B:$B)&amp;" - "&amp;XLOOKUP(B20,'Points Options'!$E:$E,'Points Options'!$C:$C),"")</f>
        <v/>
      </c>
      <c r="J20" s="72">
        <f>IFERROR(XLOOKUP(B20,'Points Options'!$E:$E,'Points Options'!$G:$G),"")</f>
        <v/>
      </c>
      <c r="K20" s="72">
        <f>IFERROR(XLOOKUP(B20,'Points Options'!$E:$E,'Points Options'!$H:$H),"")</f>
        <v/>
      </c>
    </row>
    <row r="21">
      <c r="A21" s="72" t="n">
        <v>18</v>
      </c>
      <c r="B21" s="72" t="n"/>
      <c r="C21" s="72">
        <f>IFERROR(XLOOKUP(B21,'Points Options'!$E:$E,'Points Options'!$A:$A),"")</f>
        <v/>
      </c>
      <c r="D21" s="72">
        <f>IFERROR(XLOOKUP(B21,'Points Options'!$E:$E,'Points Options'!$B:$B),"")</f>
        <v/>
      </c>
      <c r="E21" s="72">
        <f>IFERROR(XLOOKUP(B21,'Points Options'!$E:$E,'Points Options'!$C:$C),"")</f>
        <v/>
      </c>
      <c r="F21" s="73">
        <f>IFERROR(XLOOKUP(B21,'Points Options'!$E:$E,'Points Options'!$F:$F),"")</f>
        <v/>
      </c>
      <c r="G21" s="73" t="n">
        <v>1</v>
      </c>
      <c r="H21" s="73">
        <f>IF(B21="","",F21*G21)</f>
        <v/>
      </c>
      <c r="I21" s="72">
        <f>IFERROR(XLOOKUP(B21,'Points Options'!$E:$E,'Points Options'!$B:$B)&amp;" - "&amp;XLOOKUP(B21,'Points Options'!$E:$E,'Points Options'!$C:$C),"")</f>
        <v/>
      </c>
      <c r="J21" s="72">
        <f>IFERROR(XLOOKUP(B21,'Points Options'!$E:$E,'Points Options'!$G:$G),"")</f>
        <v/>
      </c>
      <c r="K21" s="72">
        <f>IFERROR(XLOOKUP(B21,'Points Options'!$E:$E,'Points Options'!$H:$H),"")</f>
        <v/>
      </c>
    </row>
    <row r="22">
      <c r="A22" s="72" t="n">
        <v>19</v>
      </c>
      <c r="B22" s="72" t="n"/>
      <c r="C22" s="72">
        <f>IFERROR(XLOOKUP(B22,'Points Options'!$E:$E,'Points Options'!$A:$A),"")</f>
        <v/>
      </c>
      <c r="D22" s="72">
        <f>IFERROR(XLOOKUP(B22,'Points Options'!$E:$E,'Points Options'!$B:$B),"")</f>
        <v/>
      </c>
      <c r="E22" s="72">
        <f>IFERROR(XLOOKUP(B22,'Points Options'!$E:$E,'Points Options'!$C:$C),"")</f>
        <v/>
      </c>
      <c r="F22" s="73">
        <f>IFERROR(XLOOKUP(B22,'Points Options'!$E:$E,'Points Options'!$F:$F),"")</f>
        <v/>
      </c>
      <c r="G22" s="73" t="n">
        <v>1</v>
      </c>
      <c r="H22" s="73">
        <f>IF(B22="","",F22*G22)</f>
        <v/>
      </c>
      <c r="I22" s="72">
        <f>IFERROR(XLOOKUP(B22,'Points Options'!$E:$E,'Points Options'!$B:$B)&amp;" - "&amp;XLOOKUP(B22,'Points Options'!$E:$E,'Points Options'!$C:$C),"")</f>
        <v/>
      </c>
      <c r="J22" s="72">
        <f>IFERROR(XLOOKUP(B22,'Points Options'!$E:$E,'Points Options'!$G:$G),"")</f>
        <v/>
      </c>
      <c r="K22" s="72">
        <f>IFERROR(XLOOKUP(B22,'Points Options'!$E:$E,'Points Options'!$H:$H),"")</f>
        <v/>
      </c>
    </row>
    <row r="23">
      <c r="A23" s="72" t="n">
        <v>20</v>
      </c>
      <c r="B23" s="72" t="n"/>
      <c r="C23" s="72">
        <f>IFERROR(XLOOKUP(B23,'Points Options'!$E:$E,'Points Options'!$A:$A),"")</f>
        <v/>
      </c>
      <c r="D23" s="72">
        <f>IFERROR(XLOOKUP(B23,'Points Options'!$E:$E,'Points Options'!$B:$B),"")</f>
        <v/>
      </c>
      <c r="E23" s="72">
        <f>IFERROR(XLOOKUP(B23,'Points Options'!$E:$E,'Points Options'!$C:$C),"")</f>
        <v/>
      </c>
      <c r="F23" s="73">
        <f>IFERROR(XLOOKUP(B23,'Points Options'!$E:$E,'Points Options'!$F:$F),"")</f>
        <v/>
      </c>
      <c r="G23" s="73" t="n">
        <v>1</v>
      </c>
      <c r="H23" s="73">
        <f>IF(B23="","",F23*G23)</f>
        <v/>
      </c>
      <c r="I23" s="72">
        <f>IFERROR(XLOOKUP(B23,'Points Options'!$E:$E,'Points Options'!$B:$B)&amp;" - "&amp;XLOOKUP(B23,'Points Options'!$E:$E,'Points Options'!$C:$C),"")</f>
        <v/>
      </c>
      <c r="J23" s="72">
        <f>IFERROR(XLOOKUP(B23,'Points Options'!$E:$E,'Points Options'!$G:$G),"")</f>
        <v/>
      </c>
      <c r="K23" s="72">
        <f>IFERROR(XLOOKUP(B23,'Points Options'!$E:$E,'Points Options'!$H:$H),"")</f>
        <v/>
      </c>
    </row>
    <row r="24">
      <c r="A24" s="72" t="n">
        <v>21</v>
      </c>
      <c r="B24" s="72" t="n"/>
      <c r="C24" s="72">
        <f>IFERROR(XLOOKUP(B24,'Points Options'!$E:$E,'Points Options'!$A:$A),"")</f>
        <v/>
      </c>
      <c r="D24" s="72">
        <f>IFERROR(XLOOKUP(B24,'Points Options'!$E:$E,'Points Options'!$B:$B),"")</f>
        <v/>
      </c>
      <c r="E24" s="72">
        <f>IFERROR(XLOOKUP(B24,'Points Options'!$E:$E,'Points Options'!$C:$C),"")</f>
        <v/>
      </c>
      <c r="F24" s="73">
        <f>IFERROR(XLOOKUP(B24,'Points Options'!$E:$E,'Points Options'!$F:$F),"")</f>
        <v/>
      </c>
      <c r="G24" s="73" t="n">
        <v>1</v>
      </c>
      <c r="H24" s="73">
        <f>IF(B24="","",F24*G24)</f>
        <v/>
      </c>
      <c r="I24" s="72">
        <f>IFERROR(XLOOKUP(B24,'Points Options'!$E:$E,'Points Options'!$B:$B)&amp;" - "&amp;XLOOKUP(B24,'Points Options'!$E:$E,'Points Options'!$C:$C),"")</f>
        <v/>
      </c>
      <c r="J24" s="72">
        <f>IFERROR(XLOOKUP(B24,'Points Options'!$E:$E,'Points Options'!$G:$G),"")</f>
        <v/>
      </c>
      <c r="K24" s="72">
        <f>IFERROR(XLOOKUP(B24,'Points Options'!$E:$E,'Points Options'!$H:$H),"")</f>
        <v/>
      </c>
    </row>
    <row r="25">
      <c r="A25" s="72" t="n">
        <v>22</v>
      </c>
      <c r="B25" s="72" t="n"/>
      <c r="C25" s="72">
        <f>IFERROR(XLOOKUP(B25,'Points Options'!$E:$E,'Points Options'!$A:$A),"")</f>
        <v/>
      </c>
      <c r="D25" s="72">
        <f>IFERROR(XLOOKUP(B25,'Points Options'!$E:$E,'Points Options'!$B:$B),"")</f>
        <v/>
      </c>
      <c r="E25" s="72">
        <f>IFERROR(XLOOKUP(B25,'Points Options'!$E:$E,'Points Options'!$C:$C),"")</f>
        <v/>
      </c>
      <c r="F25" s="73">
        <f>IFERROR(XLOOKUP(B25,'Points Options'!$E:$E,'Points Options'!$F:$F),"")</f>
        <v/>
      </c>
      <c r="G25" s="73" t="n">
        <v>1</v>
      </c>
      <c r="H25" s="73">
        <f>IF(B25="","",F25*G25)</f>
        <v/>
      </c>
      <c r="I25" s="72">
        <f>IFERROR(XLOOKUP(B25,'Points Options'!$E:$E,'Points Options'!$B:$B)&amp;" - "&amp;XLOOKUP(B25,'Points Options'!$E:$E,'Points Options'!$C:$C),"")</f>
        <v/>
      </c>
      <c r="J25" s="72">
        <f>IFERROR(XLOOKUP(B25,'Points Options'!$E:$E,'Points Options'!$G:$G),"")</f>
        <v/>
      </c>
      <c r="K25" s="72">
        <f>IFERROR(XLOOKUP(B25,'Points Options'!$E:$E,'Points Options'!$H:$H),"")</f>
        <v/>
      </c>
    </row>
    <row r="26">
      <c r="A26" s="72" t="n">
        <v>23</v>
      </c>
      <c r="B26" s="72" t="n"/>
      <c r="C26" s="72">
        <f>IFERROR(XLOOKUP(B26,'Points Options'!$E:$E,'Points Options'!$A:$A),"")</f>
        <v/>
      </c>
      <c r="D26" s="72">
        <f>IFERROR(XLOOKUP(B26,'Points Options'!$E:$E,'Points Options'!$B:$B),"")</f>
        <v/>
      </c>
      <c r="E26" s="72">
        <f>IFERROR(XLOOKUP(B26,'Points Options'!$E:$E,'Points Options'!$C:$C),"")</f>
        <v/>
      </c>
      <c r="F26" s="73">
        <f>IFERROR(XLOOKUP(B26,'Points Options'!$E:$E,'Points Options'!$F:$F),"")</f>
        <v/>
      </c>
      <c r="G26" s="73" t="n">
        <v>1</v>
      </c>
      <c r="H26" s="73">
        <f>IF(B26="","",F26*G26)</f>
        <v/>
      </c>
      <c r="I26" s="72">
        <f>IFERROR(XLOOKUP(B26,'Points Options'!$E:$E,'Points Options'!$B:$B)&amp;" - "&amp;XLOOKUP(B26,'Points Options'!$E:$E,'Points Options'!$C:$C),"")</f>
        <v/>
      </c>
      <c r="J26" s="72">
        <f>IFERROR(XLOOKUP(B26,'Points Options'!$E:$E,'Points Options'!$G:$G),"")</f>
        <v/>
      </c>
      <c r="K26" s="72">
        <f>IFERROR(XLOOKUP(B26,'Points Options'!$E:$E,'Points Options'!$H:$H),"")</f>
        <v/>
      </c>
    </row>
    <row r="27">
      <c r="A27" s="72" t="n">
        <v>24</v>
      </c>
      <c r="B27" s="72" t="n"/>
      <c r="C27" s="72">
        <f>IFERROR(XLOOKUP(B27,'Points Options'!$E:$E,'Points Options'!$A:$A),"")</f>
        <v/>
      </c>
      <c r="D27" s="72">
        <f>IFERROR(XLOOKUP(B27,'Points Options'!$E:$E,'Points Options'!$B:$B),"")</f>
        <v/>
      </c>
      <c r="E27" s="72">
        <f>IFERROR(XLOOKUP(B27,'Points Options'!$E:$E,'Points Options'!$C:$C),"")</f>
        <v/>
      </c>
      <c r="F27" s="73">
        <f>IFERROR(XLOOKUP(B27,'Points Options'!$E:$E,'Points Options'!$F:$F),"")</f>
        <v/>
      </c>
      <c r="G27" s="73" t="n">
        <v>1</v>
      </c>
      <c r="H27" s="73">
        <f>IF(B27="","",F27*G27)</f>
        <v/>
      </c>
      <c r="I27" s="72">
        <f>IFERROR(XLOOKUP(B27,'Points Options'!$E:$E,'Points Options'!$B:$B)&amp;" - "&amp;XLOOKUP(B27,'Points Options'!$E:$E,'Points Options'!$C:$C),"")</f>
        <v/>
      </c>
      <c r="J27" s="72">
        <f>IFERROR(XLOOKUP(B27,'Points Options'!$E:$E,'Points Options'!$G:$G),"")</f>
        <v/>
      </c>
      <c r="K27" s="72">
        <f>IFERROR(XLOOKUP(B27,'Points Options'!$E:$E,'Points Options'!$H:$H),"")</f>
        <v/>
      </c>
    </row>
    <row r="28">
      <c r="A28" s="72" t="n">
        <v>25</v>
      </c>
      <c r="B28" s="72" t="n"/>
      <c r="C28" s="72">
        <f>IFERROR(XLOOKUP(B28,'Points Options'!$E:$E,'Points Options'!$A:$A),"")</f>
        <v/>
      </c>
      <c r="D28" s="72">
        <f>IFERROR(XLOOKUP(B28,'Points Options'!$E:$E,'Points Options'!$B:$B),"")</f>
        <v/>
      </c>
      <c r="E28" s="72">
        <f>IFERROR(XLOOKUP(B28,'Points Options'!$E:$E,'Points Options'!$C:$C),"")</f>
        <v/>
      </c>
      <c r="F28" s="73">
        <f>IFERROR(XLOOKUP(B28,'Points Options'!$E:$E,'Points Options'!$F:$F),"")</f>
        <v/>
      </c>
      <c r="G28" s="73" t="n">
        <v>1</v>
      </c>
      <c r="H28" s="73">
        <f>IF(B28="","",F28*G28)</f>
        <v/>
      </c>
      <c r="I28" s="72">
        <f>IFERROR(XLOOKUP(B28,'Points Options'!$E:$E,'Points Options'!$B:$B)&amp;" - "&amp;XLOOKUP(B28,'Points Options'!$E:$E,'Points Options'!$C:$C),"")</f>
        <v/>
      </c>
      <c r="J28" s="72">
        <f>IFERROR(XLOOKUP(B28,'Points Options'!$E:$E,'Points Options'!$G:$G),"")</f>
        <v/>
      </c>
      <c r="K28" s="72">
        <f>IFERROR(XLOOKUP(B28,'Points Options'!$E:$E,'Points Options'!$H:$H),"")</f>
        <v/>
      </c>
    </row>
    <row r="29">
      <c r="A29" s="72" t="n">
        <v>26</v>
      </c>
      <c r="B29" s="72" t="n"/>
      <c r="C29" s="72">
        <f>IFERROR(XLOOKUP(B29,'Points Options'!$E:$E,'Points Options'!$A:$A),"")</f>
        <v/>
      </c>
      <c r="D29" s="72">
        <f>IFERROR(XLOOKUP(B29,'Points Options'!$E:$E,'Points Options'!$B:$B),"")</f>
        <v/>
      </c>
      <c r="E29" s="72">
        <f>IFERROR(XLOOKUP(B29,'Points Options'!$E:$E,'Points Options'!$C:$C),"")</f>
        <v/>
      </c>
      <c r="F29" s="73">
        <f>IFERROR(XLOOKUP(B29,'Points Options'!$E:$E,'Points Options'!$F:$F),"")</f>
        <v/>
      </c>
      <c r="G29" s="73" t="n">
        <v>1</v>
      </c>
      <c r="H29" s="73">
        <f>IF(B29="","",F29*G29)</f>
        <v/>
      </c>
      <c r="I29" s="72">
        <f>IFERROR(XLOOKUP(B29,'Points Options'!$E:$E,'Points Options'!$B:$B)&amp;" - "&amp;XLOOKUP(B29,'Points Options'!$E:$E,'Points Options'!$C:$C),"")</f>
        <v/>
      </c>
      <c r="J29" s="72">
        <f>IFERROR(XLOOKUP(B29,'Points Options'!$E:$E,'Points Options'!$G:$G),"")</f>
        <v/>
      </c>
      <c r="K29" s="72">
        <f>IFERROR(XLOOKUP(B29,'Points Options'!$E:$E,'Points Options'!$H:$H),"")</f>
        <v/>
      </c>
    </row>
    <row r="30">
      <c r="A30" s="72" t="n">
        <v>27</v>
      </c>
      <c r="B30" s="72" t="n"/>
      <c r="C30" s="72">
        <f>IFERROR(XLOOKUP(B30,'Points Options'!$E:$E,'Points Options'!$A:$A),"")</f>
        <v/>
      </c>
      <c r="D30" s="72">
        <f>IFERROR(XLOOKUP(B30,'Points Options'!$E:$E,'Points Options'!$B:$B),"")</f>
        <v/>
      </c>
      <c r="E30" s="72">
        <f>IFERROR(XLOOKUP(B30,'Points Options'!$E:$E,'Points Options'!$C:$C),"")</f>
        <v/>
      </c>
      <c r="F30" s="73">
        <f>IFERROR(XLOOKUP(B30,'Points Options'!$E:$E,'Points Options'!$F:$F),"")</f>
        <v/>
      </c>
      <c r="G30" s="73" t="n">
        <v>1</v>
      </c>
      <c r="H30" s="73">
        <f>IF(B30="","",F30*G30)</f>
        <v/>
      </c>
      <c r="I30" s="72">
        <f>IFERROR(XLOOKUP(B30,'Points Options'!$E:$E,'Points Options'!$B:$B)&amp;" - "&amp;XLOOKUP(B30,'Points Options'!$E:$E,'Points Options'!$C:$C),"")</f>
        <v/>
      </c>
      <c r="J30" s="72">
        <f>IFERROR(XLOOKUP(B30,'Points Options'!$E:$E,'Points Options'!$G:$G),"")</f>
        <v/>
      </c>
      <c r="K30" s="72">
        <f>IFERROR(XLOOKUP(B30,'Points Options'!$E:$E,'Points Options'!$H:$H),"")</f>
        <v/>
      </c>
    </row>
    <row r="31">
      <c r="A31" s="72" t="n">
        <v>28</v>
      </c>
      <c r="B31" s="72" t="n"/>
      <c r="C31" s="72">
        <f>IFERROR(XLOOKUP(B31,'Points Options'!$E:$E,'Points Options'!$A:$A),"")</f>
        <v/>
      </c>
      <c r="D31" s="72">
        <f>IFERROR(XLOOKUP(B31,'Points Options'!$E:$E,'Points Options'!$B:$B),"")</f>
        <v/>
      </c>
      <c r="E31" s="72">
        <f>IFERROR(XLOOKUP(B31,'Points Options'!$E:$E,'Points Options'!$C:$C),"")</f>
        <v/>
      </c>
      <c r="F31" s="73">
        <f>IFERROR(XLOOKUP(B31,'Points Options'!$E:$E,'Points Options'!$F:$F),"")</f>
        <v/>
      </c>
      <c r="G31" s="73" t="n">
        <v>1</v>
      </c>
      <c r="H31" s="73">
        <f>IF(B31="","",F31*G31)</f>
        <v/>
      </c>
      <c r="I31" s="72">
        <f>IFERROR(XLOOKUP(B31,'Points Options'!$E:$E,'Points Options'!$B:$B)&amp;" - "&amp;XLOOKUP(B31,'Points Options'!$E:$E,'Points Options'!$C:$C),"")</f>
        <v/>
      </c>
      <c r="J31" s="72">
        <f>IFERROR(XLOOKUP(B31,'Points Options'!$E:$E,'Points Options'!$G:$G),"")</f>
        <v/>
      </c>
      <c r="K31" s="72">
        <f>IFERROR(XLOOKUP(B31,'Points Options'!$E:$E,'Points Options'!$H:$H),"")</f>
        <v/>
      </c>
    </row>
    <row r="32">
      <c r="A32" s="72" t="n">
        <v>29</v>
      </c>
      <c r="B32" s="72" t="n"/>
      <c r="C32" s="72">
        <f>IFERROR(XLOOKUP(B32,'Points Options'!$E:$E,'Points Options'!$A:$A),"")</f>
        <v/>
      </c>
      <c r="D32" s="72">
        <f>IFERROR(XLOOKUP(B32,'Points Options'!$E:$E,'Points Options'!$B:$B),"")</f>
        <v/>
      </c>
      <c r="E32" s="72">
        <f>IFERROR(XLOOKUP(B32,'Points Options'!$E:$E,'Points Options'!$C:$C),"")</f>
        <v/>
      </c>
      <c r="F32" s="73">
        <f>IFERROR(XLOOKUP(B32,'Points Options'!$E:$E,'Points Options'!$F:$F),"")</f>
        <v/>
      </c>
      <c r="G32" s="73" t="n">
        <v>1</v>
      </c>
      <c r="H32" s="73">
        <f>IF(B32="","",F32*G32)</f>
        <v/>
      </c>
      <c r="I32" s="72">
        <f>IFERROR(XLOOKUP(B32,'Points Options'!$E:$E,'Points Options'!$B:$B)&amp;" - "&amp;XLOOKUP(B32,'Points Options'!$E:$E,'Points Options'!$C:$C),"")</f>
        <v/>
      </c>
      <c r="J32" s="72">
        <f>IFERROR(XLOOKUP(B32,'Points Options'!$E:$E,'Points Options'!$G:$G),"")</f>
        <v/>
      </c>
      <c r="K32" s="72">
        <f>IFERROR(XLOOKUP(B32,'Points Options'!$E:$E,'Points Options'!$H:$H),"")</f>
        <v/>
      </c>
    </row>
    <row r="33">
      <c r="A33" s="72" t="n">
        <v>30</v>
      </c>
      <c r="B33" s="72" t="n"/>
      <c r="C33" s="72">
        <f>IFERROR(XLOOKUP(B33,'Points Options'!$E:$E,'Points Options'!$A:$A),"")</f>
        <v/>
      </c>
      <c r="D33" s="72">
        <f>IFERROR(XLOOKUP(B33,'Points Options'!$E:$E,'Points Options'!$B:$B),"")</f>
        <v/>
      </c>
      <c r="E33" s="72">
        <f>IFERROR(XLOOKUP(B33,'Points Options'!$E:$E,'Points Options'!$C:$C),"")</f>
        <v/>
      </c>
      <c r="F33" s="73">
        <f>IFERROR(XLOOKUP(B33,'Points Options'!$E:$E,'Points Options'!$F:$F),"")</f>
        <v/>
      </c>
      <c r="G33" s="73" t="n">
        <v>1</v>
      </c>
      <c r="H33" s="73">
        <f>IF(B33="","",F33*G33)</f>
        <v/>
      </c>
      <c r="I33" s="72">
        <f>IFERROR(XLOOKUP(B33,'Points Options'!$E:$E,'Points Options'!$B:$B)&amp;" - "&amp;XLOOKUP(B33,'Points Options'!$E:$E,'Points Options'!$C:$C),"")</f>
        <v/>
      </c>
      <c r="J33" s="72">
        <f>IFERROR(XLOOKUP(B33,'Points Options'!$E:$E,'Points Options'!$G:$G),"")</f>
        <v/>
      </c>
      <c r="K33" s="72">
        <f>IFERROR(XLOOKUP(B33,'Points Options'!$E:$E,'Points Options'!$H:$H),"")</f>
        <v/>
      </c>
    </row>
    <row r="34">
      <c r="A34" s="72" t="n">
        <v>31</v>
      </c>
      <c r="B34" s="72" t="n"/>
      <c r="C34" s="72">
        <f>IFERROR(XLOOKUP(B34,'Points Options'!$E:$E,'Points Options'!$A:$A),"")</f>
        <v/>
      </c>
      <c r="D34" s="72">
        <f>IFERROR(XLOOKUP(B34,'Points Options'!$E:$E,'Points Options'!$B:$B),"")</f>
        <v/>
      </c>
      <c r="E34" s="72">
        <f>IFERROR(XLOOKUP(B34,'Points Options'!$E:$E,'Points Options'!$C:$C),"")</f>
        <v/>
      </c>
      <c r="F34" s="73">
        <f>IFERROR(XLOOKUP(B34,'Points Options'!$E:$E,'Points Options'!$F:$F),"")</f>
        <v/>
      </c>
      <c r="G34" s="73" t="n">
        <v>1</v>
      </c>
      <c r="H34" s="73">
        <f>IF(B34="","",F34*G34)</f>
        <v/>
      </c>
      <c r="I34" s="72">
        <f>IFERROR(XLOOKUP(B34,'Points Options'!$E:$E,'Points Options'!$B:$B)&amp;" - "&amp;XLOOKUP(B34,'Points Options'!$E:$E,'Points Options'!$C:$C),"")</f>
        <v/>
      </c>
      <c r="J34" s="72">
        <f>IFERROR(XLOOKUP(B34,'Points Options'!$E:$E,'Points Options'!$G:$G),"")</f>
        <v/>
      </c>
      <c r="K34" s="72">
        <f>IFERROR(XLOOKUP(B34,'Points Options'!$E:$E,'Points Options'!$H:$H),"")</f>
        <v/>
      </c>
    </row>
    <row r="35">
      <c r="A35" s="72" t="n">
        <v>32</v>
      </c>
      <c r="B35" s="72" t="n"/>
      <c r="C35" s="72">
        <f>IFERROR(XLOOKUP(B35,'Points Options'!$E:$E,'Points Options'!$A:$A),"")</f>
        <v/>
      </c>
      <c r="D35" s="72">
        <f>IFERROR(XLOOKUP(B35,'Points Options'!$E:$E,'Points Options'!$B:$B),"")</f>
        <v/>
      </c>
      <c r="E35" s="72">
        <f>IFERROR(XLOOKUP(B35,'Points Options'!$E:$E,'Points Options'!$C:$C),"")</f>
        <v/>
      </c>
      <c r="F35" s="73">
        <f>IFERROR(XLOOKUP(B35,'Points Options'!$E:$E,'Points Options'!$F:$F),"")</f>
        <v/>
      </c>
      <c r="G35" s="73" t="n">
        <v>1</v>
      </c>
      <c r="H35" s="73">
        <f>IF(B35="","",F35*G35)</f>
        <v/>
      </c>
      <c r="I35" s="72">
        <f>IFERROR(XLOOKUP(B35,'Points Options'!$E:$E,'Points Options'!$B:$B)&amp;" - "&amp;XLOOKUP(B35,'Points Options'!$E:$E,'Points Options'!$C:$C),"")</f>
        <v/>
      </c>
      <c r="J35" s="72">
        <f>IFERROR(XLOOKUP(B35,'Points Options'!$E:$E,'Points Options'!$G:$G),"")</f>
        <v/>
      </c>
      <c r="K35" s="72">
        <f>IFERROR(XLOOKUP(B35,'Points Options'!$E:$E,'Points Options'!$H:$H),"")</f>
        <v/>
      </c>
    </row>
    <row r="36">
      <c r="A36" s="72" t="n">
        <v>33</v>
      </c>
      <c r="B36" s="72" t="n"/>
      <c r="C36" s="72">
        <f>IFERROR(XLOOKUP(B36,'Points Options'!$E:$E,'Points Options'!$A:$A),"")</f>
        <v/>
      </c>
      <c r="D36" s="72">
        <f>IFERROR(XLOOKUP(B36,'Points Options'!$E:$E,'Points Options'!$B:$B),"")</f>
        <v/>
      </c>
      <c r="E36" s="72">
        <f>IFERROR(XLOOKUP(B36,'Points Options'!$E:$E,'Points Options'!$C:$C),"")</f>
        <v/>
      </c>
      <c r="F36" s="73">
        <f>IFERROR(XLOOKUP(B36,'Points Options'!$E:$E,'Points Options'!$F:$F),"")</f>
        <v/>
      </c>
      <c r="G36" s="73" t="n">
        <v>1</v>
      </c>
      <c r="H36" s="73">
        <f>IF(B36="","",F36*G36)</f>
        <v/>
      </c>
      <c r="I36" s="72">
        <f>IFERROR(XLOOKUP(B36,'Points Options'!$E:$E,'Points Options'!$B:$B)&amp;" - "&amp;XLOOKUP(B36,'Points Options'!$E:$E,'Points Options'!$C:$C),"")</f>
        <v/>
      </c>
      <c r="J36" s="72">
        <f>IFERROR(XLOOKUP(B36,'Points Options'!$E:$E,'Points Options'!$G:$G),"")</f>
        <v/>
      </c>
      <c r="K36" s="72">
        <f>IFERROR(XLOOKUP(B36,'Points Options'!$E:$E,'Points Options'!$H:$H),"")</f>
        <v/>
      </c>
    </row>
    <row r="37">
      <c r="A37" s="72" t="n">
        <v>34</v>
      </c>
      <c r="B37" s="72" t="n"/>
      <c r="C37" s="72">
        <f>IFERROR(XLOOKUP(B37,'Points Options'!$E:$E,'Points Options'!$A:$A),"")</f>
        <v/>
      </c>
      <c r="D37" s="72">
        <f>IFERROR(XLOOKUP(B37,'Points Options'!$E:$E,'Points Options'!$B:$B),"")</f>
        <v/>
      </c>
      <c r="E37" s="72">
        <f>IFERROR(XLOOKUP(B37,'Points Options'!$E:$E,'Points Options'!$C:$C),"")</f>
        <v/>
      </c>
      <c r="F37" s="73">
        <f>IFERROR(XLOOKUP(B37,'Points Options'!$E:$E,'Points Options'!$F:$F),"")</f>
        <v/>
      </c>
      <c r="G37" s="73" t="n">
        <v>1</v>
      </c>
      <c r="H37" s="73">
        <f>IF(B37="","",F37*G37)</f>
        <v/>
      </c>
      <c r="I37" s="72">
        <f>IFERROR(XLOOKUP(B37,'Points Options'!$E:$E,'Points Options'!$B:$B)&amp;" - "&amp;XLOOKUP(B37,'Points Options'!$E:$E,'Points Options'!$C:$C),"")</f>
        <v/>
      </c>
      <c r="J37" s="72">
        <f>IFERROR(XLOOKUP(B37,'Points Options'!$E:$E,'Points Options'!$G:$G),"")</f>
        <v/>
      </c>
      <c r="K37" s="72">
        <f>IFERROR(XLOOKUP(B37,'Points Options'!$E:$E,'Points Options'!$H:$H),"")</f>
        <v/>
      </c>
    </row>
    <row r="38">
      <c r="A38" s="72" t="n">
        <v>35</v>
      </c>
      <c r="B38" s="72" t="n"/>
      <c r="C38" s="72">
        <f>IFERROR(XLOOKUP(B38,'Points Options'!$E:$E,'Points Options'!$A:$A),"")</f>
        <v/>
      </c>
      <c r="D38" s="72">
        <f>IFERROR(XLOOKUP(B38,'Points Options'!$E:$E,'Points Options'!$B:$B),"")</f>
        <v/>
      </c>
      <c r="E38" s="72">
        <f>IFERROR(XLOOKUP(B38,'Points Options'!$E:$E,'Points Options'!$C:$C),"")</f>
        <v/>
      </c>
      <c r="F38" s="73">
        <f>IFERROR(XLOOKUP(B38,'Points Options'!$E:$E,'Points Options'!$F:$F),"")</f>
        <v/>
      </c>
      <c r="G38" s="73" t="n">
        <v>1</v>
      </c>
      <c r="H38" s="73">
        <f>IF(B38="","",F38*G38)</f>
        <v/>
      </c>
      <c r="I38" s="72">
        <f>IFERROR(XLOOKUP(B38,'Points Options'!$E:$E,'Points Options'!$B:$B)&amp;" - "&amp;XLOOKUP(B38,'Points Options'!$E:$E,'Points Options'!$C:$C),"")</f>
        <v/>
      </c>
      <c r="J38" s="72">
        <f>IFERROR(XLOOKUP(B38,'Points Options'!$E:$E,'Points Options'!$G:$G),"")</f>
        <v/>
      </c>
      <c r="K38" s="72">
        <f>IFERROR(XLOOKUP(B38,'Points Options'!$E:$E,'Points Options'!$H:$H),"")</f>
        <v/>
      </c>
    </row>
    <row r="39">
      <c r="A39" s="72" t="n">
        <v>36</v>
      </c>
      <c r="B39" s="72" t="n"/>
      <c r="C39" s="72">
        <f>IFERROR(XLOOKUP(B39,'Points Options'!$E:$E,'Points Options'!$A:$A),"")</f>
        <v/>
      </c>
      <c r="D39" s="72">
        <f>IFERROR(XLOOKUP(B39,'Points Options'!$E:$E,'Points Options'!$B:$B),"")</f>
        <v/>
      </c>
      <c r="E39" s="72">
        <f>IFERROR(XLOOKUP(B39,'Points Options'!$E:$E,'Points Options'!$C:$C),"")</f>
        <v/>
      </c>
      <c r="F39" s="73">
        <f>IFERROR(XLOOKUP(B39,'Points Options'!$E:$E,'Points Options'!$F:$F),"")</f>
        <v/>
      </c>
      <c r="G39" s="73" t="n">
        <v>1</v>
      </c>
      <c r="H39" s="73">
        <f>IF(B39="","",F39*G39)</f>
        <v/>
      </c>
      <c r="I39" s="72">
        <f>IFERROR(XLOOKUP(B39,'Points Options'!$E:$E,'Points Options'!$B:$B)&amp;" - "&amp;XLOOKUP(B39,'Points Options'!$E:$E,'Points Options'!$C:$C),"")</f>
        <v/>
      </c>
      <c r="J39" s="72">
        <f>IFERROR(XLOOKUP(B39,'Points Options'!$E:$E,'Points Options'!$G:$G),"")</f>
        <v/>
      </c>
      <c r="K39" s="72">
        <f>IFERROR(XLOOKUP(B39,'Points Options'!$E:$E,'Points Options'!$H:$H),"")</f>
        <v/>
      </c>
    </row>
    <row r="40">
      <c r="A40" s="72" t="n">
        <v>37</v>
      </c>
      <c r="B40" s="72" t="n"/>
      <c r="C40" s="72">
        <f>IFERROR(XLOOKUP(B40,'Points Options'!$E:$E,'Points Options'!$A:$A),"")</f>
        <v/>
      </c>
      <c r="D40" s="72">
        <f>IFERROR(XLOOKUP(B40,'Points Options'!$E:$E,'Points Options'!$B:$B),"")</f>
        <v/>
      </c>
      <c r="E40" s="72">
        <f>IFERROR(XLOOKUP(B40,'Points Options'!$E:$E,'Points Options'!$C:$C),"")</f>
        <v/>
      </c>
      <c r="F40" s="73">
        <f>IFERROR(XLOOKUP(B40,'Points Options'!$E:$E,'Points Options'!$F:$F),"")</f>
        <v/>
      </c>
      <c r="G40" s="73" t="n">
        <v>1</v>
      </c>
      <c r="H40" s="73">
        <f>IF(B40="","",F40*G40)</f>
        <v/>
      </c>
      <c r="I40" s="72">
        <f>IFERROR(XLOOKUP(B40,'Points Options'!$E:$E,'Points Options'!$B:$B)&amp;" - "&amp;XLOOKUP(B40,'Points Options'!$E:$E,'Points Options'!$C:$C),"")</f>
        <v/>
      </c>
      <c r="J40" s="72">
        <f>IFERROR(XLOOKUP(B40,'Points Options'!$E:$E,'Points Options'!$G:$G),"")</f>
        <v/>
      </c>
      <c r="K40" s="72">
        <f>IFERROR(XLOOKUP(B40,'Points Options'!$E:$E,'Points Options'!$H:$H),"")</f>
        <v/>
      </c>
    </row>
    <row r="41">
      <c r="A41" s="72" t="n">
        <v>38</v>
      </c>
      <c r="B41" s="72" t="n"/>
      <c r="C41" s="72">
        <f>IFERROR(XLOOKUP(B41,'Points Options'!$E:$E,'Points Options'!$A:$A),"")</f>
        <v/>
      </c>
      <c r="D41" s="72">
        <f>IFERROR(XLOOKUP(B41,'Points Options'!$E:$E,'Points Options'!$B:$B),"")</f>
        <v/>
      </c>
      <c r="E41" s="72">
        <f>IFERROR(XLOOKUP(B41,'Points Options'!$E:$E,'Points Options'!$C:$C),"")</f>
        <v/>
      </c>
      <c r="F41" s="73">
        <f>IFERROR(XLOOKUP(B41,'Points Options'!$E:$E,'Points Options'!$F:$F),"")</f>
        <v/>
      </c>
      <c r="G41" s="73" t="n">
        <v>1</v>
      </c>
      <c r="H41" s="73">
        <f>IF(B41="","",F41*G41)</f>
        <v/>
      </c>
      <c r="I41" s="72">
        <f>IFERROR(XLOOKUP(B41,'Points Options'!$E:$E,'Points Options'!$B:$B)&amp;" - "&amp;XLOOKUP(B41,'Points Options'!$E:$E,'Points Options'!$C:$C),"")</f>
        <v/>
      </c>
      <c r="J41" s="72">
        <f>IFERROR(XLOOKUP(B41,'Points Options'!$E:$E,'Points Options'!$G:$G),"")</f>
        <v/>
      </c>
      <c r="K41" s="72">
        <f>IFERROR(XLOOKUP(B41,'Points Options'!$E:$E,'Points Options'!$H:$H),"")</f>
        <v/>
      </c>
    </row>
    <row r="42">
      <c r="A42" s="72" t="n">
        <v>39</v>
      </c>
      <c r="B42" s="72" t="n"/>
      <c r="C42" s="72">
        <f>IFERROR(XLOOKUP(B42,'Points Options'!$E:$E,'Points Options'!$A:$A),"")</f>
        <v/>
      </c>
      <c r="D42" s="72">
        <f>IFERROR(XLOOKUP(B42,'Points Options'!$E:$E,'Points Options'!$B:$B),"")</f>
        <v/>
      </c>
      <c r="E42" s="72">
        <f>IFERROR(XLOOKUP(B42,'Points Options'!$E:$E,'Points Options'!$C:$C),"")</f>
        <v/>
      </c>
      <c r="F42" s="73">
        <f>IFERROR(XLOOKUP(B42,'Points Options'!$E:$E,'Points Options'!$F:$F),"")</f>
        <v/>
      </c>
      <c r="G42" s="73" t="n">
        <v>1</v>
      </c>
      <c r="H42" s="73">
        <f>IF(B42="","",F42*G42)</f>
        <v/>
      </c>
      <c r="I42" s="72">
        <f>IFERROR(XLOOKUP(B42,'Points Options'!$E:$E,'Points Options'!$B:$B)&amp;" - "&amp;XLOOKUP(B42,'Points Options'!$E:$E,'Points Options'!$C:$C),"")</f>
        <v/>
      </c>
      <c r="J42" s="72">
        <f>IFERROR(XLOOKUP(B42,'Points Options'!$E:$E,'Points Options'!$G:$G),"")</f>
        <v/>
      </c>
      <c r="K42" s="72">
        <f>IFERROR(XLOOKUP(B42,'Points Options'!$E:$E,'Points Options'!$H:$H),"")</f>
        <v/>
      </c>
    </row>
    <row r="43">
      <c r="A43" s="72" t="n">
        <v>40</v>
      </c>
      <c r="B43" s="72" t="n"/>
      <c r="C43" s="72">
        <f>IFERROR(XLOOKUP(B43,'Points Options'!$E:$E,'Points Options'!$A:$A),"")</f>
        <v/>
      </c>
      <c r="D43" s="72">
        <f>IFERROR(XLOOKUP(B43,'Points Options'!$E:$E,'Points Options'!$B:$B),"")</f>
        <v/>
      </c>
      <c r="E43" s="72">
        <f>IFERROR(XLOOKUP(B43,'Points Options'!$E:$E,'Points Options'!$C:$C),"")</f>
        <v/>
      </c>
      <c r="F43" s="73">
        <f>IFERROR(XLOOKUP(B43,'Points Options'!$E:$E,'Points Options'!$F:$F),"")</f>
        <v/>
      </c>
      <c r="G43" s="73" t="n">
        <v>1</v>
      </c>
      <c r="H43" s="73">
        <f>IF(B43="","",F43*G43)</f>
        <v/>
      </c>
      <c r="I43" s="72">
        <f>IFERROR(XLOOKUP(B43,'Points Options'!$E:$E,'Points Options'!$B:$B)&amp;" - "&amp;XLOOKUP(B43,'Points Options'!$E:$E,'Points Options'!$C:$C),"")</f>
        <v/>
      </c>
      <c r="J43" s="72">
        <f>IFERROR(XLOOKUP(B43,'Points Options'!$E:$E,'Points Options'!$G:$G),"")</f>
        <v/>
      </c>
      <c r="K43" s="72">
        <f>IFERROR(XLOOKUP(B43,'Points Options'!$E:$E,'Points Options'!$H:$H),"")</f>
        <v/>
      </c>
    </row>
    <row r="44">
      <c r="A44" s="72" t="n">
        <v>41</v>
      </c>
      <c r="B44" s="72" t="n"/>
      <c r="C44" s="72">
        <f>IFERROR(XLOOKUP(B44,'Points Options'!$E:$E,'Points Options'!$A:$A),"")</f>
        <v/>
      </c>
      <c r="D44" s="72">
        <f>IFERROR(XLOOKUP(B44,'Points Options'!$E:$E,'Points Options'!$B:$B),"")</f>
        <v/>
      </c>
      <c r="E44" s="72">
        <f>IFERROR(XLOOKUP(B44,'Points Options'!$E:$E,'Points Options'!$C:$C),"")</f>
        <v/>
      </c>
      <c r="F44" s="73">
        <f>IFERROR(XLOOKUP(B44,'Points Options'!$E:$E,'Points Options'!$F:$F),"")</f>
        <v/>
      </c>
      <c r="G44" s="73" t="n">
        <v>1</v>
      </c>
      <c r="H44" s="73">
        <f>IF(B44="","",F44*G44)</f>
        <v/>
      </c>
      <c r="I44" s="72">
        <f>IFERROR(XLOOKUP(B44,'Points Options'!$E:$E,'Points Options'!$B:$B)&amp;" - "&amp;XLOOKUP(B44,'Points Options'!$E:$E,'Points Options'!$C:$C),"")</f>
        <v/>
      </c>
      <c r="J44" s="72">
        <f>IFERROR(XLOOKUP(B44,'Points Options'!$E:$E,'Points Options'!$G:$G),"")</f>
        <v/>
      </c>
      <c r="K44" s="72">
        <f>IFERROR(XLOOKUP(B44,'Points Options'!$E:$E,'Points Options'!$H:$H),"")</f>
        <v/>
      </c>
    </row>
    <row r="45">
      <c r="A45" s="72" t="n">
        <v>42</v>
      </c>
      <c r="B45" s="72" t="n"/>
      <c r="C45" s="72">
        <f>IFERROR(XLOOKUP(B45,'Points Options'!$E:$E,'Points Options'!$A:$A),"")</f>
        <v/>
      </c>
      <c r="D45" s="72">
        <f>IFERROR(XLOOKUP(B45,'Points Options'!$E:$E,'Points Options'!$B:$B),"")</f>
        <v/>
      </c>
      <c r="E45" s="72">
        <f>IFERROR(XLOOKUP(B45,'Points Options'!$E:$E,'Points Options'!$C:$C),"")</f>
        <v/>
      </c>
      <c r="F45" s="73">
        <f>IFERROR(XLOOKUP(B45,'Points Options'!$E:$E,'Points Options'!$F:$F),"")</f>
        <v/>
      </c>
      <c r="G45" s="73" t="n">
        <v>1</v>
      </c>
      <c r="H45" s="73">
        <f>IF(B45="","",F45*G45)</f>
        <v/>
      </c>
      <c r="I45" s="72">
        <f>IFERROR(XLOOKUP(B45,'Points Options'!$E:$E,'Points Options'!$B:$B)&amp;" - "&amp;XLOOKUP(B45,'Points Options'!$E:$E,'Points Options'!$C:$C),"")</f>
        <v/>
      </c>
      <c r="J45" s="72">
        <f>IFERROR(XLOOKUP(B45,'Points Options'!$E:$E,'Points Options'!$G:$G),"")</f>
        <v/>
      </c>
      <c r="K45" s="72">
        <f>IFERROR(XLOOKUP(B45,'Points Options'!$E:$E,'Points Options'!$H:$H),"")</f>
        <v/>
      </c>
    </row>
    <row r="46">
      <c r="A46" s="72" t="n">
        <v>43</v>
      </c>
      <c r="B46" s="72" t="n"/>
      <c r="C46" s="72">
        <f>IFERROR(XLOOKUP(B46,'Points Options'!$E:$E,'Points Options'!$A:$A),"")</f>
        <v/>
      </c>
      <c r="D46" s="72">
        <f>IFERROR(XLOOKUP(B46,'Points Options'!$E:$E,'Points Options'!$B:$B),"")</f>
        <v/>
      </c>
      <c r="E46" s="72">
        <f>IFERROR(XLOOKUP(B46,'Points Options'!$E:$E,'Points Options'!$C:$C),"")</f>
        <v/>
      </c>
      <c r="F46" s="73">
        <f>IFERROR(XLOOKUP(B46,'Points Options'!$E:$E,'Points Options'!$F:$F),"")</f>
        <v/>
      </c>
      <c r="G46" s="73" t="n">
        <v>1</v>
      </c>
      <c r="H46" s="73">
        <f>IF(B46="","",F46*G46)</f>
        <v/>
      </c>
      <c r="I46" s="72">
        <f>IFERROR(XLOOKUP(B46,'Points Options'!$E:$E,'Points Options'!$B:$B)&amp;" - "&amp;XLOOKUP(B46,'Points Options'!$E:$E,'Points Options'!$C:$C),"")</f>
        <v/>
      </c>
      <c r="J46" s="72">
        <f>IFERROR(XLOOKUP(B46,'Points Options'!$E:$E,'Points Options'!$G:$G),"")</f>
        <v/>
      </c>
      <c r="K46" s="72">
        <f>IFERROR(XLOOKUP(B46,'Points Options'!$E:$E,'Points Options'!$H:$H),"")</f>
        <v/>
      </c>
    </row>
    <row r="47">
      <c r="A47" s="72" t="n">
        <v>44</v>
      </c>
      <c r="B47" s="72" t="n"/>
      <c r="C47" s="72">
        <f>IFERROR(XLOOKUP(B47,'Points Options'!$E:$E,'Points Options'!$A:$A),"")</f>
        <v/>
      </c>
      <c r="D47" s="72">
        <f>IFERROR(XLOOKUP(B47,'Points Options'!$E:$E,'Points Options'!$B:$B),"")</f>
        <v/>
      </c>
      <c r="E47" s="72">
        <f>IFERROR(XLOOKUP(B47,'Points Options'!$E:$E,'Points Options'!$C:$C),"")</f>
        <v/>
      </c>
      <c r="F47" s="73">
        <f>IFERROR(XLOOKUP(B47,'Points Options'!$E:$E,'Points Options'!$F:$F),"")</f>
        <v/>
      </c>
      <c r="G47" s="73" t="n">
        <v>1</v>
      </c>
      <c r="H47" s="73">
        <f>IF(B47="","",F47*G47)</f>
        <v/>
      </c>
      <c r="I47" s="72">
        <f>IFERROR(XLOOKUP(B47,'Points Options'!$E:$E,'Points Options'!$B:$B)&amp;" - "&amp;XLOOKUP(B47,'Points Options'!$E:$E,'Points Options'!$C:$C),"")</f>
        <v/>
      </c>
      <c r="J47" s="72">
        <f>IFERROR(XLOOKUP(B47,'Points Options'!$E:$E,'Points Options'!$G:$G),"")</f>
        <v/>
      </c>
      <c r="K47" s="72">
        <f>IFERROR(XLOOKUP(B47,'Points Options'!$E:$E,'Points Options'!$H:$H),"")</f>
        <v/>
      </c>
    </row>
    <row r="48">
      <c r="A48" s="72" t="n">
        <v>45</v>
      </c>
      <c r="B48" s="72" t="n"/>
      <c r="C48" s="72">
        <f>IFERROR(XLOOKUP(B48,'Points Options'!$E:$E,'Points Options'!$A:$A),"")</f>
        <v/>
      </c>
      <c r="D48" s="72">
        <f>IFERROR(XLOOKUP(B48,'Points Options'!$E:$E,'Points Options'!$B:$B),"")</f>
        <v/>
      </c>
      <c r="E48" s="72">
        <f>IFERROR(XLOOKUP(B48,'Points Options'!$E:$E,'Points Options'!$C:$C),"")</f>
        <v/>
      </c>
      <c r="F48" s="73">
        <f>IFERROR(XLOOKUP(B48,'Points Options'!$E:$E,'Points Options'!$F:$F),"")</f>
        <v/>
      </c>
      <c r="G48" s="73" t="n">
        <v>1</v>
      </c>
      <c r="H48" s="73">
        <f>IF(B48="","",F48*G48)</f>
        <v/>
      </c>
      <c r="I48" s="72">
        <f>IFERROR(XLOOKUP(B48,'Points Options'!$E:$E,'Points Options'!$B:$B)&amp;" - "&amp;XLOOKUP(B48,'Points Options'!$E:$E,'Points Options'!$C:$C),"")</f>
        <v/>
      </c>
      <c r="J48" s="72">
        <f>IFERROR(XLOOKUP(B48,'Points Options'!$E:$E,'Points Options'!$G:$G),"")</f>
        <v/>
      </c>
      <c r="K48" s="72">
        <f>IFERROR(XLOOKUP(B48,'Points Options'!$E:$E,'Points Options'!$H:$H),"")</f>
        <v/>
      </c>
    </row>
    <row r="49">
      <c r="A49" s="72" t="n">
        <v>46</v>
      </c>
      <c r="B49" s="72" t="n"/>
      <c r="C49" s="72">
        <f>IFERROR(XLOOKUP(B49,'Points Options'!$E:$E,'Points Options'!$A:$A),"")</f>
        <v/>
      </c>
      <c r="D49" s="72">
        <f>IFERROR(XLOOKUP(B49,'Points Options'!$E:$E,'Points Options'!$B:$B),"")</f>
        <v/>
      </c>
      <c r="E49" s="72">
        <f>IFERROR(XLOOKUP(B49,'Points Options'!$E:$E,'Points Options'!$C:$C),"")</f>
        <v/>
      </c>
      <c r="F49" s="73">
        <f>IFERROR(XLOOKUP(B49,'Points Options'!$E:$E,'Points Options'!$F:$F),"")</f>
        <v/>
      </c>
      <c r="G49" s="73" t="n">
        <v>1</v>
      </c>
      <c r="H49" s="73">
        <f>IF(B49="","",F49*G49)</f>
        <v/>
      </c>
      <c r="I49" s="72">
        <f>IFERROR(XLOOKUP(B49,'Points Options'!$E:$E,'Points Options'!$B:$B)&amp;" - "&amp;XLOOKUP(B49,'Points Options'!$E:$E,'Points Options'!$C:$C),"")</f>
        <v/>
      </c>
      <c r="J49" s="72">
        <f>IFERROR(XLOOKUP(B49,'Points Options'!$E:$E,'Points Options'!$G:$G),"")</f>
        <v/>
      </c>
      <c r="K49" s="72">
        <f>IFERROR(XLOOKUP(B49,'Points Options'!$E:$E,'Points Options'!$H:$H),"")</f>
        <v/>
      </c>
    </row>
    <row r="50">
      <c r="A50" s="72" t="n">
        <v>47</v>
      </c>
      <c r="B50" s="72" t="n"/>
      <c r="C50" s="72">
        <f>IFERROR(XLOOKUP(B50,'Points Options'!$E:$E,'Points Options'!$A:$A),"")</f>
        <v/>
      </c>
      <c r="D50" s="72">
        <f>IFERROR(XLOOKUP(B50,'Points Options'!$E:$E,'Points Options'!$B:$B),"")</f>
        <v/>
      </c>
      <c r="E50" s="72">
        <f>IFERROR(XLOOKUP(B50,'Points Options'!$E:$E,'Points Options'!$C:$C),"")</f>
        <v/>
      </c>
      <c r="F50" s="73">
        <f>IFERROR(XLOOKUP(B50,'Points Options'!$E:$E,'Points Options'!$F:$F),"")</f>
        <v/>
      </c>
      <c r="G50" s="73" t="n">
        <v>1</v>
      </c>
      <c r="H50" s="73">
        <f>IF(B50="","",F50*G50)</f>
        <v/>
      </c>
      <c r="I50" s="72">
        <f>IFERROR(XLOOKUP(B50,'Points Options'!$E:$E,'Points Options'!$B:$B)&amp;" - "&amp;XLOOKUP(B50,'Points Options'!$E:$E,'Points Options'!$C:$C),"")</f>
        <v/>
      </c>
      <c r="J50" s="72">
        <f>IFERROR(XLOOKUP(B50,'Points Options'!$E:$E,'Points Options'!$G:$G),"")</f>
        <v/>
      </c>
      <c r="K50" s="72">
        <f>IFERROR(XLOOKUP(B50,'Points Options'!$E:$E,'Points Options'!$H:$H),"")</f>
        <v/>
      </c>
    </row>
    <row r="51">
      <c r="A51" s="72" t="n">
        <v>48</v>
      </c>
      <c r="B51" s="72" t="n"/>
      <c r="C51" s="72">
        <f>IFERROR(XLOOKUP(B51,'Points Options'!$E:$E,'Points Options'!$A:$A),"")</f>
        <v/>
      </c>
      <c r="D51" s="72">
        <f>IFERROR(XLOOKUP(B51,'Points Options'!$E:$E,'Points Options'!$B:$B),"")</f>
        <v/>
      </c>
      <c r="E51" s="72">
        <f>IFERROR(XLOOKUP(B51,'Points Options'!$E:$E,'Points Options'!$C:$C),"")</f>
        <v/>
      </c>
      <c r="F51" s="73">
        <f>IFERROR(XLOOKUP(B51,'Points Options'!$E:$E,'Points Options'!$F:$F),"")</f>
        <v/>
      </c>
      <c r="G51" s="73" t="n">
        <v>1</v>
      </c>
      <c r="H51" s="73">
        <f>IF(B51="","",F51*G51)</f>
        <v/>
      </c>
      <c r="I51" s="72">
        <f>IFERROR(XLOOKUP(B51,'Points Options'!$E:$E,'Points Options'!$B:$B)&amp;" - "&amp;XLOOKUP(B51,'Points Options'!$E:$E,'Points Options'!$C:$C),"")</f>
        <v/>
      </c>
      <c r="J51" s="72">
        <f>IFERROR(XLOOKUP(B51,'Points Options'!$E:$E,'Points Options'!$G:$G),"")</f>
        <v/>
      </c>
      <c r="K51" s="72">
        <f>IFERROR(XLOOKUP(B51,'Points Options'!$E:$E,'Points Options'!$H:$H),"")</f>
        <v/>
      </c>
    </row>
    <row r="52">
      <c r="A52" s="72" t="n">
        <v>49</v>
      </c>
      <c r="B52" s="72" t="n"/>
      <c r="C52" s="72">
        <f>IFERROR(XLOOKUP(B52,'Points Options'!$E:$E,'Points Options'!$A:$A),"")</f>
        <v/>
      </c>
      <c r="D52" s="72">
        <f>IFERROR(XLOOKUP(B52,'Points Options'!$E:$E,'Points Options'!$B:$B),"")</f>
        <v/>
      </c>
      <c r="E52" s="72">
        <f>IFERROR(XLOOKUP(B52,'Points Options'!$E:$E,'Points Options'!$C:$C),"")</f>
        <v/>
      </c>
      <c r="F52" s="73">
        <f>IFERROR(XLOOKUP(B52,'Points Options'!$E:$E,'Points Options'!$F:$F),"")</f>
        <v/>
      </c>
      <c r="G52" s="73" t="n">
        <v>1</v>
      </c>
      <c r="H52" s="73">
        <f>IF(B52="","",F52*G52)</f>
        <v/>
      </c>
      <c r="I52" s="72">
        <f>IFERROR(XLOOKUP(B52,'Points Options'!$E:$E,'Points Options'!$B:$B)&amp;" - "&amp;XLOOKUP(B52,'Points Options'!$E:$E,'Points Options'!$C:$C),"")</f>
        <v/>
      </c>
      <c r="J52" s="72">
        <f>IFERROR(XLOOKUP(B52,'Points Options'!$E:$E,'Points Options'!$G:$G),"")</f>
        <v/>
      </c>
      <c r="K52" s="72">
        <f>IFERROR(XLOOKUP(B52,'Points Options'!$E:$E,'Points Options'!$H:$H),"")</f>
        <v/>
      </c>
    </row>
    <row r="53">
      <c r="A53" s="72" t="n">
        <v>50</v>
      </c>
      <c r="B53" s="72" t="n"/>
      <c r="C53" s="72">
        <f>IFERROR(XLOOKUP(B53,'Points Options'!$E:$E,'Points Options'!$A:$A),"")</f>
        <v/>
      </c>
      <c r="D53" s="72">
        <f>IFERROR(XLOOKUP(B53,'Points Options'!$E:$E,'Points Options'!$B:$B),"")</f>
        <v/>
      </c>
      <c r="E53" s="72">
        <f>IFERROR(XLOOKUP(B53,'Points Options'!$E:$E,'Points Options'!$C:$C),"")</f>
        <v/>
      </c>
      <c r="F53" s="73">
        <f>IFERROR(XLOOKUP(B53,'Points Options'!$E:$E,'Points Options'!$F:$F),"")</f>
        <v/>
      </c>
      <c r="G53" s="73" t="n">
        <v>1</v>
      </c>
      <c r="H53" s="73">
        <f>IF(B53="","",F53*G53)</f>
        <v/>
      </c>
      <c r="I53" s="72">
        <f>IFERROR(XLOOKUP(B53,'Points Options'!$E:$E,'Points Options'!$B:$B)&amp;" - "&amp;XLOOKUP(B53,'Points Options'!$E:$E,'Points Options'!$C:$C),"")</f>
        <v/>
      </c>
      <c r="J53" s="72">
        <f>IFERROR(XLOOKUP(B53,'Points Options'!$E:$E,'Points Options'!$G:$G),"")</f>
        <v/>
      </c>
      <c r="K53" s="72">
        <f>IFERROR(XLOOKUP(B53,'Points Options'!$E:$E,'Points Options'!$H:$H),"")</f>
        <v/>
      </c>
    </row>
    <row r="54">
      <c r="A54" s="72" t="n">
        <v>51</v>
      </c>
      <c r="B54" s="72" t="n"/>
      <c r="C54" s="72">
        <f>IFERROR(XLOOKUP(B54,'Points Options'!$E:$E,'Points Options'!$A:$A),"")</f>
        <v/>
      </c>
      <c r="D54" s="72">
        <f>IFERROR(XLOOKUP(B54,'Points Options'!$E:$E,'Points Options'!$B:$B),"")</f>
        <v/>
      </c>
      <c r="E54" s="72">
        <f>IFERROR(XLOOKUP(B54,'Points Options'!$E:$E,'Points Options'!$C:$C),"")</f>
        <v/>
      </c>
      <c r="F54" s="73">
        <f>IFERROR(XLOOKUP(B54,'Points Options'!$E:$E,'Points Options'!$F:$F),"")</f>
        <v/>
      </c>
      <c r="G54" s="73" t="n">
        <v>1</v>
      </c>
      <c r="H54" s="73">
        <f>IF(B54="","",F54*G54)</f>
        <v/>
      </c>
      <c r="I54" s="72">
        <f>IFERROR(XLOOKUP(B54,'Points Options'!$E:$E,'Points Options'!$B:$B)&amp;" - "&amp;XLOOKUP(B54,'Points Options'!$E:$E,'Points Options'!$C:$C),"")</f>
        <v/>
      </c>
      <c r="J54" s="72">
        <f>IFERROR(XLOOKUP(B54,'Points Options'!$E:$E,'Points Options'!$G:$G),"")</f>
        <v/>
      </c>
      <c r="K54" s="72">
        <f>IFERROR(XLOOKUP(B54,'Points Options'!$E:$E,'Points Options'!$H:$H),"")</f>
        <v/>
      </c>
    </row>
    <row r="55">
      <c r="A55" s="72" t="n">
        <v>52</v>
      </c>
      <c r="B55" s="72" t="n"/>
      <c r="C55" s="72">
        <f>IFERROR(XLOOKUP(B55,'Points Options'!$E:$E,'Points Options'!$A:$A),"")</f>
        <v/>
      </c>
      <c r="D55" s="72">
        <f>IFERROR(XLOOKUP(B55,'Points Options'!$E:$E,'Points Options'!$B:$B),"")</f>
        <v/>
      </c>
      <c r="E55" s="72">
        <f>IFERROR(XLOOKUP(B55,'Points Options'!$E:$E,'Points Options'!$C:$C),"")</f>
        <v/>
      </c>
      <c r="F55" s="73">
        <f>IFERROR(XLOOKUP(B55,'Points Options'!$E:$E,'Points Options'!$F:$F),"")</f>
        <v/>
      </c>
      <c r="G55" s="73" t="n">
        <v>1</v>
      </c>
      <c r="H55" s="73">
        <f>IF(B55="","",F55*G55)</f>
        <v/>
      </c>
      <c r="I55" s="72">
        <f>IFERROR(XLOOKUP(B55,'Points Options'!$E:$E,'Points Options'!$B:$B)&amp;" - "&amp;XLOOKUP(B55,'Points Options'!$E:$E,'Points Options'!$C:$C),"")</f>
        <v/>
      </c>
      <c r="J55" s="72">
        <f>IFERROR(XLOOKUP(B55,'Points Options'!$E:$E,'Points Options'!$G:$G),"")</f>
        <v/>
      </c>
      <c r="K55" s="72">
        <f>IFERROR(XLOOKUP(B55,'Points Options'!$E:$E,'Points Options'!$H:$H),"")</f>
        <v/>
      </c>
    </row>
    <row r="56">
      <c r="A56" s="72" t="n">
        <v>53</v>
      </c>
      <c r="B56" s="72" t="n"/>
      <c r="C56" s="72">
        <f>IFERROR(XLOOKUP(B56,'Points Options'!$E:$E,'Points Options'!$A:$A),"")</f>
        <v/>
      </c>
      <c r="D56" s="72">
        <f>IFERROR(XLOOKUP(B56,'Points Options'!$E:$E,'Points Options'!$B:$B),"")</f>
        <v/>
      </c>
      <c r="E56" s="72">
        <f>IFERROR(XLOOKUP(B56,'Points Options'!$E:$E,'Points Options'!$C:$C),"")</f>
        <v/>
      </c>
      <c r="F56" s="73">
        <f>IFERROR(XLOOKUP(B56,'Points Options'!$E:$E,'Points Options'!$F:$F),"")</f>
        <v/>
      </c>
      <c r="G56" s="73" t="n">
        <v>1</v>
      </c>
      <c r="H56" s="73">
        <f>IF(B56="","",F56*G56)</f>
        <v/>
      </c>
      <c r="I56" s="72">
        <f>IFERROR(XLOOKUP(B56,'Points Options'!$E:$E,'Points Options'!$B:$B)&amp;" - "&amp;XLOOKUP(B56,'Points Options'!$E:$E,'Points Options'!$C:$C),"")</f>
        <v/>
      </c>
      <c r="J56" s="72">
        <f>IFERROR(XLOOKUP(B56,'Points Options'!$E:$E,'Points Options'!$G:$G),"")</f>
        <v/>
      </c>
      <c r="K56" s="72">
        <f>IFERROR(XLOOKUP(B56,'Points Options'!$E:$E,'Points Options'!$H:$H),"")</f>
        <v/>
      </c>
    </row>
    <row r="57">
      <c r="A57" s="72" t="n">
        <v>54</v>
      </c>
      <c r="B57" s="72" t="n"/>
      <c r="C57" s="72">
        <f>IFERROR(XLOOKUP(B57,'Points Options'!$E:$E,'Points Options'!$A:$A),"")</f>
        <v/>
      </c>
      <c r="D57" s="72">
        <f>IFERROR(XLOOKUP(B57,'Points Options'!$E:$E,'Points Options'!$B:$B),"")</f>
        <v/>
      </c>
      <c r="E57" s="72">
        <f>IFERROR(XLOOKUP(B57,'Points Options'!$E:$E,'Points Options'!$C:$C),"")</f>
        <v/>
      </c>
      <c r="F57" s="73">
        <f>IFERROR(XLOOKUP(B57,'Points Options'!$E:$E,'Points Options'!$F:$F),"")</f>
        <v/>
      </c>
      <c r="G57" s="73" t="n">
        <v>1</v>
      </c>
      <c r="H57" s="73">
        <f>IF(B57="","",F57*G57)</f>
        <v/>
      </c>
      <c r="I57" s="72">
        <f>IFERROR(XLOOKUP(B57,'Points Options'!$E:$E,'Points Options'!$B:$B)&amp;" - "&amp;XLOOKUP(B57,'Points Options'!$E:$E,'Points Options'!$C:$C),"")</f>
        <v/>
      </c>
      <c r="J57" s="72">
        <f>IFERROR(XLOOKUP(B57,'Points Options'!$E:$E,'Points Options'!$G:$G),"")</f>
        <v/>
      </c>
      <c r="K57" s="72">
        <f>IFERROR(XLOOKUP(B57,'Points Options'!$E:$E,'Points Options'!$H:$H),"")</f>
        <v/>
      </c>
    </row>
    <row r="58">
      <c r="A58" s="72" t="n">
        <v>55</v>
      </c>
      <c r="B58" s="72" t="n"/>
      <c r="C58" s="72">
        <f>IFERROR(XLOOKUP(B58,'Points Options'!$E:$E,'Points Options'!$A:$A),"")</f>
        <v/>
      </c>
      <c r="D58" s="72">
        <f>IFERROR(XLOOKUP(B58,'Points Options'!$E:$E,'Points Options'!$B:$B),"")</f>
        <v/>
      </c>
      <c r="E58" s="72">
        <f>IFERROR(XLOOKUP(B58,'Points Options'!$E:$E,'Points Options'!$C:$C),"")</f>
        <v/>
      </c>
      <c r="F58" s="73">
        <f>IFERROR(XLOOKUP(B58,'Points Options'!$E:$E,'Points Options'!$F:$F),"")</f>
        <v/>
      </c>
      <c r="G58" s="73" t="n">
        <v>1</v>
      </c>
      <c r="H58" s="73">
        <f>IF(B58="","",F58*G58)</f>
        <v/>
      </c>
      <c r="I58" s="72">
        <f>IFERROR(XLOOKUP(B58,'Points Options'!$E:$E,'Points Options'!$B:$B)&amp;" - "&amp;XLOOKUP(B58,'Points Options'!$E:$E,'Points Options'!$C:$C),"")</f>
        <v/>
      </c>
      <c r="J58" s="72">
        <f>IFERROR(XLOOKUP(B58,'Points Options'!$E:$E,'Points Options'!$G:$G),"")</f>
        <v/>
      </c>
      <c r="K58" s="72">
        <f>IFERROR(XLOOKUP(B58,'Points Options'!$E:$E,'Points Options'!$H:$H),"")</f>
        <v/>
      </c>
    </row>
    <row r="59">
      <c r="A59" s="72" t="n">
        <v>56</v>
      </c>
      <c r="B59" s="72" t="n"/>
      <c r="C59" s="72">
        <f>IFERROR(XLOOKUP(B59,'Points Options'!$E:$E,'Points Options'!$A:$A),"")</f>
        <v/>
      </c>
      <c r="D59" s="72">
        <f>IFERROR(XLOOKUP(B59,'Points Options'!$E:$E,'Points Options'!$B:$B),"")</f>
        <v/>
      </c>
      <c r="E59" s="72">
        <f>IFERROR(XLOOKUP(B59,'Points Options'!$E:$E,'Points Options'!$C:$C),"")</f>
        <v/>
      </c>
      <c r="F59" s="73">
        <f>IFERROR(XLOOKUP(B59,'Points Options'!$E:$E,'Points Options'!$F:$F),"")</f>
        <v/>
      </c>
      <c r="G59" s="73" t="n">
        <v>1</v>
      </c>
      <c r="H59" s="73">
        <f>IF(B59="","",F59*G59)</f>
        <v/>
      </c>
      <c r="I59" s="72">
        <f>IFERROR(XLOOKUP(B59,'Points Options'!$E:$E,'Points Options'!$B:$B)&amp;" - "&amp;XLOOKUP(B59,'Points Options'!$E:$E,'Points Options'!$C:$C),"")</f>
        <v/>
      </c>
      <c r="J59" s="72">
        <f>IFERROR(XLOOKUP(B59,'Points Options'!$E:$E,'Points Options'!$G:$G),"")</f>
        <v/>
      </c>
      <c r="K59" s="72">
        <f>IFERROR(XLOOKUP(B59,'Points Options'!$E:$E,'Points Options'!$H:$H),"")</f>
        <v/>
      </c>
    </row>
    <row r="60">
      <c r="A60" s="72" t="n">
        <v>57</v>
      </c>
      <c r="B60" s="72" t="n"/>
      <c r="C60" s="72">
        <f>IFERROR(XLOOKUP(B60,'Points Options'!$E:$E,'Points Options'!$A:$A),"")</f>
        <v/>
      </c>
      <c r="D60" s="72">
        <f>IFERROR(XLOOKUP(B60,'Points Options'!$E:$E,'Points Options'!$B:$B),"")</f>
        <v/>
      </c>
      <c r="E60" s="72">
        <f>IFERROR(XLOOKUP(B60,'Points Options'!$E:$E,'Points Options'!$C:$C),"")</f>
        <v/>
      </c>
      <c r="F60" s="73">
        <f>IFERROR(XLOOKUP(B60,'Points Options'!$E:$E,'Points Options'!$F:$F),"")</f>
        <v/>
      </c>
      <c r="G60" s="73" t="n">
        <v>1</v>
      </c>
      <c r="H60" s="73">
        <f>IF(B60="","",F60*G60)</f>
        <v/>
      </c>
      <c r="I60" s="72">
        <f>IFERROR(XLOOKUP(B60,'Points Options'!$E:$E,'Points Options'!$B:$B)&amp;" - "&amp;XLOOKUP(B60,'Points Options'!$E:$E,'Points Options'!$C:$C),"")</f>
        <v/>
      </c>
      <c r="J60" s="72">
        <f>IFERROR(XLOOKUP(B60,'Points Options'!$E:$E,'Points Options'!$G:$G),"")</f>
        <v/>
      </c>
      <c r="K60" s="72">
        <f>IFERROR(XLOOKUP(B60,'Points Options'!$E:$E,'Points Options'!$H:$H),"")</f>
        <v/>
      </c>
    </row>
    <row r="61">
      <c r="A61" s="72" t="n">
        <v>58</v>
      </c>
      <c r="B61" s="72" t="n"/>
      <c r="C61" s="72">
        <f>IFERROR(XLOOKUP(B61,'Points Options'!$E:$E,'Points Options'!$A:$A),"")</f>
        <v/>
      </c>
      <c r="D61" s="72">
        <f>IFERROR(XLOOKUP(B61,'Points Options'!$E:$E,'Points Options'!$B:$B),"")</f>
        <v/>
      </c>
      <c r="E61" s="72">
        <f>IFERROR(XLOOKUP(B61,'Points Options'!$E:$E,'Points Options'!$C:$C),"")</f>
        <v/>
      </c>
      <c r="F61" s="73">
        <f>IFERROR(XLOOKUP(B61,'Points Options'!$E:$E,'Points Options'!$F:$F),"")</f>
        <v/>
      </c>
      <c r="G61" s="73" t="n">
        <v>1</v>
      </c>
      <c r="H61" s="73">
        <f>IF(B61="","",F61*G61)</f>
        <v/>
      </c>
      <c r="I61" s="72">
        <f>IFERROR(XLOOKUP(B61,'Points Options'!$E:$E,'Points Options'!$B:$B)&amp;" - "&amp;XLOOKUP(B61,'Points Options'!$E:$E,'Points Options'!$C:$C),"")</f>
        <v/>
      </c>
      <c r="J61" s="72">
        <f>IFERROR(XLOOKUP(B61,'Points Options'!$E:$E,'Points Options'!$G:$G),"")</f>
        <v/>
      </c>
      <c r="K61" s="72">
        <f>IFERROR(XLOOKUP(B61,'Points Options'!$E:$E,'Points Options'!$H:$H),"")</f>
        <v/>
      </c>
    </row>
    <row r="62">
      <c r="A62" s="72" t="n">
        <v>59</v>
      </c>
      <c r="B62" s="72" t="n"/>
      <c r="C62" s="72">
        <f>IFERROR(XLOOKUP(B62,'Points Options'!$E:$E,'Points Options'!$A:$A),"")</f>
        <v/>
      </c>
      <c r="D62" s="72">
        <f>IFERROR(XLOOKUP(B62,'Points Options'!$E:$E,'Points Options'!$B:$B),"")</f>
        <v/>
      </c>
      <c r="E62" s="72">
        <f>IFERROR(XLOOKUP(B62,'Points Options'!$E:$E,'Points Options'!$C:$C),"")</f>
        <v/>
      </c>
      <c r="F62" s="73">
        <f>IFERROR(XLOOKUP(B62,'Points Options'!$E:$E,'Points Options'!$F:$F),"")</f>
        <v/>
      </c>
      <c r="G62" s="73" t="n">
        <v>1</v>
      </c>
      <c r="H62" s="73">
        <f>IF(B62="","",F62*G62)</f>
        <v/>
      </c>
      <c r="I62" s="72">
        <f>IFERROR(XLOOKUP(B62,'Points Options'!$E:$E,'Points Options'!$B:$B)&amp;" - "&amp;XLOOKUP(B62,'Points Options'!$E:$E,'Points Options'!$C:$C),"")</f>
        <v/>
      </c>
      <c r="J62" s="72">
        <f>IFERROR(XLOOKUP(B62,'Points Options'!$E:$E,'Points Options'!$G:$G),"")</f>
        <v/>
      </c>
      <c r="K62" s="72">
        <f>IFERROR(XLOOKUP(B62,'Points Options'!$E:$E,'Points Options'!$H:$H),"")</f>
        <v/>
      </c>
    </row>
    <row r="63">
      <c r="A63" s="72" t="n">
        <v>60</v>
      </c>
      <c r="B63" s="72" t="n"/>
      <c r="C63" s="72">
        <f>IFERROR(XLOOKUP(B63,'Points Options'!$E:$E,'Points Options'!$A:$A),"")</f>
        <v/>
      </c>
      <c r="D63" s="72">
        <f>IFERROR(XLOOKUP(B63,'Points Options'!$E:$E,'Points Options'!$B:$B),"")</f>
        <v/>
      </c>
      <c r="E63" s="72">
        <f>IFERROR(XLOOKUP(B63,'Points Options'!$E:$E,'Points Options'!$C:$C),"")</f>
        <v/>
      </c>
      <c r="F63" s="73">
        <f>IFERROR(XLOOKUP(B63,'Points Options'!$E:$E,'Points Options'!$F:$F),"")</f>
        <v/>
      </c>
      <c r="G63" s="73" t="n">
        <v>1</v>
      </c>
      <c r="H63" s="73">
        <f>IF(B63="","",F63*G63)</f>
        <v/>
      </c>
      <c r="I63" s="72">
        <f>IFERROR(XLOOKUP(B63,'Points Options'!$E:$E,'Points Options'!$B:$B)&amp;" - "&amp;XLOOKUP(B63,'Points Options'!$E:$E,'Points Options'!$C:$C),"")</f>
        <v/>
      </c>
      <c r="J63" s="72">
        <f>IFERROR(XLOOKUP(B63,'Points Options'!$E:$E,'Points Options'!$G:$G),"")</f>
        <v/>
      </c>
      <c r="K63" s="72">
        <f>IFERROR(XLOOKUP(B63,'Points Options'!$E:$E,'Points Options'!$H:$H),"")</f>
        <v/>
      </c>
    </row>
    <row r="64">
      <c r="A64" s="72" t="n">
        <v>61</v>
      </c>
      <c r="B64" s="72" t="n"/>
      <c r="C64" s="72">
        <f>IFERROR(XLOOKUP(B64,'Points Options'!$E:$E,'Points Options'!$A:$A),"")</f>
        <v/>
      </c>
      <c r="D64" s="72">
        <f>IFERROR(XLOOKUP(B64,'Points Options'!$E:$E,'Points Options'!$B:$B),"")</f>
        <v/>
      </c>
      <c r="E64" s="72">
        <f>IFERROR(XLOOKUP(B64,'Points Options'!$E:$E,'Points Options'!$C:$C),"")</f>
        <v/>
      </c>
      <c r="F64" s="73">
        <f>IFERROR(XLOOKUP(B64,'Points Options'!$E:$E,'Points Options'!$F:$F),"")</f>
        <v/>
      </c>
      <c r="G64" s="73" t="n">
        <v>1</v>
      </c>
      <c r="H64" s="73">
        <f>IF(B64="","",F64*G64)</f>
        <v/>
      </c>
      <c r="I64" s="72">
        <f>IFERROR(XLOOKUP(B64,'Points Options'!$E:$E,'Points Options'!$B:$B)&amp;" - "&amp;XLOOKUP(B64,'Points Options'!$E:$E,'Points Options'!$C:$C),"")</f>
        <v/>
      </c>
      <c r="J64" s="72">
        <f>IFERROR(XLOOKUP(B64,'Points Options'!$E:$E,'Points Options'!$G:$G),"")</f>
        <v/>
      </c>
      <c r="K64" s="72">
        <f>IFERROR(XLOOKUP(B64,'Points Options'!$E:$E,'Points Options'!$H:$H),"")</f>
        <v/>
      </c>
    </row>
    <row r="65">
      <c r="A65" s="72" t="n">
        <v>62</v>
      </c>
      <c r="B65" s="72" t="n"/>
      <c r="C65" s="72">
        <f>IFERROR(XLOOKUP(B65,'Points Options'!$E:$E,'Points Options'!$A:$A),"")</f>
        <v/>
      </c>
      <c r="D65" s="72">
        <f>IFERROR(XLOOKUP(B65,'Points Options'!$E:$E,'Points Options'!$B:$B),"")</f>
        <v/>
      </c>
      <c r="E65" s="72">
        <f>IFERROR(XLOOKUP(B65,'Points Options'!$E:$E,'Points Options'!$C:$C),"")</f>
        <v/>
      </c>
      <c r="F65" s="73">
        <f>IFERROR(XLOOKUP(B65,'Points Options'!$E:$E,'Points Options'!$F:$F),"")</f>
        <v/>
      </c>
      <c r="G65" s="73" t="n">
        <v>1</v>
      </c>
      <c r="H65" s="73">
        <f>IF(B65="","",F65*G65)</f>
        <v/>
      </c>
      <c r="I65" s="72">
        <f>IFERROR(XLOOKUP(B65,'Points Options'!$E:$E,'Points Options'!$B:$B)&amp;" - "&amp;XLOOKUP(B65,'Points Options'!$E:$E,'Points Options'!$C:$C),"")</f>
        <v/>
      </c>
      <c r="J65" s="72">
        <f>IFERROR(XLOOKUP(B65,'Points Options'!$E:$E,'Points Options'!$G:$G),"")</f>
        <v/>
      </c>
      <c r="K65" s="72">
        <f>IFERROR(XLOOKUP(B65,'Points Options'!$E:$E,'Points Options'!$H:$H),"")</f>
        <v/>
      </c>
    </row>
    <row r="66">
      <c r="A66" s="72" t="n">
        <v>63</v>
      </c>
      <c r="B66" s="72" t="n"/>
      <c r="C66" s="72">
        <f>IFERROR(XLOOKUP(B66,'Points Options'!$E:$E,'Points Options'!$A:$A),"")</f>
        <v/>
      </c>
      <c r="D66" s="72">
        <f>IFERROR(XLOOKUP(B66,'Points Options'!$E:$E,'Points Options'!$B:$B),"")</f>
        <v/>
      </c>
      <c r="E66" s="72">
        <f>IFERROR(XLOOKUP(B66,'Points Options'!$E:$E,'Points Options'!$C:$C),"")</f>
        <v/>
      </c>
      <c r="F66" s="73">
        <f>IFERROR(XLOOKUP(B66,'Points Options'!$E:$E,'Points Options'!$F:$F),"")</f>
        <v/>
      </c>
      <c r="G66" s="73" t="n">
        <v>1</v>
      </c>
      <c r="H66" s="73">
        <f>IF(B66="","",F66*G66)</f>
        <v/>
      </c>
      <c r="I66" s="72">
        <f>IFERROR(XLOOKUP(B66,'Points Options'!$E:$E,'Points Options'!$B:$B)&amp;" - "&amp;XLOOKUP(B66,'Points Options'!$E:$E,'Points Options'!$C:$C),"")</f>
        <v/>
      </c>
      <c r="J66" s="72">
        <f>IFERROR(XLOOKUP(B66,'Points Options'!$E:$E,'Points Options'!$G:$G),"")</f>
        <v/>
      </c>
      <c r="K66" s="72">
        <f>IFERROR(XLOOKUP(B66,'Points Options'!$E:$E,'Points Options'!$H:$H),"")</f>
        <v/>
      </c>
    </row>
    <row r="67">
      <c r="A67" s="72" t="n">
        <v>64</v>
      </c>
      <c r="B67" s="72" t="n"/>
      <c r="C67" s="72">
        <f>IFERROR(XLOOKUP(B67,'Points Options'!$E:$E,'Points Options'!$A:$A),"")</f>
        <v/>
      </c>
      <c r="D67" s="72">
        <f>IFERROR(XLOOKUP(B67,'Points Options'!$E:$E,'Points Options'!$B:$B),"")</f>
        <v/>
      </c>
      <c r="E67" s="72">
        <f>IFERROR(XLOOKUP(B67,'Points Options'!$E:$E,'Points Options'!$C:$C),"")</f>
        <v/>
      </c>
      <c r="F67" s="73">
        <f>IFERROR(XLOOKUP(B67,'Points Options'!$E:$E,'Points Options'!$F:$F),"")</f>
        <v/>
      </c>
      <c r="G67" s="73" t="n">
        <v>1</v>
      </c>
      <c r="H67" s="73">
        <f>IF(B67="","",F67*G67)</f>
        <v/>
      </c>
      <c r="I67" s="72">
        <f>IFERROR(XLOOKUP(B67,'Points Options'!$E:$E,'Points Options'!$B:$B)&amp;" - "&amp;XLOOKUP(B67,'Points Options'!$E:$E,'Points Options'!$C:$C),"")</f>
        <v/>
      </c>
      <c r="J67" s="72">
        <f>IFERROR(XLOOKUP(B67,'Points Options'!$E:$E,'Points Options'!$G:$G),"")</f>
        <v/>
      </c>
      <c r="K67" s="72">
        <f>IFERROR(XLOOKUP(B67,'Points Options'!$E:$E,'Points Options'!$H:$H),"")</f>
        <v/>
      </c>
    </row>
    <row r="68">
      <c r="A68" s="72" t="n">
        <v>65</v>
      </c>
      <c r="B68" s="72" t="n"/>
      <c r="C68" s="72">
        <f>IFERROR(XLOOKUP(B68,'Points Options'!$E:$E,'Points Options'!$A:$A),"")</f>
        <v/>
      </c>
      <c r="D68" s="72">
        <f>IFERROR(XLOOKUP(B68,'Points Options'!$E:$E,'Points Options'!$B:$B),"")</f>
        <v/>
      </c>
      <c r="E68" s="72">
        <f>IFERROR(XLOOKUP(B68,'Points Options'!$E:$E,'Points Options'!$C:$C),"")</f>
        <v/>
      </c>
      <c r="F68" s="73">
        <f>IFERROR(XLOOKUP(B68,'Points Options'!$E:$E,'Points Options'!$F:$F),"")</f>
        <v/>
      </c>
      <c r="G68" s="73" t="n">
        <v>1</v>
      </c>
      <c r="H68" s="73">
        <f>IF(B68="","",F68*G68)</f>
        <v/>
      </c>
      <c r="I68" s="72">
        <f>IFERROR(XLOOKUP(B68,'Points Options'!$E:$E,'Points Options'!$B:$B)&amp;" - "&amp;XLOOKUP(B68,'Points Options'!$E:$E,'Points Options'!$C:$C),"")</f>
        <v/>
      </c>
      <c r="J68" s="72">
        <f>IFERROR(XLOOKUP(B68,'Points Options'!$E:$E,'Points Options'!$G:$G),"")</f>
        <v/>
      </c>
      <c r="K68" s="72">
        <f>IFERROR(XLOOKUP(B68,'Points Options'!$E:$E,'Points Options'!$H:$H),"")</f>
        <v/>
      </c>
    </row>
    <row r="69">
      <c r="A69" s="72" t="n">
        <v>66</v>
      </c>
      <c r="B69" s="72" t="n"/>
      <c r="C69" s="72">
        <f>IFERROR(XLOOKUP(B69,'Points Options'!$E:$E,'Points Options'!$A:$A),"")</f>
        <v/>
      </c>
      <c r="D69" s="72">
        <f>IFERROR(XLOOKUP(B69,'Points Options'!$E:$E,'Points Options'!$B:$B),"")</f>
        <v/>
      </c>
      <c r="E69" s="72">
        <f>IFERROR(XLOOKUP(B69,'Points Options'!$E:$E,'Points Options'!$C:$C),"")</f>
        <v/>
      </c>
      <c r="F69" s="73">
        <f>IFERROR(XLOOKUP(B69,'Points Options'!$E:$E,'Points Options'!$F:$F),"")</f>
        <v/>
      </c>
      <c r="G69" s="73" t="n">
        <v>1</v>
      </c>
      <c r="H69" s="73">
        <f>IF(B69="","",F69*G69)</f>
        <v/>
      </c>
      <c r="I69" s="72">
        <f>IFERROR(XLOOKUP(B69,'Points Options'!$E:$E,'Points Options'!$B:$B)&amp;" - "&amp;XLOOKUP(B69,'Points Options'!$E:$E,'Points Options'!$C:$C),"")</f>
        <v/>
      </c>
      <c r="J69" s="72">
        <f>IFERROR(XLOOKUP(B69,'Points Options'!$E:$E,'Points Options'!$G:$G),"")</f>
        <v/>
      </c>
      <c r="K69" s="72">
        <f>IFERROR(XLOOKUP(B69,'Points Options'!$E:$E,'Points Options'!$H:$H),"")</f>
        <v/>
      </c>
    </row>
    <row r="70">
      <c r="A70" s="72" t="n">
        <v>67</v>
      </c>
      <c r="B70" s="72" t="n"/>
      <c r="C70" s="72">
        <f>IFERROR(XLOOKUP(B70,'Points Options'!$E:$E,'Points Options'!$A:$A),"")</f>
        <v/>
      </c>
      <c r="D70" s="72">
        <f>IFERROR(XLOOKUP(B70,'Points Options'!$E:$E,'Points Options'!$B:$B),"")</f>
        <v/>
      </c>
      <c r="E70" s="72">
        <f>IFERROR(XLOOKUP(B70,'Points Options'!$E:$E,'Points Options'!$C:$C),"")</f>
        <v/>
      </c>
      <c r="F70" s="73">
        <f>IFERROR(XLOOKUP(B70,'Points Options'!$E:$E,'Points Options'!$F:$F),"")</f>
        <v/>
      </c>
      <c r="G70" s="73" t="n">
        <v>1</v>
      </c>
      <c r="H70" s="73">
        <f>IF(B70="","",F70*G70)</f>
        <v/>
      </c>
      <c r="I70" s="72">
        <f>IFERROR(XLOOKUP(B70,'Points Options'!$E:$E,'Points Options'!$B:$B)&amp;" - "&amp;XLOOKUP(B70,'Points Options'!$E:$E,'Points Options'!$C:$C),"")</f>
        <v/>
      </c>
      <c r="J70" s="72">
        <f>IFERROR(XLOOKUP(B70,'Points Options'!$E:$E,'Points Options'!$G:$G),"")</f>
        <v/>
      </c>
      <c r="K70" s="72">
        <f>IFERROR(XLOOKUP(B70,'Points Options'!$E:$E,'Points Options'!$H:$H),"")</f>
        <v/>
      </c>
    </row>
    <row r="71">
      <c r="A71" s="72" t="n">
        <v>68</v>
      </c>
      <c r="B71" s="72" t="n"/>
      <c r="C71" s="72">
        <f>IFERROR(XLOOKUP(B71,'Points Options'!$E:$E,'Points Options'!$A:$A),"")</f>
        <v/>
      </c>
      <c r="D71" s="72">
        <f>IFERROR(XLOOKUP(B71,'Points Options'!$E:$E,'Points Options'!$B:$B),"")</f>
        <v/>
      </c>
      <c r="E71" s="72">
        <f>IFERROR(XLOOKUP(B71,'Points Options'!$E:$E,'Points Options'!$C:$C),"")</f>
        <v/>
      </c>
      <c r="F71" s="73">
        <f>IFERROR(XLOOKUP(B71,'Points Options'!$E:$E,'Points Options'!$F:$F),"")</f>
        <v/>
      </c>
      <c r="G71" s="73" t="n">
        <v>1</v>
      </c>
      <c r="H71" s="73">
        <f>IF(B71="","",F71*G71)</f>
        <v/>
      </c>
      <c r="I71" s="72">
        <f>IFERROR(XLOOKUP(B71,'Points Options'!$E:$E,'Points Options'!$B:$B)&amp;" - "&amp;XLOOKUP(B71,'Points Options'!$E:$E,'Points Options'!$C:$C),"")</f>
        <v/>
      </c>
      <c r="J71" s="72">
        <f>IFERROR(XLOOKUP(B71,'Points Options'!$E:$E,'Points Options'!$G:$G),"")</f>
        <v/>
      </c>
      <c r="K71" s="72">
        <f>IFERROR(XLOOKUP(B71,'Points Options'!$E:$E,'Points Options'!$H:$H),"")</f>
        <v/>
      </c>
    </row>
    <row r="72">
      <c r="A72" s="72" t="n">
        <v>69</v>
      </c>
      <c r="B72" s="72" t="n"/>
      <c r="C72" s="72">
        <f>IFERROR(XLOOKUP(B72,'Points Options'!$E:$E,'Points Options'!$A:$A),"")</f>
        <v/>
      </c>
      <c r="D72" s="72">
        <f>IFERROR(XLOOKUP(B72,'Points Options'!$E:$E,'Points Options'!$B:$B),"")</f>
        <v/>
      </c>
      <c r="E72" s="72">
        <f>IFERROR(XLOOKUP(B72,'Points Options'!$E:$E,'Points Options'!$C:$C),"")</f>
        <v/>
      </c>
      <c r="F72" s="73">
        <f>IFERROR(XLOOKUP(B72,'Points Options'!$E:$E,'Points Options'!$F:$F),"")</f>
        <v/>
      </c>
      <c r="G72" s="73" t="n">
        <v>1</v>
      </c>
      <c r="H72" s="73">
        <f>IF(B72="","",F72*G72)</f>
        <v/>
      </c>
      <c r="I72" s="72">
        <f>IFERROR(XLOOKUP(B72,'Points Options'!$E:$E,'Points Options'!$B:$B)&amp;" - "&amp;XLOOKUP(B72,'Points Options'!$E:$E,'Points Options'!$C:$C),"")</f>
        <v/>
      </c>
      <c r="J72" s="72">
        <f>IFERROR(XLOOKUP(B72,'Points Options'!$E:$E,'Points Options'!$G:$G),"")</f>
        <v/>
      </c>
      <c r="K72" s="72">
        <f>IFERROR(XLOOKUP(B72,'Points Options'!$E:$E,'Points Options'!$H:$H),"")</f>
        <v/>
      </c>
    </row>
    <row r="73">
      <c r="A73" s="72" t="n">
        <v>70</v>
      </c>
      <c r="B73" s="72" t="n"/>
      <c r="C73" s="72">
        <f>IFERROR(XLOOKUP(B73,'Points Options'!$E:$E,'Points Options'!$A:$A),"")</f>
        <v/>
      </c>
      <c r="D73" s="72">
        <f>IFERROR(XLOOKUP(B73,'Points Options'!$E:$E,'Points Options'!$B:$B),"")</f>
        <v/>
      </c>
      <c r="E73" s="72">
        <f>IFERROR(XLOOKUP(B73,'Points Options'!$E:$E,'Points Options'!$C:$C),"")</f>
        <v/>
      </c>
      <c r="F73" s="73">
        <f>IFERROR(XLOOKUP(B73,'Points Options'!$E:$E,'Points Options'!$F:$F),"")</f>
        <v/>
      </c>
      <c r="G73" s="73" t="n">
        <v>1</v>
      </c>
      <c r="H73" s="73">
        <f>IF(B73="","",F73*G73)</f>
        <v/>
      </c>
      <c r="I73" s="72">
        <f>IFERROR(XLOOKUP(B73,'Points Options'!$E:$E,'Points Options'!$B:$B)&amp;" - "&amp;XLOOKUP(B73,'Points Options'!$E:$E,'Points Options'!$C:$C),"")</f>
        <v/>
      </c>
      <c r="J73" s="72">
        <f>IFERROR(XLOOKUP(B73,'Points Options'!$E:$E,'Points Options'!$G:$G),"")</f>
        <v/>
      </c>
      <c r="K73" s="72">
        <f>IFERROR(XLOOKUP(B73,'Points Options'!$E:$E,'Points Options'!$H:$H),"")</f>
        <v/>
      </c>
    </row>
    <row r="74">
      <c r="A74" s="72" t="n">
        <v>71</v>
      </c>
      <c r="B74" s="72" t="n"/>
      <c r="C74" s="72">
        <f>IFERROR(XLOOKUP(B74,'Points Options'!$E:$E,'Points Options'!$A:$A),"")</f>
        <v/>
      </c>
      <c r="D74" s="72">
        <f>IFERROR(XLOOKUP(B74,'Points Options'!$E:$E,'Points Options'!$B:$B),"")</f>
        <v/>
      </c>
      <c r="E74" s="72">
        <f>IFERROR(XLOOKUP(B74,'Points Options'!$E:$E,'Points Options'!$C:$C),"")</f>
        <v/>
      </c>
      <c r="F74" s="73">
        <f>IFERROR(XLOOKUP(B74,'Points Options'!$E:$E,'Points Options'!$F:$F),"")</f>
        <v/>
      </c>
      <c r="G74" s="73" t="n">
        <v>1</v>
      </c>
      <c r="H74" s="73">
        <f>IF(B74="","",F74*G74)</f>
        <v/>
      </c>
      <c r="I74" s="72">
        <f>IFERROR(XLOOKUP(B74,'Points Options'!$E:$E,'Points Options'!$B:$B)&amp;" - "&amp;XLOOKUP(B74,'Points Options'!$E:$E,'Points Options'!$C:$C),"")</f>
        <v/>
      </c>
      <c r="J74" s="72">
        <f>IFERROR(XLOOKUP(B74,'Points Options'!$E:$E,'Points Options'!$G:$G),"")</f>
        <v/>
      </c>
      <c r="K74" s="72">
        <f>IFERROR(XLOOKUP(B74,'Points Options'!$E:$E,'Points Options'!$H:$H),"")</f>
        <v/>
      </c>
    </row>
    <row r="75">
      <c r="A75" s="72" t="n">
        <v>72</v>
      </c>
      <c r="B75" s="72" t="n"/>
      <c r="C75" s="72">
        <f>IFERROR(XLOOKUP(B75,'Points Options'!$E:$E,'Points Options'!$A:$A),"")</f>
        <v/>
      </c>
      <c r="D75" s="72">
        <f>IFERROR(XLOOKUP(B75,'Points Options'!$E:$E,'Points Options'!$B:$B),"")</f>
        <v/>
      </c>
      <c r="E75" s="72">
        <f>IFERROR(XLOOKUP(B75,'Points Options'!$E:$E,'Points Options'!$C:$C),"")</f>
        <v/>
      </c>
      <c r="F75" s="73">
        <f>IFERROR(XLOOKUP(B75,'Points Options'!$E:$E,'Points Options'!$F:$F),"")</f>
        <v/>
      </c>
      <c r="G75" s="73" t="n">
        <v>1</v>
      </c>
      <c r="H75" s="73">
        <f>IF(B75="","",F75*G75)</f>
        <v/>
      </c>
      <c r="I75" s="72">
        <f>IFERROR(XLOOKUP(B75,'Points Options'!$E:$E,'Points Options'!$B:$B)&amp;" - "&amp;XLOOKUP(B75,'Points Options'!$E:$E,'Points Options'!$C:$C),"")</f>
        <v/>
      </c>
      <c r="J75" s="72">
        <f>IFERROR(XLOOKUP(B75,'Points Options'!$E:$E,'Points Options'!$G:$G),"")</f>
        <v/>
      </c>
      <c r="K75" s="72">
        <f>IFERROR(XLOOKUP(B75,'Points Options'!$E:$E,'Points Options'!$H:$H),"")</f>
        <v/>
      </c>
    </row>
    <row r="76">
      <c r="A76" s="72" t="n">
        <v>73</v>
      </c>
      <c r="B76" s="72" t="n"/>
      <c r="C76" s="72">
        <f>IFERROR(XLOOKUP(B76,'Points Options'!$E:$E,'Points Options'!$A:$A),"")</f>
        <v/>
      </c>
      <c r="D76" s="72">
        <f>IFERROR(XLOOKUP(B76,'Points Options'!$E:$E,'Points Options'!$B:$B),"")</f>
        <v/>
      </c>
      <c r="E76" s="72">
        <f>IFERROR(XLOOKUP(B76,'Points Options'!$E:$E,'Points Options'!$C:$C),"")</f>
        <v/>
      </c>
      <c r="F76" s="73">
        <f>IFERROR(XLOOKUP(B76,'Points Options'!$E:$E,'Points Options'!$F:$F),"")</f>
        <v/>
      </c>
      <c r="G76" s="73" t="n">
        <v>1</v>
      </c>
      <c r="H76" s="73">
        <f>IF(B76="","",F76*G76)</f>
        <v/>
      </c>
      <c r="I76" s="72">
        <f>IFERROR(XLOOKUP(B76,'Points Options'!$E:$E,'Points Options'!$B:$B)&amp;" - "&amp;XLOOKUP(B76,'Points Options'!$E:$E,'Points Options'!$C:$C),"")</f>
        <v/>
      </c>
      <c r="J76" s="72">
        <f>IFERROR(XLOOKUP(B76,'Points Options'!$E:$E,'Points Options'!$G:$G),"")</f>
        <v/>
      </c>
      <c r="K76" s="72">
        <f>IFERROR(XLOOKUP(B76,'Points Options'!$E:$E,'Points Options'!$H:$H),"")</f>
        <v/>
      </c>
    </row>
    <row r="77">
      <c r="A77" s="72" t="n">
        <v>74</v>
      </c>
      <c r="B77" s="72" t="n"/>
      <c r="C77" s="72">
        <f>IFERROR(XLOOKUP(B77,'Points Options'!$E:$E,'Points Options'!$A:$A),"")</f>
        <v/>
      </c>
      <c r="D77" s="72">
        <f>IFERROR(XLOOKUP(B77,'Points Options'!$E:$E,'Points Options'!$B:$B),"")</f>
        <v/>
      </c>
      <c r="E77" s="72">
        <f>IFERROR(XLOOKUP(B77,'Points Options'!$E:$E,'Points Options'!$C:$C),"")</f>
        <v/>
      </c>
      <c r="F77" s="73">
        <f>IFERROR(XLOOKUP(B77,'Points Options'!$E:$E,'Points Options'!$F:$F),"")</f>
        <v/>
      </c>
      <c r="G77" s="73" t="n">
        <v>1</v>
      </c>
      <c r="H77" s="73">
        <f>IF(B77="","",F77*G77)</f>
        <v/>
      </c>
      <c r="I77" s="72">
        <f>IFERROR(XLOOKUP(B77,'Points Options'!$E:$E,'Points Options'!$B:$B)&amp;" - "&amp;XLOOKUP(B77,'Points Options'!$E:$E,'Points Options'!$C:$C),"")</f>
        <v/>
      </c>
      <c r="J77" s="72">
        <f>IFERROR(XLOOKUP(B77,'Points Options'!$E:$E,'Points Options'!$G:$G),"")</f>
        <v/>
      </c>
      <c r="K77" s="72">
        <f>IFERROR(XLOOKUP(B77,'Points Options'!$E:$E,'Points Options'!$H:$H),"")</f>
        <v/>
      </c>
    </row>
    <row r="78">
      <c r="A78" s="72" t="n">
        <v>75</v>
      </c>
      <c r="B78" s="72" t="n"/>
      <c r="C78" s="72">
        <f>IFERROR(XLOOKUP(B78,'Points Options'!$E:$E,'Points Options'!$A:$A),"")</f>
        <v/>
      </c>
      <c r="D78" s="72">
        <f>IFERROR(XLOOKUP(B78,'Points Options'!$E:$E,'Points Options'!$B:$B),"")</f>
        <v/>
      </c>
      <c r="E78" s="72">
        <f>IFERROR(XLOOKUP(B78,'Points Options'!$E:$E,'Points Options'!$C:$C),"")</f>
        <v/>
      </c>
      <c r="F78" s="73">
        <f>IFERROR(XLOOKUP(B78,'Points Options'!$E:$E,'Points Options'!$F:$F),"")</f>
        <v/>
      </c>
      <c r="G78" s="73" t="n">
        <v>1</v>
      </c>
      <c r="H78" s="73">
        <f>IF(B78="","",F78*G78)</f>
        <v/>
      </c>
      <c r="I78" s="72">
        <f>IFERROR(XLOOKUP(B78,'Points Options'!$E:$E,'Points Options'!$B:$B)&amp;" - "&amp;XLOOKUP(B78,'Points Options'!$E:$E,'Points Options'!$C:$C),"")</f>
        <v/>
      </c>
      <c r="J78" s="72">
        <f>IFERROR(XLOOKUP(B78,'Points Options'!$E:$E,'Points Options'!$G:$G),"")</f>
        <v/>
      </c>
      <c r="K78" s="72">
        <f>IFERROR(XLOOKUP(B78,'Points Options'!$E:$E,'Points Options'!$H:$H),"")</f>
        <v/>
      </c>
    </row>
    <row r="79">
      <c r="A79" s="72" t="n">
        <v>76</v>
      </c>
      <c r="B79" s="72" t="n"/>
      <c r="C79" s="72">
        <f>IFERROR(XLOOKUP(B79,'Points Options'!$E:$E,'Points Options'!$A:$A),"")</f>
        <v/>
      </c>
      <c r="D79" s="72">
        <f>IFERROR(XLOOKUP(B79,'Points Options'!$E:$E,'Points Options'!$B:$B),"")</f>
        <v/>
      </c>
      <c r="E79" s="72">
        <f>IFERROR(XLOOKUP(B79,'Points Options'!$E:$E,'Points Options'!$C:$C),"")</f>
        <v/>
      </c>
      <c r="F79" s="73">
        <f>IFERROR(XLOOKUP(B79,'Points Options'!$E:$E,'Points Options'!$F:$F),"")</f>
        <v/>
      </c>
      <c r="G79" s="73" t="n">
        <v>1</v>
      </c>
      <c r="H79" s="73">
        <f>IF(B79="","",F79*G79)</f>
        <v/>
      </c>
      <c r="I79" s="72">
        <f>IFERROR(XLOOKUP(B79,'Points Options'!$E:$E,'Points Options'!$B:$B)&amp;" - "&amp;XLOOKUP(B79,'Points Options'!$E:$E,'Points Options'!$C:$C),"")</f>
        <v/>
      </c>
      <c r="J79" s="72">
        <f>IFERROR(XLOOKUP(B79,'Points Options'!$E:$E,'Points Options'!$G:$G),"")</f>
        <v/>
      </c>
      <c r="K79" s="72">
        <f>IFERROR(XLOOKUP(B79,'Points Options'!$E:$E,'Points Options'!$H:$H),"")</f>
        <v/>
      </c>
    </row>
    <row r="80">
      <c r="A80" s="72" t="n">
        <v>77</v>
      </c>
      <c r="B80" s="72" t="n"/>
      <c r="C80" s="72">
        <f>IFERROR(XLOOKUP(B80,'Points Options'!$E:$E,'Points Options'!$A:$A),"")</f>
        <v/>
      </c>
      <c r="D80" s="72">
        <f>IFERROR(XLOOKUP(B80,'Points Options'!$E:$E,'Points Options'!$B:$B),"")</f>
        <v/>
      </c>
      <c r="E80" s="72">
        <f>IFERROR(XLOOKUP(B80,'Points Options'!$E:$E,'Points Options'!$C:$C),"")</f>
        <v/>
      </c>
      <c r="F80" s="73">
        <f>IFERROR(XLOOKUP(B80,'Points Options'!$E:$E,'Points Options'!$F:$F),"")</f>
        <v/>
      </c>
      <c r="G80" s="73" t="n">
        <v>1</v>
      </c>
      <c r="H80" s="73">
        <f>IF(B80="","",F80*G80)</f>
        <v/>
      </c>
      <c r="I80" s="72">
        <f>IFERROR(XLOOKUP(B80,'Points Options'!$E:$E,'Points Options'!$B:$B)&amp;" - "&amp;XLOOKUP(B80,'Points Options'!$E:$E,'Points Options'!$C:$C),"")</f>
        <v/>
      </c>
      <c r="J80" s="72">
        <f>IFERROR(XLOOKUP(B80,'Points Options'!$E:$E,'Points Options'!$G:$G),"")</f>
        <v/>
      </c>
      <c r="K80" s="72">
        <f>IFERROR(XLOOKUP(B80,'Points Options'!$E:$E,'Points Options'!$H:$H),"")</f>
        <v/>
      </c>
    </row>
    <row r="81">
      <c r="A81" s="72" t="n">
        <v>78</v>
      </c>
      <c r="B81" s="72" t="n"/>
      <c r="C81" s="72">
        <f>IFERROR(XLOOKUP(B81,'Points Options'!$E:$E,'Points Options'!$A:$A),"")</f>
        <v/>
      </c>
      <c r="D81" s="72">
        <f>IFERROR(XLOOKUP(B81,'Points Options'!$E:$E,'Points Options'!$B:$B),"")</f>
        <v/>
      </c>
      <c r="E81" s="72">
        <f>IFERROR(XLOOKUP(B81,'Points Options'!$E:$E,'Points Options'!$C:$C),"")</f>
        <v/>
      </c>
      <c r="F81" s="73">
        <f>IFERROR(XLOOKUP(B81,'Points Options'!$E:$E,'Points Options'!$F:$F),"")</f>
        <v/>
      </c>
      <c r="G81" s="73" t="n">
        <v>1</v>
      </c>
      <c r="H81" s="73">
        <f>IF(B81="","",F81*G81)</f>
        <v/>
      </c>
      <c r="I81" s="72">
        <f>IFERROR(XLOOKUP(B81,'Points Options'!$E:$E,'Points Options'!$B:$B)&amp;" - "&amp;XLOOKUP(B81,'Points Options'!$E:$E,'Points Options'!$C:$C),"")</f>
        <v/>
      </c>
      <c r="J81" s="72">
        <f>IFERROR(XLOOKUP(B81,'Points Options'!$E:$E,'Points Options'!$G:$G),"")</f>
        <v/>
      </c>
      <c r="K81" s="72">
        <f>IFERROR(XLOOKUP(B81,'Points Options'!$E:$E,'Points Options'!$H:$H),"")</f>
        <v/>
      </c>
    </row>
    <row r="82">
      <c r="A82" s="72" t="n">
        <v>79</v>
      </c>
      <c r="B82" s="72" t="n"/>
      <c r="C82" s="72">
        <f>IFERROR(XLOOKUP(B82,'Points Options'!$E:$E,'Points Options'!$A:$A),"")</f>
        <v/>
      </c>
      <c r="D82" s="72">
        <f>IFERROR(XLOOKUP(B82,'Points Options'!$E:$E,'Points Options'!$B:$B),"")</f>
        <v/>
      </c>
      <c r="E82" s="72">
        <f>IFERROR(XLOOKUP(B82,'Points Options'!$E:$E,'Points Options'!$C:$C),"")</f>
        <v/>
      </c>
      <c r="F82" s="73">
        <f>IFERROR(XLOOKUP(B82,'Points Options'!$E:$E,'Points Options'!$F:$F),"")</f>
        <v/>
      </c>
      <c r="G82" s="73" t="n">
        <v>1</v>
      </c>
      <c r="H82" s="73">
        <f>IF(B82="","",F82*G82)</f>
        <v/>
      </c>
      <c r="I82" s="72">
        <f>IFERROR(XLOOKUP(B82,'Points Options'!$E:$E,'Points Options'!$B:$B)&amp;" - "&amp;XLOOKUP(B82,'Points Options'!$E:$E,'Points Options'!$C:$C),"")</f>
        <v/>
      </c>
      <c r="J82" s="72">
        <f>IFERROR(XLOOKUP(B82,'Points Options'!$E:$E,'Points Options'!$G:$G),"")</f>
        <v/>
      </c>
      <c r="K82" s="72">
        <f>IFERROR(XLOOKUP(B82,'Points Options'!$E:$E,'Points Options'!$H:$H),"")</f>
        <v/>
      </c>
    </row>
    <row r="83">
      <c r="A83" s="72" t="n">
        <v>80</v>
      </c>
      <c r="B83" s="72" t="n"/>
      <c r="C83" s="72">
        <f>IFERROR(XLOOKUP(B83,'Points Options'!$E:$E,'Points Options'!$A:$A),"")</f>
        <v/>
      </c>
      <c r="D83" s="72">
        <f>IFERROR(XLOOKUP(B83,'Points Options'!$E:$E,'Points Options'!$B:$B),"")</f>
        <v/>
      </c>
      <c r="E83" s="72">
        <f>IFERROR(XLOOKUP(B83,'Points Options'!$E:$E,'Points Options'!$C:$C),"")</f>
        <v/>
      </c>
      <c r="F83" s="73">
        <f>IFERROR(XLOOKUP(B83,'Points Options'!$E:$E,'Points Options'!$F:$F),"")</f>
        <v/>
      </c>
      <c r="G83" s="73" t="n">
        <v>1</v>
      </c>
      <c r="H83" s="73">
        <f>IF(B83="","",F83*G83)</f>
        <v/>
      </c>
      <c r="I83" s="72">
        <f>IFERROR(XLOOKUP(B83,'Points Options'!$E:$E,'Points Options'!$B:$B)&amp;" - "&amp;XLOOKUP(B83,'Points Options'!$E:$E,'Points Options'!$C:$C),"")</f>
        <v/>
      </c>
      <c r="J83" s="72">
        <f>IFERROR(XLOOKUP(B83,'Points Options'!$E:$E,'Points Options'!$G:$G),"")</f>
        <v/>
      </c>
      <c r="K83" s="72">
        <f>IFERROR(XLOOKUP(B83,'Points Options'!$E:$E,'Points Options'!$H:$H),"")</f>
        <v/>
      </c>
    </row>
    <row r="84">
      <c r="A84" s="72" t="n">
        <v>81</v>
      </c>
      <c r="B84" s="72" t="n"/>
      <c r="C84" s="72">
        <f>IFERROR(XLOOKUP(B84,'Points Options'!$E:$E,'Points Options'!$A:$A),"")</f>
        <v/>
      </c>
      <c r="D84" s="72">
        <f>IFERROR(XLOOKUP(B84,'Points Options'!$E:$E,'Points Options'!$B:$B),"")</f>
        <v/>
      </c>
      <c r="E84" s="72">
        <f>IFERROR(XLOOKUP(B84,'Points Options'!$E:$E,'Points Options'!$C:$C),"")</f>
        <v/>
      </c>
      <c r="F84" s="73">
        <f>IFERROR(XLOOKUP(B84,'Points Options'!$E:$E,'Points Options'!$F:$F),"")</f>
        <v/>
      </c>
      <c r="G84" s="73" t="n">
        <v>1</v>
      </c>
      <c r="H84" s="73">
        <f>IF(B84="","",F84*G84)</f>
        <v/>
      </c>
      <c r="I84" s="72">
        <f>IFERROR(XLOOKUP(B84,'Points Options'!$E:$E,'Points Options'!$B:$B)&amp;" - "&amp;XLOOKUP(B84,'Points Options'!$E:$E,'Points Options'!$C:$C),"")</f>
        <v/>
      </c>
      <c r="J84" s="72">
        <f>IFERROR(XLOOKUP(B84,'Points Options'!$E:$E,'Points Options'!$G:$G),"")</f>
        <v/>
      </c>
      <c r="K84" s="72">
        <f>IFERROR(XLOOKUP(B84,'Points Options'!$E:$E,'Points Options'!$H:$H),"")</f>
        <v/>
      </c>
    </row>
    <row r="85">
      <c r="A85" s="72" t="n">
        <v>82</v>
      </c>
      <c r="B85" s="72" t="n"/>
      <c r="C85" s="72">
        <f>IFERROR(XLOOKUP(B85,'Points Options'!$E:$E,'Points Options'!$A:$A),"")</f>
        <v/>
      </c>
      <c r="D85" s="72">
        <f>IFERROR(XLOOKUP(B85,'Points Options'!$E:$E,'Points Options'!$B:$B),"")</f>
        <v/>
      </c>
      <c r="E85" s="72">
        <f>IFERROR(XLOOKUP(B85,'Points Options'!$E:$E,'Points Options'!$C:$C),"")</f>
        <v/>
      </c>
      <c r="F85" s="73">
        <f>IFERROR(XLOOKUP(B85,'Points Options'!$E:$E,'Points Options'!$F:$F),"")</f>
        <v/>
      </c>
      <c r="G85" s="73" t="n">
        <v>1</v>
      </c>
      <c r="H85" s="73">
        <f>IF(B85="","",F85*G85)</f>
        <v/>
      </c>
      <c r="I85" s="72">
        <f>IFERROR(XLOOKUP(B85,'Points Options'!$E:$E,'Points Options'!$B:$B)&amp;" - "&amp;XLOOKUP(B85,'Points Options'!$E:$E,'Points Options'!$C:$C),"")</f>
        <v/>
      </c>
      <c r="J85" s="72">
        <f>IFERROR(XLOOKUP(B85,'Points Options'!$E:$E,'Points Options'!$G:$G),"")</f>
        <v/>
      </c>
      <c r="K85" s="72">
        <f>IFERROR(XLOOKUP(B85,'Points Options'!$E:$E,'Points Options'!$H:$H),"")</f>
        <v/>
      </c>
    </row>
    <row r="86">
      <c r="A86" s="72" t="n">
        <v>83</v>
      </c>
      <c r="B86" s="72" t="n"/>
      <c r="C86" s="72">
        <f>IFERROR(XLOOKUP(B86,'Points Options'!$E:$E,'Points Options'!$A:$A),"")</f>
        <v/>
      </c>
      <c r="D86" s="72">
        <f>IFERROR(XLOOKUP(B86,'Points Options'!$E:$E,'Points Options'!$B:$B),"")</f>
        <v/>
      </c>
      <c r="E86" s="72">
        <f>IFERROR(XLOOKUP(B86,'Points Options'!$E:$E,'Points Options'!$C:$C),"")</f>
        <v/>
      </c>
      <c r="F86" s="73">
        <f>IFERROR(XLOOKUP(B86,'Points Options'!$E:$E,'Points Options'!$F:$F),"")</f>
        <v/>
      </c>
      <c r="G86" s="73" t="n">
        <v>1</v>
      </c>
      <c r="H86" s="73">
        <f>IF(B86="","",F86*G86)</f>
        <v/>
      </c>
      <c r="I86" s="72">
        <f>IFERROR(XLOOKUP(B86,'Points Options'!$E:$E,'Points Options'!$B:$B)&amp;" - "&amp;XLOOKUP(B86,'Points Options'!$E:$E,'Points Options'!$C:$C),"")</f>
        <v/>
      </c>
      <c r="J86" s="72">
        <f>IFERROR(XLOOKUP(B86,'Points Options'!$E:$E,'Points Options'!$G:$G),"")</f>
        <v/>
      </c>
      <c r="K86" s="72">
        <f>IFERROR(XLOOKUP(B86,'Points Options'!$E:$E,'Points Options'!$H:$H),"")</f>
        <v/>
      </c>
    </row>
    <row r="87">
      <c r="A87" s="72" t="n">
        <v>84</v>
      </c>
      <c r="B87" s="72" t="n"/>
      <c r="C87" s="72">
        <f>IFERROR(XLOOKUP(B87,'Points Options'!$E:$E,'Points Options'!$A:$A),"")</f>
        <v/>
      </c>
      <c r="D87" s="72">
        <f>IFERROR(XLOOKUP(B87,'Points Options'!$E:$E,'Points Options'!$B:$B),"")</f>
        <v/>
      </c>
      <c r="E87" s="72">
        <f>IFERROR(XLOOKUP(B87,'Points Options'!$E:$E,'Points Options'!$C:$C),"")</f>
        <v/>
      </c>
      <c r="F87" s="73">
        <f>IFERROR(XLOOKUP(B87,'Points Options'!$E:$E,'Points Options'!$F:$F),"")</f>
        <v/>
      </c>
      <c r="G87" s="73" t="n">
        <v>1</v>
      </c>
      <c r="H87" s="73">
        <f>IF(B87="","",F87*G87)</f>
        <v/>
      </c>
      <c r="I87" s="72">
        <f>IFERROR(XLOOKUP(B87,'Points Options'!$E:$E,'Points Options'!$B:$B)&amp;" - "&amp;XLOOKUP(B87,'Points Options'!$E:$E,'Points Options'!$C:$C),"")</f>
        <v/>
      </c>
      <c r="J87" s="72">
        <f>IFERROR(XLOOKUP(B87,'Points Options'!$E:$E,'Points Options'!$G:$G),"")</f>
        <v/>
      </c>
      <c r="K87" s="72">
        <f>IFERROR(XLOOKUP(B87,'Points Options'!$E:$E,'Points Options'!$H:$H),"")</f>
        <v/>
      </c>
    </row>
    <row r="88">
      <c r="A88" s="72" t="n">
        <v>85</v>
      </c>
      <c r="B88" s="72" t="n"/>
      <c r="C88" s="72">
        <f>IFERROR(XLOOKUP(B88,'Points Options'!$E:$E,'Points Options'!$A:$A),"")</f>
        <v/>
      </c>
      <c r="D88" s="72">
        <f>IFERROR(XLOOKUP(B88,'Points Options'!$E:$E,'Points Options'!$B:$B),"")</f>
        <v/>
      </c>
      <c r="E88" s="72">
        <f>IFERROR(XLOOKUP(B88,'Points Options'!$E:$E,'Points Options'!$C:$C),"")</f>
        <v/>
      </c>
      <c r="F88" s="73">
        <f>IFERROR(XLOOKUP(B88,'Points Options'!$E:$E,'Points Options'!$F:$F),"")</f>
        <v/>
      </c>
      <c r="G88" s="73" t="n">
        <v>1</v>
      </c>
      <c r="H88" s="73">
        <f>IF(B88="","",F88*G88)</f>
        <v/>
      </c>
      <c r="I88" s="72">
        <f>IFERROR(XLOOKUP(B88,'Points Options'!$E:$E,'Points Options'!$B:$B)&amp;" - "&amp;XLOOKUP(B88,'Points Options'!$E:$E,'Points Options'!$C:$C),"")</f>
        <v/>
      </c>
      <c r="J88" s="72">
        <f>IFERROR(XLOOKUP(B88,'Points Options'!$E:$E,'Points Options'!$G:$G),"")</f>
        <v/>
      </c>
      <c r="K88" s="72">
        <f>IFERROR(XLOOKUP(B88,'Points Options'!$E:$E,'Points Options'!$H:$H),"")</f>
        <v/>
      </c>
    </row>
    <row r="89">
      <c r="A89" s="72" t="n">
        <v>86</v>
      </c>
      <c r="B89" s="72" t="n"/>
      <c r="C89" s="72">
        <f>IFERROR(XLOOKUP(B89,'Points Options'!$E:$E,'Points Options'!$A:$A),"")</f>
        <v/>
      </c>
      <c r="D89" s="72">
        <f>IFERROR(XLOOKUP(B89,'Points Options'!$E:$E,'Points Options'!$B:$B),"")</f>
        <v/>
      </c>
      <c r="E89" s="72">
        <f>IFERROR(XLOOKUP(B89,'Points Options'!$E:$E,'Points Options'!$C:$C),"")</f>
        <v/>
      </c>
      <c r="F89" s="73">
        <f>IFERROR(XLOOKUP(B89,'Points Options'!$E:$E,'Points Options'!$F:$F),"")</f>
        <v/>
      </c>
      <c r="G89" s="73" t="n">
        <v>1</v>
      </c>
      <c r="H89" s="73">
        <f>IF(B89="","",F89*G89)</f>
        <v/>
      </c>
      <c r="I89" s="72">
        <f>IFERROR(XLOOKUP(B89,'Points Options'!$E:$E,'Points Options'!$B:$B)&amp;" - "&amp;XLOOKUP(B89,'Points Options'!$E:$E,'Points Options'!$C:$C),"")</f>
        <v/>
      </c>
      <c r="J89" s="72">
        <f>IFERROR(XLOOKUP(B89,'Points Options'!$E:$E,'Points Options'!$G:$G),"")</f>
        <v/>
      </c>
      <c r="K89" s="72">
        <f>IFERROR(XLOOKUP(B89,'Points Options'!$E:$E,'Points Options'!$H:$H),"")</f>
        <v/>
      </c>
    </row>
    <row r="90">
      <c r="A90" s="72" t="n">
        <v>87</v>
      </c>
      <c r="B90" s="72" t="n"/>
      <c r="C90" s="72">
        <f>IFERROR(XLOOKUP(B90,'Points Options'!$E:$E,'Points Options'!$A:$A),"")</f>
        <v/>
      </c>
      <c r="D90" s="72">
        <f>IFERROR(XLOOKUP(B90,'Points Options'!$E:$E,'Points Options'!$B:$B),"")</f>
        <v/>
      </c>
      <c r="E90" s="72">
        <f>IFERROR(XLOOKUP(B90,'Points Options'!$E:$E,'Points Options'!$C:$C),"")</f>
        <v/>
      </c>
      <c r="F90" s="73">
        <f>IFERROR(XLOOKUP(B90,'Points Options'!$E:$E,'Points Options'!$F:$F),"")</f>
        <v/>
      </c>
      <c r="G90" s="73" t="n">
        <v>1</v>
      </c>
      <c r="H90" s="73">
        <f>IF(B90="","",F90*G90)</f>
        <v/>
      </c>
      <c r="I90" s="72">
        <f>IFERROR(XLOOKUP(B90,'Points Options'!$E:$E,'Points Options'!$B:$B)&amp;" - "&amp;XLOOKUP(B90,'Points Options'!$E:$E,'Points Options'!$C:$C),"")</f>
        <v/>
      </c>
      <c r="J90" s="72">
        <f>IFERROR(XLOOKUP(B90,'Points Options'!$E:$E,'Points Options'!$G:$G),"")</f>
        <v/>
      </c>
      <c r="K90" s="72">
        <f>IFERROR(XLOOKUP(B90,'Points Options'!$E:$E,'Points Options'!$H:$H),"")</f>
        <v/>
      </c>
    </row>
    <row r="91">
      <c r="A91" s="72" t="n">
        <v>88</v>
      </c>
      <c r="B91" s="72" t="n"/>
      <c r="C91" s="72">
        <f>IFERROR(XLOOKUP(B91,'Points Options'!$E:$E,'Points Options'!$A:$A),"")</f>
        <v/>
      </c>
      <c r="D91" s="72">
        <f>IFERROR(XLOOKUP(B91,'Points Options'!$E:$E,'Points Options'!$B:$B),"")</f>
        <v/>
      </c>
      <c r="E91" s="72">
        <f>IFERROR(XLOOKUP(B91,'Points Options'!$E:$E,'Points Options'!$C:$C),"")</f>
        <v/>
      </c>
      <c r="F91" s="73">
        <f>IFERROR(XLOOKUP(B91,'Points Options'!$E:$E,'Points Options'!$F:$F),"")</f>
        <v/>
      </c>
      <c r="G91" s="73" t="n">
        <v>1</v>
      </c>
      <c r="H91" s="73">
        <f>IF(B91="","",F91*G91)</f>
        <v/>
      </c>
      <c r="I91" s="72">
        <f>IFERROR(XLOOKUP(B91,'Points Options'!$E:$E,'Points Options'!$B:$B)&amp;" - "&amp;XLOOKUP(B91,'Points Options'!$E:$E,'Points Options'!$C:$C),"")</f>
        <v/>
      </c>
      <c r="J91" s="72">
        <f>IFERROR(XLOOKUP(B91,'Points Options'!$E:$E,'Points Options'!$G:$G),"")</f>
        <v/>
      </c>
      <c r="K91" s="72">
        <f>IFERROR(XLOOKUP(B91,'Points Options'!$E:$E,'Points Options'!$H:$H),"")</f>
        <v/>
      </c>
    </row>
    <row r="92">
      <c r="A92" s="72" t="n">
        <v>89</v>
      </c>
      <c r="B92" s="72" t="n"/>
      <c r="C92" s="72">
        <f>IFERROR(XLOOKUP(B92,'Points Options'!$E:$E,'Points Options'!$A:$A),"")</f>
        <v/>
      </c>
      <c r="D92" s="72">
        <f>IFERROR(XLOOKUP(B92,'Points Options'!$E:$E,'Points Options'!$B:$B),"")</f>
        <v/>
      </c>
      <c r="E92" s="72">
        <f>IFERROR(XLOOKUP(B92,'Points Options'!$E:$E,'Points Options'!$C:$C),"")</f>
        <v/>
      </c>
      <c r="F92" s="73">
        <f>IFERROR(XLOOKUP(B92,'Points Options'!$E:$E,'Points Options'!$F:$F),"")</f>
        <v/>
      </c>
      <c r="G92" s="73" t="n">
        <v>1</v>
      </c>
      <c r="H92" s="73">
        <f>IF(B92="","",F92*G92)</f>
        <v/>
      </c>
      <c r="I92" s="72">
        <f>IFERROR(XLOOKUP(B92,'Points Options'!$E:$E,'Points Options'!$B:$B)&amp;" - "&amp;XLOOKUP(B92,'Points Options'!$E:$E,'Points Options'!$C:$C),"")</f>
        <v/>
      </c>
      <c r="J92" s="72">
        <f>IFERROR(XLOOKUP(B92,'Points Options'!$E:$E,'Points Options'!$G:$G),"")</f>
        <v/>
      </c>
      <c r="K92" s="72">
        <f>IFERROR(XLOOKUP(B92,'Points Options'!$E:$E,'Points Options'!$H:$H),"")</f>
        <v/>
      </c>
    </row>
    <row r="93">
      <c r="A93" s="72" t="n">
        <v>90</v>
      </c>
      <c r="B93" s="72" t="n"/>
      <c r="C93" s="72">
        <f>IFERROR(XLOOKUP(B93,'Points Options'!$E:$E,'Points Options'!$A:$A),"")</f>
        <v/>
      </c>
      <c r="D93" s="72">
        <f>IFERROR(XLOOKUP(B93,'Points Options'!$E:$E,'Points Options'!$B:$B),"")</f>
        <v/>
      </c>
      <c r="E93" s="72">
        <f>IFERROR(XLOOKUP(B93,'Points Options'!$E:$E,'Points Options'!$C:$C),"")</f>
        <v/>
      </c>
      <c r="F93" s="73">
        <f>IFERROR(XLOOKUP(B93,'Points Options'!$E:$E,'Points Options'!$F:$F),"")</f>
        <v/>
      </c>
      <c r="G93" s="73" t="n">
        <v>1</v>
      </c>
      <c r="H93" s="73">
        <f>IF(B93="","",F93*G93)</f>
        <v/>
      </c>
      <c r="I93" s="72">
        <f>IFERROR(XLOOKUP(B93,'Points Options'!$E:$E,'Points Options'!$B:$B)&amp;" - "&amp;XLOOKUP(B93,'Points Options'!$E:$E,'Points Options'!$C:$C),"")</f>
        <v/>
      </c>
      <c r="J93" s="72">
        <f>IFERROR(XLOOKUP(B93,'Points Options'!$E:$E,'Points Options'!$G:$G),"")</f>
        <v/>
      </c>
      <c r="K93" s="72">
        <f>IFERROR(XLOOKUP(B93,'Points Options'!$E:$E,'Points Options'!$H:$H),"")</f>
        <v/>
      </c>
    </row>
    <row r="94">
      <c r="A94" s="72" t="n">
        <v>91</v>
      </c>
      <c r="B94" s="72" t="n"/>
      <c r="C94" s="72">
        <f>IFERROR(XLOOKUP(B94,'Points Options'!$E:$E,'Points Options'!$A:$A),"")</f>
        <v/>
      </c>
      <c r="D94" s="72">
        <f>IFERROR(XLOOKUP(B94,'Points Options'!$E:$E,'Points Options'!$B:$B),"")</f>
        <v/>
      </c>
      <c r="E94" s="72">
        <f>IFERROR(XLOOKUP(B94,'Points Options'!$E:$E,'Points Options'!$C:$C),"")</f>
        <v/>
      </c>
      <c r="F94" s="73">
        <f>IFERROR(XLOOKUP(B94,'Points Options'!$E:$E,'Points Options'!$F:$F),"")</f>
        <v/>
      </c>
      <c r="G94" s="73" t="n">
        <v>1</v>
      </c>
      <c r="H94" s="73">
        <f>IF(B94="","",F94*G94)</f>
        <v/>
      </c>
      <c r="I94" s="72">
        <f>IFERROR(XLOOKUP(B94,'Points Options'!$E:$E,'Points Options'!$B:$B)&amp;" - "&amp;XLOOKUP(B94,'Points Options'!$E:$E,'Points Options'!$C:$C),"")</f>
        <v/>
      </c>
      <c r="J94" s="72">
        <f>IFERROR(XLOOKUP(B94,'Points Options'!$E:$E,'Points Options'!$G:$G),"")</f>
        <v/>
      </c>
      <c r="K94" s="72">
        <f>IFERROR(XLOOKUP(B94,'Points Options'!$E:$E,'Points Options'!$H:$H),"")</f>
        <v/>
      </c>
    </row>
    <row r="95">
      <c r="A95" s="72" t="n">
        <v>92</v>
      </c>
      <c r="B95" s="72" t="n"/>
      <c r="C95" s="72">
        <f>IFERROR(XLOOKUP(B95,'Points Options'!$E:$E,'Points Options'!$A:$A),"")</f>
        <v/>
      </c>
      <c r="D95" s="72">
        <f>IFERROR(XLOOKUP(B95,'Points Options'!$E:$E,'Points Options'!$B:$B),"")</f>
        <v/>
      </c>
      <c r="E95" s="72">
        <f>IFERROR(XLOOKUP(B95,'Points Options'!$E:$E,'Points Options'!$C:$C),"")</f>
        <v/>
      </c>
      <c r="F95" s="73">
        <f>IFERROR(XLOOKUP(B95,'Points Options'!$E:$E,'Points Options'!$F:$F),"")</f>
        <v/>
      </c>
      <c r="G95" s="73" t="n">
        <v>1</v>
      </c>
      <c r="H95" s="73">
        <f>IF(B95="","",F95*G95)</f>
        <v/>
      </c>
      <c r="I95" s="72">
        <f>IFERROR(XLOOKUP(B95,'Points Options'!$E:$E,'Points Options'!$B:$B)&amp;" - "&amp;XLOOKUP(B95,'Points Options'!$E:$E,'Points Options'!$C:$C),"")</f>
        <v/>
      </c>
      <c r="J95" s="72">
        <f>IFERROR(XLOOKUP(B95,'Points Options'!$E:$E,'Points Options'!$G:$G),"")</f>
        <v/>
      </c>
      <c r="K95" s="72">
        <f>IFERROR(XLOOKUP(B95,'Points Options'!$E:$E,'Points Options'!$H:$H),"")</f>
        <v/>
      </c>
    </row>
    <row r="96">
      <c r="A96" s="72" t="n">
        <v>93</v>
      </c>
      <c r="B96" s="72" t="n"/>
      <c r="C96" s="72">
        <f>IFERROR(XLOOKUP(B96,'Points Options'!$E:$E,'Points Options'!$A:$A),"")</f>
        <v/>
      </c>
      <c r="D96" s="72">
        <f>IFERROR(XLOOKUP(B96,'Points Options'!$E:$E,'Points Options'!$B:$B),"")</f>
        <v/>
      </c>
      <c r="E96" s="72">
        <f>IFERROR(XLOOKUP(B96,'Points Options'!$E:$E,'Points Options'!$C:$C),"")</f>
        <v/>
      </c>
      <c r="F96" s="73">
        <f>IFERROR(XLOOKUP(B96,'Points Options'!$E:$E,'Points Options'!$F:$F),"")</f>
        <v/>
      </c>
      <c r="G96" s="73" t="n">
        <v>1</v>
      </c>
      <c r="H96" s="73">
        <f>IF(B96="","",F96*G96)</f>
        <v/>
      </c>
      <c r="I96" s="72">
        <f>IFERROR(XLOOKUP(B96,'Points Options'!$E:$E,'Points Options'!$B:$B)&amp;" - "&amp;XLOOKUP(B96,'Points Options'!$E:$E,'Points Options'!$C:$C),"")</f>
        <v/>
      </c>
      <c r="J96" s="72">
        <f>IFERROR(XLOOKUP(B96,'Points Options'!$E:$E,'Points Options'!$G:$G),"")</f>
        <v/>
      </c>
      <c r="K96" s="72">
        <f>IFERROR(XLOOKUP(B96,'Points Options'!$E:$E,'Points Options'!$H:$H),"")</f>
        <v/>
      </c>
    </row>
    <row r="97">
      <c r="A97" s="72" t="n">
        <v>94</v>
      </c>
      <c r="B97" s="72" t="n"/>
      <c r="C97" s="72">
        <f>IFERROR(XLOOKUP(B97,'Points Options'!$E:$E,'Points Options'!$A:$A),"")</f>
        <v/>
      </c>
      <c r="D97" s="72">
        <f>IFERROR(XLOOKUP(B97,'Points Options'!$E:$E,'Points Options'!$B:$B),"")</f>
        <v/>
      </c>
      <c r="E97" s="72">
        <f>IFERROR(XLOOKUP(B97,'Points Options'!$E:$E,'Points Options'!$C:$C),"")</f>
        <v/>
      </c>
      <c r="F97" s="73">
        <f>IFERROR(XLOOKUP(B97,'Points Options'!$E:$E,'Points Options'!$F:$F),"")</f>
        <v/>
      </c>
      <c r="G97" s="73" t="n">
        <v>1</v>
      </c>
      <c r="H97" s="73">
        <f>IF(B97="","",F97*G97)</f>
        <v/>
      </c>
      <c r="I97" s="72">
        <f>IFERROR(XLOOKUP(B97,'Points Options'!$E:$E,'Points Options'!$B:$B)&amp;" - "&amp;XLOOKUP(B97,'Points Options'!$E:$E,'Points Options'!$C:$C),"")</f>
        <v/>
      </c>
      <c r="J97" s="72">
        <f>IFERROR(XLOOKUP(B97,'Points Options'!$E:$E,'Points Options'!$G:$G),"")</f>
        <v/>
      </c>
      <c r="K97" s="72">
        <f>IFERROR(XLOOKUP(B97,'Points Options'!$E:$E,'Points Options'!$H:$H),"")</f>
        <v/>
      </c>
    </row>
    <row r="98">
      <c r="A98" s="72" t="n">
        <v>95</v>
      </c>
      <c r="B98" s="72" t="n"/>
      <c r="C98" s="72">
        <f>IFERROR(XLOOKUP(B98,'Points Options'!$E:$E,'Points Options'!$A:$A),"")</f>
        <v/>
      </c>
      <c r="D98" s="72">
        <f>IFERROR(XLOOKUP(B98,'Points Options'!$E:$E,'Points Options'!$B:$B),"")</f>
        <v/>
      </c>
      <c r="E98" s="72">
        <f>IFERROR(XLOOKUP(B98,'Points Options'!$E:$E,'Points Options'!$C:$C),"")</f>
        <v/>
      </c>
      <c r="F98" s="73">
        <f>IFERROR(XLOOKUP(B98,'Points Options'!$E:$E,'Points Options'!$F:$F),"")</f>
        <v/>
      </c>
      <c r="G98" s="73" t="n">
        <v>1</v>
      </c>
      <c r="H98" s="73">
        <f>IF(B98="","",F98*G98)</f>
        <v/>
      </c>
      <c r="I98" s="72">
        <f>IFERROR(XLOOKUP(B98,'Points Options'!$E:$E,'Points Options'!$B:$B)&amp;" - "&amp;XLOOKUP(B98,'Points Options'!$E:$E,'Points Options'!$C:$C),"")</f>
        <v/>
      </c>
      <c r="J98" s="72">
        <f>IFERROR(XLOOKUP(B98,'Points Options'!$E:$E,'Points Options'!$G:$G),"")</f>
        <v/>
      </c>
      <c r="K98" s="72">
        <f>IFERROR(XLOOKUP(B98,'Points Options'!$E:$E,'Points Options'!$H:$H),"")</f>
        <v/>
      </c>
    </row>
    <row r="99">
      <c r="A99" s="72" t="n">
        <v>96</v>
      </c>
      <c r="B99" s="72" t="n"/>
      <c r="C99" s="72">
        <f>IFERROR(XLOOKUP(B99,'Points Options'!$E:$E,'Points Options'!$A:$A),"")</f>
        <v/>
      </c>
      <c r="D99" s="72">
        <f>IFERROR(XLOOKUP(B99,'Points Options'!$E:$E,'Points Options'!$B:$B),"")</f>
        <v/>
      </c>
      <c r="E99" s="72">
        <f>IFERROR(XLOOKUP(B99,'Points Options'!$E:$E,'Points Options'!$C:$C),"")</f>
        <v/>
      </c>
      <c r="F99" s="73">
        <f>IFERROR(XLOOKUP(B99,'Points Options'!$E:$E,'Points Options'!$F:$F),"")</f>
        <v/>
      </c>
      <c r="G99" s="73" t="n">
        <v>1</v>
      </c>
      <c r="H99" s="73">
        <f>IF(B99="","",F99*G99)</f>
        <v/>
      </c>
      <c r="I99" s="72">
        <f>IFERROR(XLOOKUP(B99,'Points Options'!$E:$E,'Points Options'!$B:$B)&amp;" - "&amp;XLOOKUP(B99,'Points Options'!$E:$E,'Points Options'!$C:$C),"")</f>
        <v/>
      </c>
      <c r="J99" s="72">
        <f>IFERROR(XLOOKUP(B99,'Points Options'!$E:$E,'Points Options'!$G:$G),"")</f>
        <v/>
      </c>
      <c r="K99" s="72">
        <f>IFERROR(XLOOKUP(B99,'Points Options'!$E:$E,'Points Options'!$H:$H),"")</f>
        <v/>
      </c>
    </row>
    <row r="100">
      <c r="A100" s="72" t="n">
        <v>97</v>
      </c>
      <c r="B100" s="72" t="n"/>
      <c r="C100" s="72">
        <f>IFERROR(XLOOKUP(B100,'Points Options'!$E:$E,'Points Options'!$A:$A),"")</f>
        <v/>
      </c>
      <c r="D100" s="72">
        <f>IFERROR(XLOOKUP(B100,'Points Options'!$E:$E,'Points Options'!$B:$B),"")</f>
        <v/>
      </c>
      <c r="E100" s="72">
        <f>IFERROR(XLOOKUP(B100,'Points Options'!$E:$E,'Points Options'!$C:$C),"")</f>
        <v/>
      </c>
      <c r="F100" s="73">
        <f>IFERROR(XLOOKUP(B100,'Points Options'!$E:$E,'Points Options'!$F:$F),"")</f>
        <v/>
      </c>
      <c r="G100" s="73" t="n">
        <v>1</v>
      </c>
      <c r="H100" s="73">
        <f>IF(B100="","",F100*G100)</f>
        <v/>
      </c>
      <c r="I100" s="72">
        <f>IFERROR(XLOOKUP(B100,'Points Options'!$E:$E,'Points Options'!$B:$B)&amp;" - "&amp;XLOOKUP(B100,'Points Options'!$E:$E,'Points Options'!$C:$C),"")</f>
        <v/>
      </c>
      <c r="J100" s="72">
        <f>IFERROR(XLOOKUP(B100,'Points Options'!$E:$E,'Points Options'!$G:$G),"")</f>
        <v/>
      </c>
      <c r="K100" s="72">
        <f>IFERROR(XLOOKUP(B100,'Points Options'!$E:$E,'Points Options'!$H:$H),"")</f>
        <v/>
      </c>
    </row>
    <row r="101">
      <c r="A101" s="72" t="n">
        <v>98</v>
      </c>
      <c r="B101" s="72" t="n"/>
      <c r="C101" s="72">
        <f>IFERROR(XLOOKUP(B101,'Points Options'!$E:$E,'Points Options'!$A:$A),"")</f>
        <v/>
      </c>
      <c r="D101" s="72">
        <f>IFERROR(XLOOKUP(B101,'Points Options'!$E:$E,'Points Options'!$B:$B),"")</f>
        <v/>
      </c>
      <c r="E101" s="72">
        <f>IFERROR(XLOOKUP(B101,'Points Options'!$E:$E,'Points Options'!$C:$C),"")</f>
        <v/>
      </c>
      <c r="F101" s="73">
        <f>IFERROR(XLOOKUP(B101,'Points Options'!$E:$E,'Points Options'!$F:$F),"")</f>
        <v/>
      </c>
      <c r="G101" s="73" t="n">
        <v>1</v>
      </c>
      <c r="H101" s="73">
        <f>IF(B101="","",F101*G101)</f>
        <v/>
      </c>
      <c r="I101" s="72">
        <f>IFERROR(XLOOKUP(B101,'Points Options'!$E:$E,'Points Options'!$B:$B)&amp;" - "&amp;XLOOKUP(B101,'Points Options'!$E:$E,'Points Options'!$C:$C),"")</f>
        <v/>
      </c>
      <c r="J101" s="72">
        <f>IFERROR(XLOOKUP(B101,'Points Options'!$E:$E,'Points Options'!$G:$G),"")</f>
        <v/>
      </c>
      <c r="K101" s="72">
        <f>IFERROR(XLOOKUP(B101,'Points Options'!$E:$E,'Points Options'!$H:$H),"")</f>
        <v/>
      </c>
    </row>
    <row r="102">
      <c r="A102" s="72" t="n">
        <v>99</v>
      </c>
      <c r="B102" s="72" t="n"/>
      <c r="C102" s="72">
        <f>IFERROR(XLOOKUP(B102,'Points Options'!$E:$E,'Points Options'!$A:$A),"")</f>
        <v/>
      </c>
      <c r="D102" s="72">
        <f>IFERROR(XLOOKUP(B102,'Points Options'!$E:$E,'Points Options'!$B:$B),"")</f>
        <v/>
      </c>
      <c r="E102" s="72">
        <f>IFERROR(XLOOKUP(B102,'Points Options'!$E:$E,'Points Options'!$C:$C),"")</f>
        <v/>
      </c>
      <c r="F102" s="73">
        <f>IFERROR(XLOOKUP(B102,'Points Options'!$E:$E,'Points Options'!$F:$F),"")</f>
        <v/>
      </c>
      <c r="G102" s="73" t="n">
        <v>1</v>
      </c>
      <c r="H102" s="73">
        <f>IF(B102="","",F102*G102)</f>
        <v/>
      </c>
      <c r="I102" s="72">
        <f>IFERROR(XLOOKUP(B102,'Points Options'!$E:$E,'Points Options'!$B:$B)&amp;" - "&amp;XLOOKUP(B102,'Points Options'!$E:$E,'Points Options'!$C:$C),"")</f>
        <v/>
      </c>
      <c r="J102" s="72">
        <f>IFERROR(XLOOKUP(B102,'Points Options'!$E:$E,'Points Options'!$G:$G),"")</f>
        <v/>
      </c>
      <c r="K102" s="72">
        <f>IFERROR(XLOOKUP(B102,'Points Options'!$E:$E,'Points Options'!$H:$H),"")</f>
        <v/>
      </c>
    </row>
    <row r="103">
      <c r="A103" s="72" t="n">
        <v>100</v>
      </c>
      <c r="B103" s="72" t="n"/>
      <c r="C103" s="72">
        <f>IFERROR(XLOOKUP(B103,'Points Options'!$E:$E,'Points Options'!$A:$A),"")</f>
        <v/>
      </c>
      <c r="D103" s="72">
        <f>IFERROR(XLOOKUP(B103,'Points Options'!$E:$E,'Points Options'!$B:$B),"")</f>
        <v/>
      </c>
      <c r="E103" s="72">
        <f>IFERROR(XLOOKUP(B103,'Points Options'!$E:$E,'Points Options'!$C:$C),"")</f>
        <v/>
      </c>
      <c r="F103" s="73">
        <f>IFERROR(XLOOKUP(B103,'Points Options'!$E:$E,'Points Options'!$F:$F),"")</f>
        <v/>
      </c>
      <c r="G103" s="73" t="n">
        <v>1</v>
      </c>
      <c r="H103" s="73">
        <f>IF(B103="","",F103*G103)</f>
        <v/>
      </c>
      <c r="I103" s="72">
        <f>IFERROR(XLOOKUP(B103,'Points Options'!$E:$E,'Points Options'!$B:$B)&amp;" - "&amp;XLOOKUP(B103,'Points Options'!$E:$E,'Points Options'!$C:$C),"")</f>
        <v/>
      </c>
      <c r="J103" s="72">
        <f>IFERROR(XLOOKUP(B103,'Points Options'!$E:$E,'Points Options'!$G:$G),"")</f>
        <v/>
      </c>
      <c r="K103" s="72">
        <f>IFERROR(XLOOKUP(B103,'Points Options'!$E:$E,'Points Options'!$H:$H),"")</f>
        <v/>
      </c>
    </row>
    <row r="104">
      <c r="A104" s="72" t="n">
        <v>101</v>
      </c>
      <c r="B104" s="72" t="n"/>
      <c r="C104" s="72">
        <f>IFERROR(XLOOKUP(B104,'Points Options'!$E:$E,'Points Options'!$A:$A),"")</f>
        <v/>
      </c>
      <c r="D104" s="72">
        <f>IFERROR(XLOOKUP(B104,'Points Options'!$E:$E,'Points Options'!$B:$B),"")</f>
        <v/>
      </c>
      <c r="E104" s="72">
        <f>IFERROR(XLOOKUP(B104,'Points Options'!$E:$E,'Points Options'!$C:$C),"")</f>
        <v/>
      </c>
      <c r="F104" s="73">
        <f>IFERROR(XLOOKUP(B104,'Points Options'!$E:$E,'Points Options'!$F:$F),"")</f>
        <v/>
      </c>
      <c r="G104" s="73" t="n">
        <v>1</v>
      </c>
      <c r="H104" s="73">
        <f>IF(B104="","",F104*G104)</f>
        <v/>
      </c>
      <c r="I104" s="72">
        <f>IFERROR(XLOOKUP(B104,'Points Options'!$E:$E,'Points Options'!$B:$B)&amp;" - "&amp;XLOOKUP(B104,'Points Options'!$E:$E,'Points Options'!$C:$C),"")</f>
        <v/>
      </c>
      <c r="J104" s="72">
        <f>IFERROR(XLOOKUP(B104,'Points Options'!$E:$E,'Points Options'!$G:$G),"")</f>
        <v/>
      </c>
      <c r="K104" s="72">
        <f>IFERROR(XLOOKUP(B104,'Points Options'!$E:$E,'Points Options'!$H:$H),"")</f>
        <v/>
      </c>
    </row>
    <row r="105">
      <c r="A105" s="72" t="n">
        <v>102</v>
      </c>
      <c r="B105" s="72" t="n"/>
      <c r="C105" s="72">
        <f>IFERROR(XLOOKUP(B105,'Points Options'!$E:$E,'Points Options'!$A:$A),"")</f>
        <v/>
      </c>
      <c r="D105" s="72">
        <f>IFERROR(XLOOKUP(B105,'Points Options'!$E:$E,'Points Options'!$B:$B),"")</f>
        <v/>
      </c>
      <c r="E105" s="72">
        <f>IFERROR(XLOOKUP(B105,'Points Options'!$E:$E,'Points Options'!$C:$C),"")</f>
        <v/>
      </c>
      <c r="F105" s="73">
        <f>IFERROR(XLOOKUP(B105,'Points Options'!$E:$E,'Points Options'!$F:$F),"")</f>
        <v/>
      </c>
      <c r="G105" s="73" t="n">
        <v>1</v>
      </c>
      <c r="H105" s="73">
        <f>IF(B105="","",F105*G105)</f>
        <v/>
      </c>
      <c r="I105" s="72">
        <f>IFERROR(XLOOKUP(B105,'Points Options'!$E:$E,'Points Options'!$B:$B)&amp;" - "&amp;XLOOKUP(B105,'Points Options'!$E:$E,'Points Options'!$C:$C),"")</f>
        <v/>
      </c>
      <c r="J105" s="72">
        <f>IFERROR(XLOOKUP(B105,'Points Options'!$E:$E,'Points Options'!$G:$G),"")</f>
        <v/>
      </c>
      <c r="K105" s="72">
        <f>IFERROR(XLOOKUP(B105,'Points Options'!$E:$E,'Points Options'!$H:$H),"")</f>
        <v/>
      </c>
    </row>
    <row r="106">
      <c r="A106" s="72" t="n">
        <v>103</v>
      </c>
      <c r="B106" s="72" t="n"/>
      <c r="C106" s="72">
        <f>IFERROR(XLOOKUP(B106,'Points Options'!$E:$E,'Points Options'!$A:$A),"")</f>
        <v/>
      </c>
      <c r="D106" s="72">
        <f>IFERROR(XLOOKUP(B106,'Points Options'!$E:$E,'Points Options'!$B:$B),"")</f>
        <v/>
      </c>
      <c r="E106" s="72">
        <f>IFERROR(XLOOKUP(B106,'Points Options'!$E:$E,'Points Options'!$C:$C),"")</f>
        <v/>
      </c>
      <c r="F106" s="73">
        <f>IFERROR(XLOOKUP(B106,'Points Options'!$E:$E,'Points Options'!$F:$F),"")</f>
        <v/>
      </c>
      <c r="G106" s="73" t="n">
        <v>1</v>
      </c>
      <c r="H106" s="73">
        <f>IF(B106="","",F106*G106)</f>
        <v/>
      </c>
      <c r="I106" s="72">
        <f>IFERROR(XLOOKUP(B106,'Points Options'!$E:$E,'Points Options'!$B:$B)&amp;" - "&amp;XLOOKUP(B106,'Points Options'!$E:$E,'Points Options'!$C:$C),"")</f>
        <v/>
      </c>
      <c r="J106" s="72">
        <f>IFERROR(XLOOKUP(B106,'Points Options'!$E:$E,'Points Options'!$G:$G),"")</f>
        <v/>
      </c>
      <c r="K106" s="72">
        <f>IFERROR(XLOOKUP(B106,'Points Options'!$E:$E,'Points Options'!$H:$H),"")</f>
        <v/>
      </c>
    </row>
    <row r="107">
      <c r="A107" s="72" t="n">
        <v>104</v>
      </c>
      <c r="B107" s="72" t="n"/>
      <c r="C107" s="72">
        <f>IFERROR(XLOOKUP(B107,'Points Options'!$E:$E,'Points Options'!$A:$A),"")</f>
        <v/>
      </c>
      <c r="D107" s="72">
        <f>IFERROR(XLOOKUP(B107,'Points Options'!$E:$E,'Points Options'!$B:$B),"")</f>
        <v/>
      </c>
      <c r="E107" s="72">
        <f>IFERROR(XLOOKUP(B107,'Points Options'!$E:$E,'Points Options'!$C:$C),"")</f>
        <v/>
      </c>
      <c r="F107" s="73">
        <f>IFERROR(XLOOKUP(B107,'Points Options'!$E:$E,'Points Options'!$F:$F),"")</f>
        <v/>
      </c>
      <c r="G107" s="73" t="n">
        <v>1</v>
      </c>
      <c r="H107" s="73">
        <f>IF(B107="","",F107*G107)</f>
        <v/>
      </c>
      <c r="I107" s="72">
        <f>IFERROR(XLOOKUP(B107,'Points Options'!$E:$E,'Points Options'!$B:$B)&amp;" - "&amp;XLOOKUP(B107,'Points Options'!$E:$E,'Points Options'!$C:$C),"")</f>
        <v/>
      </c>
      <c r="J107" s="72">
        <f>IFERROR(XLOOKUP(B107,'Points Options'!$E:$E,'Points Options'!$G:$G),"")</f>
        <v/>
      </c>
      <c r="K107" s="72">
        <f>IFERROR(XLOOKUP(B107,'Points Options'!$E:$E,'Points Options'!$H:$H),"")</f>
        <v/>
      </c>
    </row>
    <row r="108">
      <c r="A108" s="72" t="n">
        <v>105</v>
      </c>
      <c r="B108" s="72" t="n"/>
      <c r="C108" s="72">
        <f>IFERROR(XLOOKUP(B108,'Points Options'!$E:$E,'Points Options'!$A:$A),"")</f>
        <v/>
      </c>
      <c r="D108" s="72">
        <f>IFERROR(XLOOKUP(B108,'Points Options'!$E:$E,'Points Options'!$B:$B),"")</f>
        <v/>
      </c>
      <c r="E108" s="72">
        <f>IFERROR(XLOOKUP(B108,'Points Options'!$E:$E,'Points Options'!$C:$C),"")</f>
        <v/>
      </c>
      <c r="F108" s="73">
        <f>IFERROR(XLOOKUP(B108,'Points Options'!$E:$E,'Points Options'!$F:$F),"")</f>
        <v/>
      </c>
      <c r="G108" s="73" t="n">
        <v>1</v>
      </c>
      <c r="H108" s="73">
        <f>IF(B108="","",F108*G108)</f>
        <v/>
      </c>
      <c r="I108" s="72">
        <f>IFERROR(XLOOKUP(B108,'Points Options'!$E:$E,'Points Options'!$B:$B)&amp;" - "&amp;XLOOKUP(B108,'Points Options'!$E:$E,'Points Options'!$C:$C),"")</f>
        <v/>
      </c>
      <c r="J108" s="72">
        <f>IFERROR(XLOOKUP(B108,'Points Options'!$E:$E,'Points Options'!$G:$G),"")</f>
        <v/>
      </c>
      <c r="K108" s="72">
        <f>IFERROR(XLOOKUP(B108,'Points Options'!$E:$E,'Points Options'!$H:$H),"")</f>
        <v/>
      </c>
    </row>
    <row r="109">
      <c r="A109" s="72" t="n">
        <v>106</v>
      </c>
      <c r="B109" s="72" t="n"/>
      <c r="C109" s="72">
        <f>IFERROR(XLOOKUP(B109,'Points Options'!$E:$E,'Points Options'!$A:$A),"")</f>
        <v/>
      </c>
      <c r="D109" s="72">
        <f>IFERROR(XLOOKUP(B109,'Points Options'!$E:$E,'Points Options'!$B:$B),"")</f>
        <v/>
      </c>
      <c r="E109" s="72">
        <f>IFERROR(XLOOKUP(B109,'Points Options'!$E:$E,'Points Options'!$C:$C),"")</f>
        <v/>
      </c>
      <c r="F109" s="73">
        <f>IFERROR(XLOOKUP(B109,'Points Options'!$E:$E,'Points Options'!$F:$F),"")</f>
        <v/>
      </c>
      <c r="G109" s="73" t="n">
        <v>1</v>
      </c>
      <c r="H109" s="73">
        <f>IF(B109="","",F109*G109)</f>
        <v/>
      </c>
      <c r="I109" s="72">
        <f>IFERROR(XLOOKUP(B109,'Points Options'!$E:$E,'Points Options'!$B:$B)&amp;" - "&amp;XLOOKUP(B109,'Points Options'!$E:$E,'Points Options'!$C:$C),"")</f>
        <v/>
      </c>
      <c r="J109" s="72">
        <f>IFERROR(XLOOKUP(B109,'Points Options'!$E:$E,'Points Options'!$G:$G),"")</f>
        <v/>
      </c>
      <c r="K109" s="72">
        <f>IFERROR(XLOOKUP(B109,'Points Options'!$E:$E,'Points Options'!$H:$H),"")</f>
        <v/>
      </c>
    </row>
    <row r="110">
      <c r="A110" s="72" t="n">
        <v>107</v>
      </c>
      <c r="B110" s="72" t="n"/>
      <c r="C110" s="72">
        <f>IFERROR(XLOOKUP(B110,'Points Options'!$E:$E,'Points Options'!$A:$A),"")</f>
        <v/>
      </c>
      <c r="D110" s="72">
        <f>IFERROR(XLOOKUP(B110,'Points Options'!$E:$E,'Points Options'!$B:$B),"")</f>
        <v/>
      </c>
      <c r="E110" s="72">
        <f>IFERROR(XLOOKUP(B110,'Points Options'!$E:$E,'Points Options'!$C:$C),"")</f>
        <v/>
      </c>
      <c r="F110" s="73">
        <f>IFERROR(XLOOKUP(B110,'Points Options'!$E:$E,'Points Options'!$F:$F),"")</f>
        <v/>
      </c>
      <c r="G110" s="73" t="n">
        <v>1</v>
      </c>
      <c r="H110" s="73">
        <f>IF(B110="","",F110*G110)</f>
        <v/>
      </c>
      <c r="I110" s="72">
        <f>IFERROR(XLOOKUP(B110,'Points Options'!$E:$E,'Points Options'!$B:$B)&amp;" - "&amp;XLOOKUP(B110,'Points Options'!$E:$E,'Points Options'!$C:$C),"")</f>
        <v/>
      </c>
      <c r="J110" s="72">
        <f>IFERROR(XLOOKUP(B110,'Points Options'!$E:$E,'Points Options'!$G:$G),"")</f>
        <v/>
      </c>
      <c r="K110" s="72">
        <f>IFERROR(XLOOKUP(B110,'Points Options'!$E:$E,'Points Options'!$H:$H),"")</f>
        <v/>
      </c>
    </row>
    <row r="111">
      <c r="A111" s="72" t="n">
        <v>108</v>
      </c>
      <c r="B111" s="72" t="n"/>
      <c r="C111" s="72">
        <f>IFERROR(XLOOKUP(B111,'Points Options'!$E:$E,'Points Options'!$A:$A),"")</f>
        <v/>
      </c>
      <c r="D111" s="72">
        <f>IFERROR(XLOOKUP(B111,'Points Options'!$E:$E,'Points Options'!$B:$B),"")</f>
        <v/>
      </c>
      <c r="E111" s="72">
        <f>IFERROR(XLOOKUP(B111,'Points Options'!$E:$E,'Points Options'!$C:$C),"")</f>
        <v/>
      </c>
      <c r="F111" s="73">
        <f>IFERROR(XLOOKUP(B111,'Points Options'!$E:$E,'Points Options'!$F:$F),"")</f>
        <v/>
      </c>
      <c r="G111" s="73" t="n">
        <v>1</v>
      </c>
      <c r="H111" s="73">
        <f>IF(B111="","",F111*G111)</f>
        <v/>
      </c>
      <c r="I111" s="72">
        <f>IFERROR(XLOOKUP(B111,'Points Options'!$E:$E,'Points Options'!$B:$B)&amp;" - "&amp;XLOOKUP(B111,'Points Options'!$E:$E,'Points Options'!$C:$C),"")</f>
        <v/>
      </c>
      <c r="J111" s="72">
        <f>IFERROR(XLOOKUP(B111,'Points Options'!$E:$E,'Points Options'!$G:$G),"")</f>
        <v/>
      </c>
      <c r="K111" s="72">
        <f>IFERROR(XLOOKUP(B111,'Points Options'!$E:$E,'Points Options'!$H:$H),"")</f>
        <v/>
      </c>
    </row>
    <row r="112">
      <c r="A112" s="72" t="n">
        <v>109</v>
      </c>
      <c r="B112" s="72" t="n"/>
      <c r="C112" s="72">
        <f>IFERROR(XLOOKUP(B112,'Points Options'!$E:$E,'Points Options'!$A:$A),"")</f>
        <v/>
      </c>
      <c r="D112" s="72">
        <f>IFERROR(XLOOKUP(B112,'Points Options'!$E:$E,'Points Options'!$B:$B),"")</f>
        <v/>
      </c>
      <c r="E112" s="72">
        <f>IFERROR(XLOOKUP(B112,'Points Options'!$E:$E,'Points Options'!$C:$C),"")</f>
        <v/>
      </c>
      <c r="F112" s="73">
        <f>IFERROR(XLOOKUP(B112,'Points Options'!$E:$E,'Points Options'!$F:$F),"")</f>
        <v/>
      </c>
      <c r="G112" s="73" t="n">
        <v>1</v>
      </c>
      <c r="H112" s="73">
        <f>IF(B112="","",F112*G112)</f>
        <v/>
      </c>
      <c r="I112" s="72">
        <f>IFERROR(XLOOKUP(B112,'Points Options'!$E:$E,'Points Options'!$B:$B)&amp;" - "&amp;XLOOKUP(B112,'Points Options'!$E:$E,'Points Options'!$C:$C),"")</f>
        <v/>
      </c>
      <c r="J112" s="72">
        <f>IFERROR(XLOOKUP(B112,'Points Options'!$E:$E,'Points Options'!$G:$G),"")</f>
        <v/>
      </c>
      <c r="K112" s="72">
        <f>IFERROR(XLOOKUP(B112,'Points Options'!$E:$E,'Points Options'!$H:$H),"")</f>
        <v/>
      </c>
    </row>
    <row r="113">
      <c r="A113" s="72" t="n">
        <v>110</v>
      </c>
      <c r="B113" s="72" t="n"/>
      <c r="C113" s="72">
        <f>IFERROR(XLOOKUP(B113,'Points Options'!$E:$E,'Points Options'!$A:$A),"")</f>
        <v/>
      </c>
      <c r="D113" s="72">
        <f>IFERROR(XLOOKUP(B113,'Points Options'!$E:$E,'Points Options'!$B:$B),"")</f>
        <v/>
      </c>
      <c r="E113" s="72">
        <f>IFERROR(XLOOKUP(B113,'Points Options'!$E:$E,'Points Options'!$C:$C),"")</f>
        <v/>
      </c>
      <c r="F113" s="73">
        <f>IFERROR(XLOOKUP(B113,'Points Options'!$E:$E,'Points Options'!$F:$F),"")</f>
        <v/>
      </c>
      <c r="G113" s="73" t="n">
        <v>1</v>
      </c>
      <c r="H113" s="73">
        <f>IF(B113="","",F113*G113)</f>
        <v/>
      </c>
      <c r="I113" s="72">
        <f>IFERROR(XLOOKUP(B113,'Points Options'!$E:$E,'Points Options'!$B:$B)&amp;" - "&amp;XLOOKUP(B113,'Points Options'!$E:$E,'Points Options'!$C:$C),"")</f>
        <v/>
      </c>
      <c r="J113" s="72">
        <f>IFERROR(XLOOKUP(B113,'Points Options'!$E:$E,'Points Options'!$G:$G),"")</f>
        <v/>
      </c>
      <c r="K113" s="72">
        <f>IFERROR(XLOOKUP(B113,'Points Options'!$E:$E,'Points Options'!$H:$H),"")</f>
        <v/>
      </c>
    </row>
    <row r="114">
      <c r="A114" s="72" t="n">
        <v>111</v>
      </c>
      <c r="B114" s="72" t="n"/>
      <c r="C114" s="72">
        <f>IFERROR(XLOOKUP(B114,'Points Options'!$E:$E,'Points Options'!$A:$A),"")</f>
        <v/>
      </c>
      <c r="D114" s="72">
        <f>IFERROR(XLOOKUP(B114,'Points Options'!$E:$E,'Points Options'!$B:$B),"")</f>
        <v/>
      </c>
      <c r="E114" s="72">
        <f>IFERROR(XLOOKUP(B114,'Points Options'!$E:$E,'Points Options'!$C:$C),"")</f>
        <v/>
      </c>
      <c r="F114" s="73">
        <f>IFERROR(XLOOKUP(B114,'Points Options'!$E:$E,'Points Options'!$F:$F),"")</f>
        <v/>
      </c>
      <c r="G114" s="73" t="n">
        <v>1</v>
      </c>
      <c r="H114" s="73">
        <f>IF(B114="","",F114*G114)</f>
        <v/>
      </c>
      <c r="I114" s="72">
        <f>IFERROR(XLOOKUP(B114,'Points Options'!$E:$E,'Points Options'!$B:$B)&amp;" - "&amp;XLOOKUP(B114,'Points Options'!$E:$E,'Points Options'!$C:$C),"")</f>
        <v/>
      </c>
      <c r="J114" s="72">
        <f>IFERROR(XLOOKUP(B114,'Points Options'!$E:$E,'Points Options'!$G:$G),"")</f>
        <v/>
      </c>
      <c r="K114" s="72">
        <f>IFERROR(XLOOKUP(B114,'Points Options'!$E:$E,'Points Options'!$H:$H),"")</f>
        <v/>
      </c>
    </row>
    <row r="115">
      <c r="A115" s="72" t="n">
        <v>112</v>
      </c>
      <c r="B115" s="72" t="n"/>
      <c r="C115" s="72">
        <f>IFERROR(XLOOKUP(B115,'Points Options'!$E:$E,'Points Options'!$A:$A),"")</f>
        <v/>
      </c>
      <c r="D115" s="72">
        <f>IFERROR(XLOOKUP(B115,'Points Options'!$E:$E,'Points Options'!$B:$B),"")</f>
        <v/>
      </c>
      <c r="E115" s="72">
        <f>IFERROR(XLOOKUP(B115,'Points Options'!$E:$E,'Points Options'!$C:$C),"")</f>
        <v/>
      </c>
      <c r="F115" s="73">
        <f>IFERROR(XLOOKUP(B115,'Points Options'!$E:$E,'Points Options'!$F:$F),"")</f>
        <v/>
      </c>
      <c r="G115" s="73" t="n">
        <v>1</v>
      </c>
      <c r="H115" s="73">
        <f>IF(B115="","",F115*G115)</f>
        <v/>
      </c>
      <c r="I115" s="72">
        <f>IFERROR(XLOOKUP(B115,'Points Options'!$E:$E,'Points Options'!$B:$B)&amp;" - "&amp;XLOOKUP(B115,'Points Options'!$E:$E,'Points Options'!$C:$C),"")</f>
        <v/>
      </c>
      <c r="J115" s="72">
        <f>IFERROR(XLOOKUP(B115,'Points Options'!$E:$E,'Points Options'!$G:$G),"")</f>
        <v/>
      </c>
      <c r="K115" s="72">
        <f>IFERROR(XLOOKUP(B115,'Points Options'!$E:$E,'Points Options'!$H:$H),"")</f>
        <v/>
      </c>
    </row>
    <row r="116">
      <c r="A116" s="72" t="n">
        <v>113</v>
      </c>
      <c r="B116" s="72" t="n"/>
      <c r="C116" s="72">
        <f>IFERROR(XLOOKUP(B116,'Points Options'!$E:$E,'Points Options'!$A:$A),"")</f>
        <v/>
      </c>
      <c r="D116" s="72">
        <f>IFERROR(XLOOKUP(B116,'Points Options'!$E:$E,'Points Options'!$B:$B),"")</f>
        <v/>
      </c>
      <c r="E116" s="72">
        <f>IFERROR(XLOOKUP(B116,'Points Options'!$E:$E,'Points Options'!$C:$C),"")</f>
        <v/>
      </c>
      <c r="F116" s="73">
        <f>IFERROR(XLOOKUP(B116,'Points Options'!$E:$E,'Points Options'!$F:$F),"")</f>
        <v/>
      </c>
      <c r="G116" s="73" t="n">
        <v>1</v>
      </c>
      <c r="H116" s="73">
        <f>IF(B116="","",F116*G116)</f>
        <v/>
      </c>
      <c r="I116" s="72">
        <f>IFERROR(XLOOKUP(B116,'Points Options'!$E:$E,'Points Options'!$B:$B)&amp;" - "&amp;XLOOKUP(B116,'Points Options'!$E:$E,'Points Options'!$C:$C),"")</f>
        <v/>
      </c>
      <c r="J116" s="72">
        <f>IFERROR(XLOOKUP(B116,'Points Options'!$E:$E,'Points Options'!$G:$G),"")</f>
        <v/>
      </c>
      <c r="K116" s="72">
        <f>IFERROR(XLOOKUP(B116,'Points Options'!$E:$E,'Points Options'!$H:$H),"")</f>
        <v/>
      </c>
    </row>
    <row r="117">
      <c r="A117" s="72" t="n">
        <v>114</v>
      </c>
      <c r="B117" s="72" t="n"/>
      <c r="C117" s="72">
        <f>IFERROR(XLOOKUP(B117,'Points Options'!$E:$E,'Points Options'!$A:$A),"")</f>
        <v/>
      </c>
      <c r="D117" s="72">
        <f>IFERROR(XLOOKUP(B117,'Points Options'!$E:$E,'Points Options'!$B:$B),"")</f>
        <v/>
      </c>
      <c r="E117" s="72">
        <f>IFERROR(XLOOKUP(B117,'Points Options'!$E:$E,'Points Options'!$C:$C),"")</f>
        <v/>
      </c>
      <c r="F117" s="73">
        <f>IFERROR(XLOOKUP(B117,'Points Options'!$E:$E,'Points Options'!$F:$F),"")</f>
        <v/>
      </c>
      <c r="G117" s="73" t="n">
        <v>1</v>
      </c>
      <c r="H117" s="73">
        <f>IF(B117="","",F117*G117)</f>
        <v/>
      </c>
      <c r="I117" s="72">
        <f>IFERROR(XLOOKUP(B117,'Points Options'!$E:$E,'Points Options'!$B:$B)&amp;" - "&amp;XLOOKUP(B117,'Points Options'!$E:$E,'Points Options'!$C:$C),"")</f>
        <v/>
      </c>
      <c r="J117" s="72">
        <f>IFERROR(XLOOKUP(B117,'Points Options'!$E:$E,'Points Options'!$G:$G),"")</f>
        <v/>
      </c>
      <c r="K117" s="72">
        <f>IFERROR(XLOOKUP(B117,'Points Options'!$E:$E,'Points Options'!$H:$H),"")</f>
        <v/>
      </c>
    </row>
    <row r="118">
      <c r="A118" s="72" t="n">
        <v>115</v>
      </c>
      <c r="B118" s="72" t="n"/>
      <c r="C118" s="72">
        <f>IFERROR(XLOOKUP(B118,'Points Options'!$E:$E,'Points Options'!$A:$A),"")</f>
        <v/>
      </c>
      <c r="D118" s="72">
        <f>IFERROR(XLOOKUP(B118,'Points Options'!$E:$E,'Points Options'!$B:$B),"")</f>
        <v/>
      </c>
      <c r="E118" s="72">
        <f>IFERROR(XLOOKUP(B118,'Points Options'!$E:$E,'Points Options'!$C:$C),"")</f>
        <v/>
      </c>
      <c r="F118" s="73">
        <f>IFERROR(XLOOKUP(B118,'Points Options'!$E:$E,'Points Options'!$F:$F),"")</f>
        <v/>
      </c>
      <c r="G118" s="73" t="n">
        <v>1</v>
      </c>
      <c r="H118" s="73">
        <f>IF(B118="","",F118*G118)</f>
        <v/>
      </c>
      <c r="I118" s="72">
        <f>IFERROR(XLOOKUP(B118,'Points Options'!$E:$E,'Points Options'!$B:$B)&amp;" - "&amp;XLOOKUP(B118,'Points Options'!$E:$E,'Points Options'!$C:$C),"")</f>
        <v/>
      </c>
      <c r="J118" s="72">
        <f>IFERROR(XLOOKUP(B118,'Points Options'!$E:$E,'Points Options'!$G:$G),"")</f>
        <v/>
      </c>
      <c r="K118" s="72">
        <f>IFERROR(XLOOKUP(B118,'Points Options'!$E:$E,'Points Options'!$H:$H),"")</f>
        <v/>
      </c>
    </row>
    <row r="119">
      <c r="A119" s="72" t="n">
        <v>116</v>
      </c>
      <c r="B119" s="72" t="n"/>
      <c r="C119" s="72">
        <f>IFERROR(XLOOKUP(B119,'Points Options'!$E:$E,'Points Options'!$A:$A),"")</f>
        <v/>
      </c>
      <c r="D119" s="72">
        <f>IFERROR(XLOOKUP(B119,'Points Options'!$E:$E,'Points Options'!$B:$B),"")</f>
        <v/>
      </c>
      <c r="E119" s="72">
        <f>IFERROR(XLOOKUP(B119,'Points Options'!$E:$E,'Points Options'!$C:$C),"")</f>
        <v/>
      </c>
      <c r="F119" s="73">
        <f>IFERROR(XLOOKUP(B119,'Points Options'!$E:$E,'Points Options'!$F:$F),"")</f>
        <v/>
      </c>
      <c r="G119" s="73" t="n">
        <v>1</v>
      </c>
      <c r="H119" s="73">
        <f>IF(B119="","",F119*G119)</f>
        <v/>
      </c>
      <c r="I119" s="72">
        <f>IFERROR(XLOOKUP(B119,'Points Options'!$E:$E,'Points Options'!$B:$B)&amp;" - "&amp;XLOOKUP(B119,'Points Options'!$E:$E,'Points Options'!$C:$C),"")</f>
        <v/>
      </c>
      <c r="J119" s="72">
        <f>IFERROR(XLOOKUP(B119,'Points Options'!$E:$E,'Points Options'!$G:$G),"")</f>
        <v/>
      </c>
      <c r="K119" s="72">
        <f>IFERROR(XLOOKUP(B119,'Points Options'!$E:$E,'Points Options'!$H:$H),"")</f>
        <v/>
      </c>
    </row>
    <row r="120">
      <c r="A120" s="72" t="n">
        <v>117</v>
      </c>
      <c r="B120" s="72" t="n"/>
      <c r="C120" s="72">
        <f>IFERROR(XLOOKUP(B120,'Points Options'!$E:$E,'Points Options'!$A:$A),"")</f>
        <v/>
      </c>
      <c r="D120" s="72">
        <f>IFERROR(XLOOKUP(B120,'Points Options'!$E:$E,'Points Options'!$B:$B),"")</f>
        <v/>
      </c>
      <c r="E120" s="72">
        <f>IFERROR(XLOOKUP(B120,'Points Options'!$E:$E,'Points Options'!$C:$C),"")</f>
        <v/>
      </c>
      <c r="F120" s="73">
        <f>IFERROR(XLOOKUP(B120,'Points Options'!$E:$E,'Points Options'!$F:$F),"")</f>
        <v/>
      </c>
      <c r="G120" s="73" t="n">
        <v>1</v>
      </c>
      <c r="H120" s="73">
        <f>IF(B120="","",F120*G120)</f>
        <v/>
      </c>
      <c r="I120" s="72">
        <f>IFERROR(XLOOKUP(B120,'Points Options'!$E:$E,'Points Options'!$B:$B)&amp;" - "&amp;XLOOKUP(B120,'Points Options'!$E:$E,'Points Options'!$C:$C),"")</f>
        <v/>
      </c>
      <c r="J120" s="72">
        <f>IFERROR(XLOOKUP(B120,'Points Options'!$E:$E,'Points Options'!$G:$G),"")</f>
        <v/>
      </c>
      <c r="K120" s="72">
        <f>IFERROR(XLOOKUP(B120,'Points Options'!$E:$E,'Points Options'!$H:$H),"")</f>
        <v/>
      </c>
    </row>
    <row r="121">
      <c r="A121" s="72" t="n">
        <v>118</v>
      </c>
      <c r="B121" s="72" t="n"/>
      <c r="C121" s="72">
        <f>IFERROR(XLOOKUP(B121,'Points Options'!$E:$E,'Points Options'!$A:$A),"")</f>
        <v/>
      </c>
      <c r="D121" s="72">
        <f>IFERROR(XLOOKUP(B121,'Points Options'!$E:$E,'Points Options'!$B:$B),"")</f>
        <v/>
      </c>
      <c r="E121" s="72">
        <f>IFERROR(XLOOKUP(B121,'Points Options'!$E:$E,'Points Options'!$C:$C),"")</f>
        <v/>
      </c>
      <c r="F121" s="73">
        <f>IFERROR(XLOOKUP(B121,'Points Options'!$E:$E,'Points Options'!$F:$F),"")</f>
        <v/>
      </c>
      <c r="G121" s="73" t="n">
        <v>1</v>
      </c>
      <c r="H121" s="73">
        <f>IF(B121="","",F121*G121)</f>
        <v/>
      </c>
      <c r="I121" s="72">
        <f>IFERROR(XLOOKUP(B121,'Points Options'!$E:$E,'Points Options'!$B:$B)&amp;" - "&amp;XLOOKUP(B121,'Points Options'!$E:$E,'Points Options'!$C:$C),"")</f>
        <v/>
      </c>
      <c r="J121" s="72">
        <f>IFERROR(XLOOKUP(B121,'Points Options'!$E:$E,'Points Options'!$G:$G),"")</f>
        <v/>
      </c>
      <c r="K121" s="72">
        <f>IFERROR(XLOOKUP(B121,'Points Options'!$E:$E,'Points Options'!$H:$H),"")</f>
        <v/>
      </c>
    </row>
    <row r="122">
      <c r="A122" s="72" t="n">
        <v>119</v>
      </c>
      <c r="B122" s="72" t="n"/>
      <c r="C122" s="72">
        <f>IFERROR(XLOOKUP(B122,'Points Options'!$E:$E,'Points Options'!$A:$A),"")</f>
        <v/>
      </c>
      <c r="D122" s="72">
        <f>IFERROR(XLOOKUP(B122,'Points Options'!$E:$E,'Points Options'!$B:$B),"")</f>
        <v/>
      </c>
      <c r="E122" s="72">
        <f>IFERROR(XLOOKUP(B122,'Points Options'!$E:$E,'Points Options'!$C:$C),"")</f>
        <v/>
      </c>
      <c r="F122" s="73">
        <f>IFERROR(XLOOKUP(B122,'Points Options'!$E:$E,'Points Options'!$F:$F),"")</f>
        <v/>
      </c>
      <c r="G122" s="73" t="n">
        <v>1</v>
      </c>
      <c r="H122" s="73">
        <f>IF(B122="","",F122*G122)</f>
        <v/>
      </c>
      <c r="I122" s="72">
        <f>IFERROR(XLOOKUP(B122,'Points Options'!$E:$E,'Points Options'!$B:$B)&amp;" - "&amp;XLOOKUP(B122,'Points Options'!$E:$E,'Points Options'!$C:$C),"")</f>
        <v/>
      </c>
      <c r="J122" s="72">
        <f>IFERROR(XLOOKUP(B122,'Points Options'!$E:$E,'Points Options'!$G:$G),"")</f>
        <v/>
      </c>
      <c r="K122" s="72">
        <f>IFERROR(XLOOKUP(B122,'Points Options'!$E:$E,'Points Options'!$H:$H),"")</f>
        <v/>
      </c>
    </row>
    <row r="123">
      <c r="A123" s="72" t="n">
        <v>120</v>
      </c>
      <c r="B123" s="72" t="n"/>
      <c r="C123" s="72">
        <f>IFERROR(XLOOKUP(B123,'Points Options'!$E:$E,'Points Options'!$A:$A),"")</f>
        <v/>
      </c>
      <c r="D123" s="72">
        <f>IFERROR(XLOOKUP(B123,'Points Options'!$E:$E,'Points Options'!$B:$B),"")</f>
        <v/>
      </c>
      <c r="E123" s="72">
        <f>IFERROR(XLOOKUP(B123,'Points Options'!$E:$E,'Points Options'!$C:$C),"")</f>
        <v/>
      </c>
      <c r="F123" s="73">
        <f>IFERROR(XLOOKUP(B123,'Points Options'!$E:$E,'Points Options'!$F:$F),"")</f>
        <v/>
      </c>
      <c r="G123" s="73" t="n">
        <v>1</v>
      </c>
      <c r="H123" s="73">
        <f>IF(B123="","",F123*G123)</f>
        <v/>
      </c>
      <c r="I123" s="72">
        <f>IFERROR(XLOOKUP(B123,'Points Options'!$E:$E,'Points Options'!$B:$B)&amp;" - "&amp;XLOOKUP(B123,'Points Options'!$E:$E,'Points Options'!$C:$C),"")</f>
        <v/>
      </c>
      <c r="J123" s="72">
        <f>IFERROR(XLOOKUP(B123,'Points Options'!$E:$E,'Points Options'!$G:$G),"")</f>
        <v/>
      </c>
      <c r="K123" s="72">
        <f>IFERROR(XLOOKUP(B123,'Points Options'!$E:$E,'Points Options'!$H:$H),"")</f>
        <v/>
      </c>
    </row>
    <row r="124">
      <c r="A124" s="72" t="n">
        <v>121</v>
      </c>
      <c r="B124" s="72" t="n"/>
      <c r="C124" s="72">
        <f>IFERROR(XLOOKUP(B124,'Points Options'!$E:$E,'Points Options'!$A:$A),"")</f>
        <v/>
      </c>
      <c r="D124" s="72">
        <f>IFERROR(XLOOKUP(B124,'Points Options'!$E:$E,'Points Options'!$B:$B),"")</f>
        <v/>
      </c>
      <c r="E124" s="72">
        <f>IFERROR(XLOOKUP(B124,'Points Options'!$E:$E,'Points Options'!$C:$C),"")</f>
        <v/>
      </c>
      <c r="F124" s="73">
        <f>IFERROR(XLOOKUP(B124,'Points Options'!$E:$E,'Points Options'!$F:$F),"")</f>
        <v/>
      </c>
      <c r="G124" s="73" t="n">
        <v>1</v>
      </c>
      <c r="H124" s="73">
        <f>IF(B124="","",F124*G124)</f>
        <v/>
      </c>
      <c r="I124" s="72">
        <f>IFERROR(XLOOKUP(B124,'Points Options'!$E:$E,'Points Options'!$B:$B)&amp;" - "&amp;XLOOKUP(B124,'Points Options'!$E:$E,'Points Options'!$C:$C),"")</f>
        <v/>
      </c>
      <c r="J124" s="72">
        <f>IFERROR(XLOOKUP(B124,'Points Options'!$E:$E,'Points Options'!$G:$G),"")</f>
        <v/>
      </c>
      <c r="K124" s="72">
        <f>IFERROR(XLOOKUP(B124,'Points Options'!$E:$E,'Points Options'!$H:$H),"")</f>
        <v/>
      </c>
    </row>
    <row r="125">
      <c r="A125" s="72" t="n">
        <v>122</v>
      </c>
      <c r="B125" s="72" t="n"/>
      <c r="C125" s="72">
        <f>IFERROR(XLOOKUP(B125,'Points Options'!$E:$E,'Points Options'!$A:$A),"")</f>
        <v/>
      </c>
      <c r="D125" s="72">
        <f>IFERROR(XLOOKUP(B125,'Points Options'!$E:$E,'Points Options'!$B:$B),"")</f>
        <v/>
      </c>
      <c r="E125" s="72">
        <f>IFERROR(XLOOKUP(B125,'Points Options'!$E:$E,'Points Options'!$C:$C),"")</f>
        <v/>
      </c>
      <c r="F125" s="73">
        <f>IFERROR(XLOOKUP(B125,'Points Options'!$E:$E,'Points Options'!$F:$F),"")</f>
        <v/>
      </c>
      <c r="G125" s="73" t="n">
        <v>1</v>
      </c>
      <c r="H125" s="73">
        <f>IF(B125="","",F125*G125)</f>
        <v/>
      </c>
      <c r="I125" s="72">
        <f>IFERROR(XLOOKUP(B125,'Points Options'!$E:$E,'Points Options'!$B:$B)&amp;" - "&amp;XLOOKUP(B125,'Points Options'!$E:$E,'Points Options'!$C:$C),"")</f>
        <v/>
      </c>
      <c r="J125" s="72">
        <f>IFERROR(XLOOKUP(B125,'Points Options'!$E:$E,'Points Options'!$G:$G),"")</f>
        <v/>
      </c>
      <c r="K125" s="72">
        <f>IFERROR(XLOOKUP(B125,'Points Options'!$E:$E,'Points Options'!$H:$H),"")</f>
        <v/>
      </c>
    </row>
    <row r="126">
      <c r="A126" s="72" t="n">
        <v>123</v>
      </c>
      <c r="B126" s="72" t="n"/>
      <c r="C126" s="72">
        <f>IFERROR(XLOOKUP(B126,'Points Options'!$E:$E,'Points Options'!$A:$A),"")</f>
        <v/>
      </c>
      <c r="D126" s="72">
        <f>IFERROR(XLOOKUP(B126,'Points Options'!$E:$E,'Points Options'!$B:$B),"")</f>
        <v/>
      </c>
      <c r="E126" s="72">
        <f>IFERROR(XLOOKUP(B126,'Points Options'!$E:$E,'Points Options'!$C:$C),"")</f>
        <v/>
      </c>
      <c r="F126" s="73">
        <f>IFERROR(XLOOKUP(B126,'Points Options'!$E:$E,'Points Options'!$F:$F),"")</f>
        <v/>
      </c>
      <c r="G126" s="73" t="n">
        <v>1</v>
      </c>
      <c r="H126" s="73">
        <f>IF(B126="","",F126*G126)</f>
        <v/>
      </c>
      <c r="I126" s="72">
        <f>IFERROR(XLOOKUP(B126,'Points Options'!$E:$E,'Points Options'!$B:$B)&amp;" - "&amp;XLOOKUP(B126,'Points Options'!$E:$E,'Points Options'!$C:$C),"")</f>
        <v/>
      </c>
      <c r="J126" s="72">
        <f>IFERROR(XLOOKUP(B126,'Points Options'!$E:$E,'Points Options'!$G:$G),"")</f>
        <v/>
      </c>
      <c r="K126" s="72">
        <f>IFERROR(XLOOKUP(B126,'Points Options'!$E:$E,'Points Options'!$H:$H),"")</f>
        <v/>
      </c>
    </row>
    <row r="127">
      <c r="A127" s="72" t="n">
        <v>124</v>
      </c>
      <c r="B127" s="72" t="n"/>
      <c r="C127" s="72">
        <f>IFERROR(XLOOKUP(B127,'Points Options'!$E:$E,'Points Options'!$A:$A),"")</f>
        <v/>
      </c>
      <c r="D127" s="72">
        <f>IFERROR(XLOOKUP(B127,'Points Options'!$E:$E,'Points Options'!$B:$B),"")</f>
        <v/>
      </c>
      <c r="E127" s="72">
        <f>IFERROR(XLOOKUP(B127,'Points Options'!$E:$E,'Points Options'!$C:$C),"")</f>
        <v/>
      </c>
      <c r="F127" s="73">
        <f>IFERROR(XLOOKUP(B127,'Points Options'!$E:$E,'Points Options'!$F:$F),"")</f>
        <v/>
      </c>
      <c r="G127" s="73" t="n">
        <v>1</v>
      </c>
      <c r="H127" s="73">
        <f>IF(B127="","",F127*G127)</f>
        <v/>
      </c>
      <c r="I127" s="72">
        <f>IFERROR(XLOOKUP(B127,'Points Options'!$E:$E,'Points Options'!$B:$B)&amp;" - "&amp;XLOOKUP(B127,'Points Options'!$E:$E,'Points Options'!$C:$C),"")</f>
        <v/>
      </c>
      <c r="J127" s="72">
        <f>IFERROR(XLOOKUP(B127,'Points Options'!$E:$E,'Points Options'!$G:$G),"")</f>
        <v/>
      </c>
      <c r="K127" s="72">
        <f>IFERROR(XLOOKUP(B127,'Points Options'!$E:$E,'Points Options'!$H:$H),"")</f>
        <v/>
      </c>
    </row>
    <row r="128">
      <c r="A128" s="72" t="n">
        <v>125</v>
      </c>
      <c r="B128" s="72" t="n"/>
      <c r="C128" s="72">
        <f>IFERROR(XLOOKUP(B128,'Points Options'!$E:$E,'Points Options'!$A:$A),"")</f>
        <v/>
      </c>
      <c r="D128" s="72">
        <f>IFERROR(XLOOKUP(B128,'Points Options'!$E:$E,'Points Options'!$B:$B),"")</f>
        <v/>
      </c>
      <c r="E128" s="72">
        <f>IFERROR(XLOOKUP(B128,'Points Options'!$E:$E,'Points Options'!$C:$C),"")</f>
        <v/>
      </c>
      <c r="F128" s="73">
        <f>IFERROR(XLOOKUP(B128,'Points Options'!$E:$E,'Points Options'!$F:$F),"")</f>
        <v/>
      </c>
      <c r="G128" s="73" t="n">
        <v>1</v>
      </c>
      <c r="H128" s="73">
        <f>IF(B128="","",F128*G128)</f>
        <v/>
      </c>
      <c r="I128" s="72">
        <f>IFERROR(XLOOKUP(B128,'Points Options'!$E:$E,'Points Options'!$B:$B)&amp;" - "&amp;XLOOKUP(B128,'Points Options'!$E:$E,'Points Options'!$C:$C),"")</f>
        <v/>
      </c>
      <c r="J128" s="72">
        <f>IFERROR(XLOOKUP(B128,'Points Options'!$E:$E,'Points Options'!$G:$G),"")</f>
        <v/>
      </c>
      <c r="K128" s="72">
        <f>IFERROR(XLOOKUP(B128,'Points Options'!$E:$E,'Points Options'!$H:$H),"")</f>
        <v/>
      </c>
    </row>
    <row r="129">
      <c r="A129" s="72" t="n">
        <v>126</v>
      </c>
      <c r="B129" s="72" t="n"/>
      <c r="C129" s="72">
        <f>IFERROR(XLOOKUP(B129,'Points Options'!$E:$E,'Points Options'!$A:$A),"")</f>
        <v/>
      </c>
      <c r="D129" s="72">
        <f>IFERROR(XLOOKUP(B129,'Points Options'!$E:$E,'Points Options'!$B:$B),"")</f>
        <v/>
      </c>
      <c r="E129" s="72">
        <f>IFERROR(XLOOKUP(B129,'Points Options'!$E:$E,'Points Options'!$C:$C),"")</f>
        <v/>
      </c>
      <c r="F129" s="73">
        <f>IFERROR(XLOOKUP(B129,'Points Options'!$E:$E,'Points Options'!$F:$F),"")</f>
        <v/>
      </c>
      <c r="G129" s="73" t="n">
        <v>1</v>
      </c>
      <c r="H129" s="73">
        <f>IF(B129="","",F129*G129)</f>
        <v/>
      </c>
      <c r="I129" s="72">
        <f>IFERROR(XLOOKUP(B129,'Points Options'!$E:$E,'Points Options'!$B:$B)&amp;" - "&amp;XLOOKUP(B129,'Points Options'!$E:$E,'Points Options'!$C:$C),"")</f>
        <v/>
      </c>
      <c r="J129" s="72">
        <f>IFERROR(XLOOKUP(B129,'Points Options'!$E:$E,'Points Options'!$G:$G),"")</f>
        <v/>
      </c>
      <c r="K129" s="72">
        <f>IFERROR(XLOOKUP(B129,'Points Options'!$E:$E,'Points Options'!$H:$H),"")</f>
        <v/>
      </c>
    </row>
    <row r="130">
      <c r="A130" s="72" t="n">
        <v>127</v>
      </c>
      <c r="B130" s="72" t="n"/>
      <c r="C130" s="72">
        <f>IFERROR(XLOOKUP(B130,'Points Options'!$E:$E,'Points Options'!$A:$A),"")</f>
        <v/>
      </c>
      <c r="D130" s="72">
        <f>IFERROR(XLOOKUP(B130,'Points Options'!$E:$E,'Points Options'!$B:$B),"")</f>
        <v/>
      </c>
      <c r="E130" s="72">
        <f>IFERROR(XLOOKUP(B130,'Points Options'!$E:$E,'Points Options'!$C:$C),"")</f>
        <v/>
      </c>
      <c r="F130" s="73">
        <f>IFERROR(XLOOKUP(B130,'Points Options'!$E:$E,'Points Options'!$F:$F),"")</f>
        <v/>
      </c>
      <c r="G130" s="73" t="n">
        <v>1</v>
      </c>
      <c r="H130" s="73">
        <f>IF(B130="","",F130*G130)</f>
        <v/>
      </c>
      <c r="I130" s="72">
        <f>IFERROR(XLOOKUP(B130,'Points Options'!$E:$E,'Points Options'!$B:$B)&amp;" - "&amp;XLOOKUP(B130,'Points Options'!$E:$E,'Points Options'!$C:$C),"")</f>
        <v/>
      </c>
      <c r="J130" s="72">
        <f>IFERROR(XLOOKUP(B130,'Points Options'!$E:$E,'Points Options'!$G:$G),"")</f>
        <v/>
      </c>
      <c r="K130" s="72">
        <f>IFERROR(XLOOKUP(B130,'Points Options'!$E:$E,'Points Options'!$H:$H),"")</f>
        <v/>
      </c>
    </row>
    <row r="131">
      <c r="A131" s="72" t="n">
        <v>128</v>
      </c>
      <c r="B131" s="72" t="n"/>
      <c r="C131" s="72">
        <f>IFERROR(XLOOKUP(B131,'Points Options'!$E:$E,'Points Options'!$A:$A),"")</f>
        <v/>
      </c>
      <c r="D131" s="72">
        <f>IFERROR(XLOOKUP(B131,'Points Options'!$E:$E,'Points Options'!$B:$B),"")</f>
        <v/>
      </c>
      <c r="E131" s="72">
        <f>IFERROR(XLOOKUP(B131,'Points Options'!$E:$E,'Points Options'!$C:$C),"")</f>
        <v/>
      </c>
      <c r="F131" s="73">
        <f>IFERROR(XLOOKUP(B131,'Points Options'!$E:$E,'Points Options'!$F:$F),"")</f>
        <v/>
      </c>
      <c r="G131" s="73" t="n">
        <v>1</v>
      </c>
      <c r="H131" s="73">
        <f>IF(B131="","",F131*G131)</f>
        <v/>
      </c>
      <c r="I131" s="72">
        <f>IFERROR(XLOOKUP(B131,'Points Options'!$E:$E,'Points Options'!$B:$B)&amp;" - "&amp;XLOOKUP(B131,'Points Options'!$E:$E,'Points Options'!$C:$C),"")</f>
        <v/>
      </c>
      <c r="J131" s="72">
        <f>IFERROR(XLOOKUP(B131,'Points Options'!$E:$E,'Points Options'!$G:$G),"")</f>
        <v/>
      </c>
      <c r="K131" s="72">
        <f>IFERROR(XLOOKUP(B131,'Points Options'!$E:$E,'Points Options'!$H:$H),"")</f>
        <v/>
      </c>
    </row>
    <row r="132">
      <c r="A132" s="72" t="n">
        <v>129</v>
      </c>
      <c r="B132" s="72" t="n"/>
      <c r="C132" s="72">
        <f>IFERROR(XLOOKUP(B132,'Points Options'!$E:$E,'Points Options'!$A:$A),"")</f>
        <v/>
      </c>
      <c r="D132" s="72">
        <f>IFERROR(XLOOKUP(B132,'Points Options'!$E:$E,'Points Options'!$B:$B),"")</f>
        <v/>
      </c>
      <c r="E132" s="72">
        <f>IFERROR(XLOOKUP(B132,'Points Options'!$E:$E,'Points Options'!$C:$C),"")</f>
        <v/>
      </c>
      <c r="F132" s="73">
        <f>IFERROR(XLOOKUP(B132,'Points Options'!$E:$E,'Points Options'!$F:$F),"")</f>
        <v/>
      </c>
      <c r="G132" s="73" t="n">
        <v>1</v>
      </c>
      <c r="H132" s="73">
        <f>IF(B132="","",F132*G132)</f>
        <v/>
      </c>
      <c r="I132" s="72">
        <f>IFERROR(XLOOKUP(B132,'Points Options'!$E:$E,'Points Options'!$B:$B)&amp;" - "&amp;XLOOKUP(B132,'Points Options'!$E:$E,'Points Options'!$C:$C),"")</f>
        <v/>
      </c>
      <c r="J132" s="72">
        <f>IFERROR(XLOOKUP(B132,'Points Options'!$E:$E,'Points Options'!$G:$G),"")</f>
        <v/>
      </c>
      <c r="K132" s="72">
        <f>IFERROR(XLOOKUP(B132,'Points Options'!$E:$E,'Points Options'!$H:$H),"")</f>
        <v/>
      </c>
    </row>
    <row r="133">
      <c r="A133" s="72" t="n">
        <v>130</v>
      </c>
      <c r="B133" s="72" t="n"/>
      <c r="C133" s="72">
        <f>IFERROR(XLOOKUP(B133,'Points Options'!$E:$E,'Points Options'!$A:$A),"")</f>
        <v/>
      </c>
      <c r="D133" s="72">
        <f>IFERROR(XLOOKUP(B133,'Points Options'!$E:$E,'Points Options'!$B:$B),"")</f>
        <v/>
      </c>
      <c r="E133" s="72">
        <f>IFERROR(XLOOKUP(B133,'Points Options'!$E:$E,'Points Options'!$C:$C),"")</f>
        <v/>
      </c>
      <c r="F133" s="73">
        <f>IFERROR(XLOOKUP(B133,'Points Options'!$E:$E,'Points Options'!$F:$F),"")</f>
        <v/>
      </c>
      <c r="G133" s="73" t="n">
        <v>1</v>
      </c>
      <c r="H133" s="73">
        <f>IF(B133="","",F133*G133)</f>
        <v/>
      </c>
      <c r="I133" s="72">
        <f>IFERROR(XLOOKUP(B133,'Points Options'!$E:$E,'Points Options'!$B:$B)&amp;" - "&amp;XLOOKUP(B133,'Points Options'!$E:$E,'Points Options'!$C:$C),"")</f>
        <v/>
      </c>
      <c r="J133" s="72">
        <f>IFERROR(XLOOKUP(B133,'Points Options'!$E:$E,'Points Options'!$G:$G),"")</f>
        <v/>
      </c>
      <c r="K133" s="72">
        <f>IFERROR(XLOOKUP(B133,'Points Options'!$E:$E,'Points Options'!$H:$H),"")</f>
        <v/>
      </c>
    </row>
    <row r="134">
      <c r="A134" s="72" t="n">
        <v>131</v>
      </c>
      <c r="B134" s="72" t="n"/>
      <c r="C134" s="72">
        <f>IFERROR(XLOOKUP(B134,'Points Options'!$E:$E,'Points Options'!$A:$A),"")</f>
        <v/>
      </c>
      <c r="D134" s="72">
        <f>IFERROR(XLOOKUP(B134,'Points Options'!$E:$E,'Points Options'!$B:$B),"")</f>
        <v/>
      </c>
      <c r="E134" s="72">
        <f>IFERROR(XLOOKUP(B134,'Points Options'!$E:$E,'Points Options'!$C:$C),"")</f>
        <v/>
      </c>
      <c r="F134" s="73">
        <f>IFERROR(XLOOKUP(B134,'Points Options'!$E:$E,'Points Options'!$F:$F),"")</f>
        <v/>
      </c>
      <c r="G134" s="73" t="n">
        <v>1</v>
      </c>
      <c r="H134" s="73">
        <f>IF(B134="","",F134*G134)</f>
        <v/>
      </c>
      <c r="I134" s="72">
        <f>IFERROR(XLOOKUP(B134,'Points Options'!$E:$E,'Points Options'!$B:$B)&amp;" - "&amp;XLOOKUP(B134,'Points Options'!$E:$E,'Points Options'!$C:$C),"")</f>
        <v/>
      </c>
      <c r="J134" s="72">
        <f>IFERROR(XLOOKUP(B134,'Points Options'!$E:$E,'Points Options'!$G:$G),"")</f>
        <v/>
      </c>
      <c r="K134" s="72">
        <f>IFERROR(XLOOKUP(B134,'Points Options'!$E:$E,'Points Options'!$H:$H),"")</f>
        <v/>
      </c>
    </row>
    <row r="135">
      <c r="A135" s="72" t="n">
        <v>132</v>
      </c>
      <c r="B135" s="72" t="n"/>
      <c r="C135" s="72">
        <f>IFERROR(XLOOKUP(B135,'Points Options'!$E:$E,'Points Options'!$A:$A),"")</f>
        <v/>
      </c>
      <c r="D135" s="72">
        <f>IFERROR(XLOOKUP(B135,'Points Options'!$E:$E,'Points Options'!$B:$B),"")</f>
        <v/>
      </c>
      <c r="E135" s="72">
        <f>IFERROR(XLOOKUP(B135,'Points Options'!$E:$E,'Points Options'!$C:$C),"")</f>
        <v/>
      </c>
      <c r="F135" s="73">
        <f>IFERROR(XLOOKUP(B135,'Points Options'!$E:$E,'Points Options'!$F:$F),"")</f>
        <v/>
      </c>
      <c r="G135" s="73" t="n">
        <v>1</v>
      </c>
      <c r="H135" s="73">
        <f>IF(B135="","",F135*G135)</f>
        <v/>
      </c>
      <c r="I135" s="72">
        <f>IFERROR(XLOOKUP(B135,'Points Options'!$E:$E,'Points Options'!$B:$B)&amp;" - "&amp;XLOOKUP(B135,'Points Options'!$E:$E,'Points Options'!$C:$C),"")</f>
        <v/>
      </c>
      <c r="J135" s="72">
        <f>IFERROR(XLOOKUP(B135,'Points Options'!$E:$E,'Points Options'!$G:$G),"")</f>
        <v/>
      </c>
      <c r="K135" s="72">
        <f>IFERROR(XLOOKUP(B135,'Points Options'!$E:$E,'Points Options'!$H:$H),"")</f>
        <v/>
      </c>
    </row>
    <row r="136">
      <c r="A136" s="72" t="n">
        <v>133</v>
      </c>
      <c r="B136" s="72" t="n"/>
      <c r="C136" s="72">
        <f>IFERROR(XLOOKUP(B136,'Points Options'!$E:$E,'Points Options'!$A:$A),"")</f>
        <v/>
      </c>
      <c r="D136" s="72">
        <f>IFERROR(XLOOKUP(B136,'Points Options'!$E:$E,'Points Options'!$B:$B),"")</f>
        <v/>
      </c>
      <c r="E136" s="72">
        <f>IFERROR(XLOOKUP(B136,'Points Options'!$E:$E,'Points Options'!$C:$C),"")</f>
        <v/>
      </c>
      <c r="F136" s="73">
        <f>IFERROR(XLOOKUP(B136,'Points Options'!$E:$E,'Points Options'!$F:$F),"")</f>
        <v/>
      </c>
      <c r="G136" s="73" t="n">
        <v>1</v>
      </c>
      <c r="H136" s="73">
        <f>IF(B136="","",F136*G136)</f>
        <v/>
      </c>
      <c r="I136" s="72">
        <f>IFERROR(XLOOKUP(B136,'Points Options'!$E:$E,'Points Options'!$B:$B)&amp;" - "&amp;XLOOKUP(B136,'Points Options'!$E:$E,'Points Options'!$C:$C),"")</f>
        <v/>
      </c>
      <c r="J136" s="72">
        <f>IFERROR(XLOOKUP(B136,'Points Options'!$E:$E,'Points Options'!$G:$G),"")</f>
        <v/>
      </c>
      <c r="K136" s="72">
        <f>IFERROR(XLOOKUP(B136,'Points Options'!$E:$E,'Points Options'!$H:$H),"")</f>
        <v/>
      </c>
    </row>
    <row r="137">
      <c r="A137" s="72" t="n">
        <v>134</v>
      </c>
      <c r="B137" s="72" t="n"/>
      <c r="C137" s="72">
        <f>IFERROR(XLOOKUP(B137,'Points Options'!$E:$E,'Points Options'!$A:$A),"")</f>
        <v/>
      </c>
      <c r="D137" s="72">
        <f>IFERROR(XLOOKUP(B137,'Points Options'!$E:$E,'Points Options'!$B:$B),"")</f>
        <v/>
      </c>
      <c r="E137" s="72">
        <f>IFERROR(XLOOKUP(B137,'Points Options'!$E:$E,'Points Options'!$C:$C),"")</f>
        <v/>
      </c>
      <c r="F137" s="73">
        <f>IFERROR(XLOOKUP(B137,'Points Options'!$E:$E,'Points Options'!$F:$F),"")</f>
        <v/>
      </c>
      <c r="G137" s="73" t="n">
        <v>1</v>
      </c>
      <c r="H137" s="73">
        <f>IF(B137="","",F137*G137)</f>
        <v/>
      </c>
      <c r="I137" s="72">
        <f>IFERROR(XLOOKUP(B137,'Points Options'!$E:$E,'Points Options'!$B:$B)&amp;" - "&amp;XLOOKUP(B137,'Points Options'!$E:$E,'Points Options'!$C:$C),"")</f>
        <v/>
      </c>
      <c r="J137" s="72">
        <f>IFERROR(XLOOKUP(B137,'Points Options'!$E:$E,'Points Options'!$G:$G),"")</f>
        <v/>
      </c>
      <c r="K137" s="72">
        <f>IFERROR(XLOOKUP(B137,'Points Options'!$E:$E,'Points Options'!$H:$H),"")</f>
        <v/>
      </c>
    </row>
    <row r="138">
      <c r="A138" s="72" t="n">
        <v>135</v>
      </c>
      <c r="B138" s="72" t="n"/>
      <c r="C138" s="72">
        <f>IFERROR(XLOOKUP(B138,'Points Options'!$E:$E,'Points Options'!$A:$A),"")</f>
        <v/>
      </c>
      <c r="D138" s="72">
        <f>IFERROR(XLOOKUP(B138,'Points Options'!$E:$E,'Points Options'!$B:$B),"")</f>
        <v/>
      </c>
      <c r="E138" s="72">
        <f>IFERROR(XLOOKUP(B138,'Points Options'!$E:$E,'Points Options'!$C:$C),"")</f>
        <v/>
      </c>
      <c r="F138" s="73">
        <f>IFERROR(XLOOKUP(B138,'Points Options'!$E:$E,'Points Options'!$F:$F),"")</f>
        <v/>
      </c>
      <c r="G138" s="73" t="n">
        <v>1</v>
      </c>
      <c r="H138" s="73">
        <f>IF(B138="","",F138*G138)</f>
        <v/>
      </c>
      <c r="I138" s="72">
        <f>IFERROR(XLOOKUP(B138,'Points Options'!$E:$E,'Points Options'!$B:$B)&amp;" - "&amp;XLOOKUP(B138,'Points Options'!$E:$E,'Points Options'!$C:$C),"")</f>
        <v/>
      </c>
      <c r="J138" s="72">
        <f>IFERROR(XLOOKUP(B138,'Points Options'!$E:$E,'Points Options'!$G:$G),"")</f>
        <v/>
      </c>
      <c r="K138" s="72">
        <f>IFERROR(XLOOKUP(B138,'Points Options'!$E:$E,'Points Options'!$H:$H),"")</f>
        <v/>
      </c>
    </row>
    <row r="139">
      <c r="A139" s="72" t="n">
        <v>136</v>
      </c>
      <c r="B139" s="72" t="n"/>
      <c r="C139" s="72">
        <f>IFERROR(XLOOKUP(B139,'Points Options'!$E:$E,'Points Options'!$A:$A),"")</f>
        <v/>
      </c>
      <c r="D139" s="72">
        <f>IFERROR(XLOOKUP(B139,'Points Options'!$E:$E,'Points Options'!$B:$B),"")</f>
        <v/>
      </c>
      <c r="E139" s="72">
        <f>IFERROR(XLOOKUP(B139,'Points Options'!$E:$E,'Points Options'!$C:$C),"")</f>
        <v/>
      </c>
      <c r="F139" s="73">
        <f>IFERROR(XLOOKUP(B139,'Points Options'!$E:$E,'Points Options'!$F:$F),"")</f>
        <v/>
      </c>
      <c r="G139" s="73" t="n">
        <v>1</v>
      </c>
      <c r="H139" s="73">
        <f>IF(B139="","",F139*G139)</f>
        <v/>
      </c>
      <c r="I139" s="72">
        <f>IFERROR(XLOOKUP(B139,'Points Options'!$E:$E,'Points Options'!$B:$B)&amp;" - "&amp;XLOOKUP(B139,'Points Options'!$E:$E,'Points Options'!$C:$C),"")</f>
        <v/>
      </c>
      <c r="J139" s="72">
        <f>IFERROR(XLOOKUP(B139,'Points Options'!$E:$E,'Points Options'!$G:$G),"")</f>
        <v/>
      </c>
      <c r="K139" s="72">
        <f>IFERROR(XLOOKUP(B139,'Points Options'!$E:$E,'Points Options'!$H:$H),"")</f>
        <v/>
      </c>
    </row>
    <row r="140">
      <c r="A140" s="72" t="n">
        <v>137</v>
      </c>
      <c r="B140" s="72" t="n"/>
      <c r="C140" s="72">
        <f>IFERROR(XLOOKUP(B140,'Points Options'!$E:$E,'Points Options'!$A:$A),"")</f>
        <v/>
      </c>
      <c r="D140" s="72">
        <f>IFERROR(XLOOKUP(B140,'Points Options'!$E:$E,'Points Options'!$B:$B),"")</f>
        <v/>
      </c>
      <c r="E140" s="72">
        <f>IFERROR(XLOOKUP(B140,'Points Options'!$E:$E,'Points Options'!$C:$C),"")</f>
        <v/>
      </c>
      <c r="F140" s="73">
        <f>IFERROR(XLOOKUP(B140,'Points Options'!$E:$E,'Points Options'!$F:$F),"")</f>
        <v/>
      </c>
      <c r="G140" s="73" t="n">
        <v>1</v>
      </c>
      <c r="H140" s="73">
        <f>IF(B140="","",F140*G140)</f>
        <v/>
      </c>
      <c r="I140" s="72">
        <f>IFERROR(XLOOKUP(B140,'Points Options'!$E:$E,'Points Options'!$B:$B)&amp;" - "&amp;XLOOKUP(B140,'Points Options'!$E:$E,'Points Options'!$C:$C),"")</f>
        <v/>
      </c>
      <c r="J140" s="72">
        <f>IFERROR(XLOOKUP(B140,'Points Options'!$E:$E,'Points Options'!$G:$G),"")</f>
        <v/>
      </c>
      <c r="K140" s="72">
        <f>IFERROR(XLOOKUP(B140,'Points Options'!$E:$E,'Points Options'!$H:$H),"")</f>
        <v/>
      </c>
    </row>
    <row r="141">
      <c r="A141" s="72" t="n">
        <v>138</v>
      </c>
      <c r="B141" s="72" t="n"/>
      <c r="C141" s="72">
        <f>IFERROR(XLOOKUP(B141,'Points Options'!$E:$E,'Points Options'!$A:$A),"")</f>
        <v/>
      </c>
      <c r="D141" s="72">
        <f>IFERROR(XLOOKUP(B141,'Points Options'!$E:$E,'Points Options'!$B:$B),"")</f>
        <v/>
      </c>
      <c r="E141" s="72">
        <f>IFERROR(XLOOKUP(B141,'Points Options'!$E:$E,'Points Options'!$C:$C),"")</f>
        <v/>
      </c>
      <c r="F141" s="73">
        <f>IFERROR(XLOOKUP(B141,'Points Options'!$E:$E,'Points Options'!$F:$F),"")</f>
        <v/>
      </c>
      <c r="G141" s="73" t="n">
        <v>1</v>
      </c>
      <c r="H141" s="73">
        <f>IF(B141="","",F141*G141)</f>
        <v/>
      </c>
      <c r="I141" s="72">
        <f>IFERROR(XLOOKUP(B141,'Points Options'!$E:$E,'Points Options'!$B:$B)&amp;" - "&amp;XLOOKUP(B141,'Points Options'!$E:$E,'Points Options'!$C:$C),"")</f>
        <v/>
      </c>
      <c r="J141" s="72">
        <f>IFERROR(XLOOKUP(B141,'Points Options'!$E:$E,'Points Options'!$G:$G),"")</f>
        <v/>
      </c>
      <c r="K141" s="72">
        <f>IFERROR(XLOOKUP(B141,'Points Options'!$E:$E,'Points Options'!$H:$H),"")</f>
        <v/>
      </c>
    </row>
    <row r="142">
      <c r="A142" s="72" t="n">
        <v>139</v>
      </c>
      <c r="B142" s="72" t="n"/>
      <c r="C142" s="72">
        <f>IFERROR(XLOOKUP(B142,'Points Options'!$E:$E,'Points Options'!$A:$A),"")</f>
        <v/>
      </c>
      <c r="D142" s="72">
        <f>IFERROR(XLOOKUP(B142,'Points Options'!$E:$E,'Points Options'!$B:$B),"")</f>
        <v/>
      </c>
      <c r="E142" s="72">
        <f>IFERROR(XLOOKUP(B142,'Points Options'!$E:$E,'Points Options'!$C:$C),"")</f>
        <v/>
      </c>
      <c r="F142" s="73">
        <f>IFERROR(XLOOKUP(B142,'Points Options'!$E:$E,'Points Options'!$F:$F),"")</f>
        <v/>
      </c>
      <c r="G142" s="73" t="n">
        <v>1</v>
      </c>
      <c r="H142" s="73">
        <f>IF(B142="","",F142*G142)</f>
        <v/>
      </c>
      <c r="I142" s="72">
        <f>IFERROR(XLOOKUP(B142,'Points Options'!$E:$E,'Points Options'!$B:$B)&amp;" - "&amp;XLOOKUP(B142,'Points Options'!$E:$E,'Points Options'!$C:$C),"")</f>
        <v/>
      </c>
      <c r="J142" s="72">
        <f>IFERROR(XLOOKUP(B142,'Points Options'!$E:$E,'Points Options'!$G:$G),"")</f>
        <v/>
      </c>
      <c r="K142" s="72">
        <f>IFERROR(XLOOKUP(B142,'Points Options'!$E:$E,'Points Options'!$H:$H),"")</f>
        <v/>
      </c>
    </row>
    <row r="143">
      <c r="A143" s="72" t="n">
        <v>140</v>
      </c>
      <c r="B143" s="72" t="n"/>
      <c r="C143" s="72">
        <f>IFERROR(XLOOKUP(B143,'Points Options'!$E:$E,'Points Options'!$A:$A),"")</f>
        <v/>
      </c>
      <c r="D143" s="72">
        <f>IFERROR(XLOOKUP(B143,'Points Options'!$E:$E,'Points Options'!$B:$B),"")</f>
        <v/>
      </c>
      <c r="E143" s="72">
        <f>IFERROR(XLOOKUP(B143,'Points Options'!$E:$E,'Points Options'!$C:$C),"")</f>
        <v/>
      </c>
      <c r="F143" s="73">
        <f>IFERROR(XLOOKUP(B143,'Points Options'!$E:$E,'Points Options'!$F:$F),"")</f>
        <v/>
      </c>
      <c r="G143" s="73" t="n">
        <v>1</v>
      </c>
      <c r="H143" s="73">
        <f>IF(B143="","",F143*G143)</f>
        <v/>
      </c>
      <c r="I143" s="72">
        <f>IFERROR(XLOOKUP(B143,'Points Options'!$E:$E,'Points Options'!$B:$B)&amp;" - "&amp;XLOOKUP(B143,'Points Options'!$E:$E,'Points Options'!$C:$C),"")</f>
        <v/>
      </c>
      <c r="J143" s="72">
        <f>IFERROR(XLOOKUP(B143,'Points Options'!$E:$E,'Points Options'!$G:$G),"")</f>
        <v/>
      </c>
      <c r="K143" s="72">
        <f>IFERROR(XLOOKUP(B143,'Points Options'!$E:$E,'Points Options'!$H:$H),"")</f>
        <v/>
      </c>
    </row>
    <row r="144">
      <c r="A144" s="72" t="n">
        <v>141</v>
      </c>
      <c r="B144" s="72" t="n"/>
      <c r="C144" s="72">
        <f>IFERROR(XLOOKUP(B144,'Points Options'!$E:$E,'Points Options'!$A:$A),"")</f>
        <v/>
      </c>
      <c r="D144" s="72">
        <f>IFERROR(XLOOKUP(B144,'Points Options'!$E:$E,'Points Options'!$B:$B),"")</f>
        <v/>
      </c>
      <c r="E144" s="72">
        <f>IFERROR(XLOOKUP(B144,'Points Options'!$E:$E,'Points Options'!$C:$C),"")</f>
        <v/>
      </c>
      <c r="F144" s="73">
        <f>IFERROR(XLOOKUP(B144,'Points Options'!$E:$E,'Points Options'!$F:$F),"")</f>
        <v/>
      </c>
      <c r="G144" s="73" t="n">
        <v>1</v>
      </c>
      <c r="H144" s="73">
        <f>IF(B144="","",F144*G144)</f>
        <v/>
      </c>
      <c r="I144" s="72">
        <f>IFERROR(XLOOKUP(B144,'Points Options'!$E:$E,'Points Options'!$B:$B)&amp;" - "&amp;XLOOKUP(B144,'Points Options'!$E:$E,'Points Options'!$C:$C),"")</f>
        <v/>
      </c>
      <c r="J144" s="72">
        <f>IFERROR(XLOOKUP(B144,'Points Options'!$E:$E,'Points Options'!$G:$G),"")</f>
        <v/>
      </c>
      <c r="K144" s="72">
        <f>IFERROR(XLOOKUP(B144,'Points Options'!$E:$E,'Points Options'!$H:$H),"")</f>
        <v/>
      </c>
    </row>
    <row r="145">
      <c r="A145" s="72" t="n">
        <v>142</v>
      </c>
      <c r="B145" s="72" t="n"/>
      <c r="C145" s="72">
        <f>IFERROR(XLOOKUP(B145,'Points Options'!$E:$E,'Points Options'!$A:$A),"")</f>
        <v/>
      </c>
      <c r="D145" s="72">
        <f>IFERROR(XLOOKUP(B145,'Points Options'!$E:$E,'Points Options'!$B:$B),"")</f>
        <v/>
      </c>
      <c r="E145" s="72">
        <f>IFERROR(XLOOKUP(B145,'Points Options'!$E:$E,'Points Options'!$C:$C),"")</f>
        <v/>
      </c>
      <c r="F145" s="73">
        <f>IFERROR(XLOOKUP(B145,'Points Options'!$E:$E,'Points Options'!$F:$F),"")</f>
        <v/>
      </c>
      <c r="G145" s="73" t="n">
        <v>1</v>
      </c>
      <c r="H145" s="73">
        <f>IF(B145="","",F145*G145)</f>
        <v/>
      </c>
      <c r="I145" s="72">
        <f>IFERROR(XLOOKUP(B145,'Points Options'!$E:$E,'Points Options'!$B:$B)&amp;" - "&amp;XLOOKUP(B145,'Points Options'!$E:$E,'Points Options'!$C:$C),"")</f>
        <v/>
      </c>
      <c r="J145" s="72">
        <f>IFERROR(XLOOKUP(B145,'Points Options'!$E:$E,'Points Options'!$G:$G),"")</f>
        <v/>
      </c>
      <c r="K145" s="72">
        <f>IFERROR(XLOOKUP(B145,'Points Options'!$E:$E,'Points Options'!$H:$H),"")</f>
        <v/>
      </c>
    </row>
    <row r="146">
      <c r="A146" s="72" t="n">
        <v>143</v>
      </c>
      <c r="B146" s="72" t="n"/>
      <c r="C146" s="72">
        <f>IFERROR(XLOOKUP(B146,'Points Options'!$E:$E,'Points Options'!$A:$A),"")</f>
        <v/>
      </c>
      <c r="D146" s="72">
        <f>IFERROR(XLOOKUP(B146,'Points Options'!$E:$E,'Points Options'!$B:$B),"")</f>
        <v/>
      </c>
      <c r="E146" s="72">
        <f>IFERROR(XLOOKUP(B146,'Points Options'!$E:$E,'Points Options'!$C:$C),"")</f>
        <v/>
      </c>
      <c r="F146" s="73">
        <f>IFERROR(XLOOKUP(B146,'Points Options'!$E:$E,'Points Options'!$F:$F),"")</f>
        <v/>
      </c>
      <c r="G146" s="73" t="n">
        <v>1</v>
      </c>
      <c r="H146" s="73">
        <f>IF(B146="","",F146*G146)</f>
        <v/>
      </c>
      <c r="I146" s="72">
        <f>IFERROR(XLOOKUP(B146,'Points Options'!$E:$E,'Points Options'!$B:$B)&amp;" - "&amp;XLOOKUP(B146,'Points Options'!$E:$E,'Points Options'!$C:$C),"")</f>
        <v/>
      </c>
      <c r="J146" s="72">
        <f>IFERROR(XLOOKUP(B146,'Points Options'!$E:$E,'Points Options'!$G:$G),"")</f>
        <v/>
      </c>
      <c r="K146" s="72">
        <f>IFERROR(XLOOKUP(B146,'Points Options'!$E:$E,'Points Options'!$H:$H),"")</f>
        <v/>
      </c>
    </row>
    <row r="147">
      <c r="A147" s="72" t="n">
        <v>144</v>
      </c>
      <c r="B147" s="72" t="n"/>
      <c r="C147" s="72">
        <f>IFERROR(XLOOKUP(B147,'Points Options'!$E:$E,'Points Options'!$A:$A),"")</f>
        <v/>
      </c>
      <c r="D147" s="72">
        <f>IFERROR(XLOOKUP(B147,'Points Options'!$E:$E,'Points Options'!$B:$B),"")</f>
        <v/>
      </c>
      <c r="E147" s="72">
        <f>IFERROR(XLOOKUP(B147,'Points Options'!$E:$E,'Points Options'!$C:$C),"")</f>
        <v/>
      </c>
      <c r="F147" s="73">
        <f>IFERROR(XLOOKUP(B147,'Points Options'!$E:$E,'Points Options'!$F:$F),"")</f>
        <v/>
      </c>
      <c r="G147" s="73" t="n">
        <v>1</v>
      </c>
      <c r="H147" s="73">
        <f>IF(B147="","",F147*G147)</f>
        <v/>
      </c>
      <c r="I147" s="72">
        <f>IFERROR(XLOOKUP(B147,'Points Options'!$E:$E,'Points Options'!$B:$B)&amp;" - "&amp;XLOOKUP(B147,'Points Options'!$E:$E,'Points Options'!$C:$C),"")</f>
        <v/>
      </c>
      <c r="J147" s="72">
        <f>IFERROR(XLOOKUP(B147,'Points Options'!$E:$E,'Points Options'!$G:$G),"")</f>
        <v/>
      </c>
      <c r="K147" s="72">
        <f>IFERROR(XLOOKUP(B147,'Points Options'!$E:$E,'Points Options'!$H:$H),"")</f>
        <v/>
      </c>
    </row>
    <row r="148">
      <c r="A148" s="72" t="n">
        <v>145</v>
      </c>
      <c r="B148" s="72" t="n"/>
      <c r="C148" s="72">
        <f>IFERROR(XLOOKUP(B148,'Points Options'!$E:$E,'Points Options'!$A:$A),"")</f>
        <v/>
      </c>
      <c r="D148" s="72">
        <f>IFERROR(XLOOKUP(B148,'Points Options'!$E:$E,'Points Options'!$B:$B),"")</f>
        <v/>
      </c>
      <c r="E148" s="72">
        <f>IFERROR(XLOOKUP(B148,'Points Options'!$E:$E,'Points Options'!$C:$C),"")</f>
        <v/>
      </c>
      <c r="F148" s="73">
        <f>IFERROR(XLOOKUP(B148,'Points Options'!$E:$E,'Points Options'!$F:$F),"")</f>
        <v/>
      </c>
      <c r="G148" s="73" t="n">
        <v>1</v>
      </c>
      <c r="H148" s="73">
        <f>IF(B148="","",F148*G148)</f>
        <v/>
      </c>
      <c r="I148" s="72">
        <f>IFERROR(XLOOKUP(B148,'Points Options'!$E:$E,'Points Options'!$B:$B)&amp;" - "&amp;XLOOKUP(B148,'Points Options'!$E:$E,'Points Options'!$C:$C),"")</f>
        <v/>
      </c>
      <c r="J148" s="72">
        <f>IFERROR(XLOOKUP(B148,'Points Options'!$E:$E,'Points Options'!$G:$G),"")</f>
        <v/>
      </c>
      <c r="K148" s="72">
        <f>IFERROR(XLOOKUP(B148,'Points Options'!$E:$E,'Points Options'!$H:$H),"")</f>
        <v/>
      </c>
    </row>
    <row r="149">
      <c r="A149" s="72" t="n">
        <v>146</v>
      </c>
      <c r="B149" s="72" t="n"/>
      <c r="C149" s="72">
        <f>IFERROR(XLOOKUP(B149,'Points Options'!$E:$E,'Points Options'!$A:$A),"")</f>
        <v/>
      </c>
      <c r="D149" s="72">
        <f>IFERROR(XLOOKUP(B149,'Points Options'!$E:$E,'Points Options'!$B:$B),"")</f>
        <v/>
      </c>
      <c r="E149" s="72">
        <f>IFERROR(XLOOKUP(B149,'Points Options'!$E:$E,'Points Options'!$C:$C),"")</f>
        <v/>
      </c>
      <c r="F149" s="73">
        <f>IFERROR(XLOOKUP(B149,'Points Options'!$E:$E,'Points Options'!$F:$F),"")</f>
        <v/>
      </c>
      <c r="G149" s="73" t="n">
        <v>1</v>
      </c>
      <c r="H149" s="73">
        <f>IF(B149="","",F149*G149)</f>
        <v/>
      </c>
      <c r="I149" s="72">
        <f>IFERROR(XLOOKUP(B149,'Points Options'!$E:$E,'Points Options'!$B:$B)&amp;" - "&amp;XLOOKUP(B149,'Points Options'!$E:$E,'Points Options'!$C:$C),"")</f>
        <v/>
      </c>
      <c r="J149" s="72">
        <f>IFERROR(XLOOKUP(B149,'Points Options'!$E:$E,'Points Options'!$G:$G),"")</f>
        <v/>
      </c>
      <c r="K149" s="72">
        <f>IFERROR(XLOOKUP(B149,'Points Options'!$E:$E,'Points Options'!$H:$H),"")</f>
        <v/>
      </c>
    </row>
    <row r="150">
      <c r="A150" s="72" t="n">
        <v>147</v>
      </c>
      <c r="B150" s="72" t="n"/>
      <c r="C150" s="72">
        <f>IFERROR(XLOOKUP(B150,'Points Options'!$E:$E,'Points Options'!$A:$A),"")</f>
        <v/>
      </c>
      <c r="D150" s="72">
        <f>IFERROR(XLOOKUP(B150,'Points Options'!$E:$E,'Points Options'!$B:$B),"")</f>
        <v/>
      </c>
      <c r="E150" s="72">
        <f>IFERROR(XLOOKUP(B150,'Points Options'!$E:$E,'Points Options'!$C:$C),"")</f>
        <v/>
      </c>
      <c r="F150" s="73">
        <f>IFERROR(XLOOKUP(B150,'Points Options'!$E:$E,'Points Options'!$F:$F),"")</f>
        <v/>
      </c>
      <c r="G150" s="73" t="n">
        <v>1</v>
      </c>
      <c r="H150" s="73">
        <f>IF(B150="","",F150*G150)</f>
        <v/>
      </c>
      <c r="I150" s="72">
        <f>IFERROR(XLOOKUP(B150,'Points Options'!$E:$E,'Points Options'!$B:$B)&amp;" - "&amp;XLOOKUP(B150,'Points Options'!$E:$E,'Points Options'!$C:$C),"")</f>
        <v/>
      </c>
      <c r="J150" s="72">
        <f>IFERROR(XLOOKUP(B150,'Points Options'!$E:$E,'Points Options'!$G:$G),"")</f>
        <v/>
      </c>
      <c r="K150" s="72">
        <f>IFERROR(XLOOKUP(B150,'Points Options'!$E:$E,'Points Options'!$H:$H),"")</f>
        <v/>
      </c>
    </row>
    <row r="151">
      <c r="A151" s="72" t="n">
        <v>148</v>
      </c>
      <c r="B151" s="72" t="n"/>
      <c r="C151" s="72">
        <f>IFERROR(XLOOKUP(B151,'Points Options'!$E:$E,'Points Options'!$A:$A),"")</f>
        <v/>
      </c>
      <c r="D151" s="72">
        <f>IFERROR(XLOOKUP(B151,'Points Options'!$E:$E,'Points Options'!$B:$B),"")</f>
        <v/>
      </c>
      <c r="E151" s="72">
        <f>IFERROR(XLOOKUP(B151,'Points Options'!$E:$E,'Points Options'!$C:$C),"")</f>
        <v/>
      </c>
      <c r="F151" s="73">
        <f>IFERROR(XLOOKUP(B151,'Points Options'!$E:$E,'Points Options'!$F:$F),"")</f>
        <v/>
      </c>
      <c r="G151" s="73" t="n">
        <v>1</v>
      </c>
      <c r="H151" s="73">
        <f>IF(B151="","",F151*G151)</f>
        <v/>
      </c>
      <c r="I151" s="72">
        <f>IFERROR(XLOOKUP(B151,'Points Options'!$E:$E,'Points Options'!$B:$B)&amp;" - "&amp;XLOOKUP(B151,'Points Options'!$E:$E,'Points Options'!$C:$C),"")</f>
        <v/>
      </c>
      <c r="J151" s="72">
        <f>IFERROR(XLOOKUP(B151,'Points Options'!$E:$E,'Points Options'!$G:$G),"")</f>
        <v/>
      </c>
      <c r="K151" s="72">
        <f>IFERROR(XLOOKUP(B151,'Points Options'!$E:$E,'Points Options'!$H:$H),"")</f>
        <v/>
      </c>
    </row>
    <row r="152">
      <c r="A152" s="72" t="n">
        <v>149</v>
      </c>
      <c r="B152" s="72" t="n"/>
      <c r="C152" s="72">
        <f>IFERROR(XLOOKUP(B152,'Points Options'!$E:$E,'Points Options'!$A:$A),"")</f>
        <v/>
      </c>
      <c r="D152" s="72">
        <f>IFERROR(XLOOKUP(B152,'Points Options'!$E:$E,'Points Options'!$B:$B),"")</f>
        <v/>
      </c>
      <c r="E152" s="72">
        <f>IFERROR(XLOOKUP(B152,'Points Options'!$E:$E,'Points Options'!$C:$C),"")</f>
        <v/>
      </c>
      <c r="F152" s="73">
        <f>IFERROR(XLOOKUP(B152,'Points Options'!$E:$E,'Points Options'!$F:$F),"")</f>
        <v/>
      </c>
      <c r="G152" s="73" t="n">
        <v>1</v>
      </c>
      <c r="H152" s="73">
        <f>IF(B152="","",F152*G152)</f>
        <v/>
      </c>
      <c r="I152" s="72">
        <f>IFERROR(XLOOKUP(B152,'Points Options'!$E:$E,'Points Options'!$B:$B)&amp;" - "&amp;XLOOKUP(B152,'Points Options'!$E:$E,'Points Options'!$C:$C),"")</f>
        <v/>
      </c>
      <c r="J152" s="72">
        <f>IFERROR(XLOOKUP(B152,'Points Options'!$E:$E,'Points Options'!$G:$G),"")</f>
        <v/>
      </c>
      <c r="K152" s="72">
        <f>IFERROR(XLOOKUP(B152,'Points Options'!$E:$E,'Points Options'!$H:$H),"")</f>
        <v/>
      </c>
    </row>
    <row r="153">
      <c r="A153" s="72" t="n">
        <v>150</v>
      </c>
      <c r="B153" s="72" t="n"/>
      <c r="C153" s="72">
        <f>IFERROR(XLOOKUP(B153,'Points Options'!$E:$E,'Points Options'!$A:$A),"")</f>
        <v/>
      </c>
      <c r="D153" s="72">
        <f>IFERROR(XLOOKUP(B153,'Points Options'!$E:$E,'Points Options'!$B:$B),"")</f>
        <v/>
      </c>
      <c r="E153" s="72">
        <f>IFERROR(XLOOKUP(B153,'Points Options'!$E:$E,'Points Options'!$C:$C),"")</f>
        <v/>
      </c>
      <c r="F153" s="73">
        <f>IFERROR(XLOOKUP(B153,'Points Options'!$E:$E,'Points Options'!$F:$F),"")</f>
        <v/>
      </c>
      <c r="G153" s="73" t="n">
        <v>1</v>
      </c>
      <c r="H153" s="73">
        <f>IF(B153="","",F153*G153)</f>
        <v/>
      </c>
      <c r="I153" s="72">
        <f>IFERROR(XLOOKUP(B153,'Points Options'!$E:$E,'Points Options'!$B:$B)&amp;" - "&amp;XLOOKUP(B153,'Points Options'!$E:$E,'Points Options'!$C:$C),"")</f>
        <v/>
      </c>
      <c r="J153" s="72">
        <f>IFERROR(XLOOKUP(B153,'Points Options'!$E:$E,'Points Options'!$G:$G),"")</f>
        <v/>
      </c>
      <c r="K153" s="72">
        <f>IFERROR(XLOOKUP(B153,'Points Options'!$E:$E,'Points Options'!$H:$H),"")</f>
        <v/>
      </c>
    </row>
    <row r="154">
      <c r="A154" s="72" t="n">
        <v>151</v>
      </c>
      <c r="B154" s="72" t="n"/>
      <c r="C154" s="72">
        <f>IFERROR(XLOOKUP(B154,'Points Options'!$E:$E,'Points Options'!$A:$A),"")</f>
        <v/>
      </c>
      <c r="D154" s="72">
        <f>IFERROR(XLOOKUP(B154,'Points Options'!$E:$E,'Points Options'!$B:$B),"")</f>
        <v/>
      </c>
      <c r="E154" s="72">
        <f>IFERROR(XLOOKUP(B154,'Points Options'!$E:$E,'Points Options'!$C:$C),"")</f>
        <v/>
      </c>
      <c r="F154" s="73">
        <f>IFERROR(XLOOKUP(B154,'Points Options'!$E:$E,'Points Options'!$F:$F),"")</f>
        <v/>
      </c>
      <c r="G154" s="73" t="n">
        <v>1</v>
      </c>
      <c r="H154" s="73">
        <f>IF(B154="","",F154*G154)</f>
        <v/>
      </c>
      <c r="I154" s="72">
        <f>IFERROR(XLOOKUP(B154,'Points Options'!$E:$E,'Points Options'!$B:$B)&amp;" - "&amp;XLOOKUP(B154,'Points Options'!$E:$E,'Points Options'!$C:$C),"")</f>
        <v/>
      </c>
      <c r="J154" s="72">
        <f>IFERROR(XLOOKUP(B154,'Points Options'!$E:$E,'Points Options'!$G:$G),"")</f>
        <v/>
      </c>
      <c r="K154" s="72">
        <f>IFERROR(XLOOKUP(B154,'Points Options'!$E:$E,'Points Options'!$H:$H),"")</f>
        <v/>
      </c>
    </row>
    <row r="155">
      <c r="A155" s="72" t="n">
        <v>152</v>
      </c>
      <c r="B155" s="72" t="n"/>
      <c r="C155" s="72">
        <f>IFERROR(XLOOKUP(B155,'Points Options'!$E:$E,'Points Options'!$A:$A),"")</f>
        <v/>
      </c>
      <c r="D155" s="72">
        <f>IFERROR(XLOOKUP(B155,'Points Options'!$E:$E,'Points Options'!$B:$B),"")</f>
        <v/>
      </c>
      <c r="E155" s="72">
        <f>IFERROR(XLOOKUP(B155,'Points Options'!$E:$E,'Points Options'!$C:$C),"")</f>
        <v/>
      </c>
      <c r="F155" s="73">
        <f>IFERROR(XLOOKUP(B155,'Points Options'!$E:$E,'Points Options'!$F:$F),"")</f>
        <v/>
      </c>
      <c r="G155" s="73" t="n">
        <v>1</v>
      </c>
      <c r="H155" s="73">
        <f>IF(B155="","",F155*G155)</f>
        <v/>
      </c>
      <c r="I155" s="72">
        <f>IFERROR(XLOOKUP(B155,'Points Options'!$E:$E,'Points Options'!$B:$B)&amp;" - "&amp;XLOOKUP(B155,'Points Options'!$E:$E,'Points Options'!$C:$C),"")</f>
        <v/>
      </c>
      <c r="J155" s="72">
        <f>IFERROR(XLOOKUP(B155,'Points Options'!$E:$E,'Points Options'!$G:$G),"")</f>
        <v/>
      </c>
      <c r="K155" s="72">
        <f>IFERROR(XLOOKUP(B155,'Points Options'!$E:$E,'Points Options'!$H:$H),"")</f>
        <v/>
      </c>
    </row>
    <row r="156">
      <c r="A156" s="72" t="n">
        <v>153</v>
      </c>
      <c r="B156" s="72" t="n"/>
      <c r="C156" s="72">
        <f>IFERROR(XLOOKUP(B156,'Points Options'!$E:$E,'Points Options'!$A:$A),"")</f>
        <v/>
      </c>
      <c r="D156" s="72">
        <f>IFERROR(XLOOKUP(B156,'Points Options'!$E:$E,'Points Options'!$B:$B),"")</f>
        <v/>
      </c>
      <c r="E156" s="72">
        <f>IFERROR(XLOOKUP(B156,'Points Options'!$E:$E,'Points Options'!$C:$C),"")</f>
        <v/>
      </c>
      <c r="F156" s="73">
        <f>IFERROR(XLOOKUP(B156,'Points Options'!$E:$E,'Points Options'!$F:$F),"")</f>
        <v/>
      </c>
      <c r="G156" s="73" t="n">
        <v>1</v>
      </c>
      <c r="H156" s="73">
        <f>IF(B156="","",F156*G156)</f>
        <v/>
      </c>
      <c r="I156" s="72">
        <f>IFERROR(XLOOKUP(B156,'Points Options'!$E:$E,'Points Options'!$B:$B)&amp;" - "&amp;XLOOKUP(B156,'Points Options'!$E:$E,'Points Options'!$C:$C),"")</f>
        <v/>
      </c>
      <c r="J156" s="72">
        <f>IFERROR(XLOOKUP(B156,'Points Options'!$E:$E,'Points Options'!$G:$G),"")</f>
        <v/>
      </c>
      <c r="K156" s="72">
        <f>IFERROR(XLOOKUP(B156,'Points Options'!$E:$E,'Points Options'!$H:$H),"")</f>
        <v/>
      </c>
    </row>
    <row r="157">
      <c r="A157" s="72" t="n">
        <v>154</v>
      </c>
      <c r="B157" s="72" t="n"/>
      <c r="C157" s="72">
        <f>IFERROR(XLOOKUP(B157,'Points Options'!$E:$E,'Points Options'!$A:$A),"")</f>
        <v/>
      </c>
      <c r="D157" s="72">
        <f>IFERROR(XLOOKUP(B157,'Points Options'!$E:$E,'Points Options'!$B:$B),"")</f>
        <v/>
      </c>
      <c r="E157" s="72">
        <f>IFERROR(XLOOKUP(B157,'Points Options'!$E:$E,'Points Options'!$C:$C),"")</f>
        <v/>
      </c>
      <c r="F157" s="73">
        <f>IFERROR(XLOOKUP(B157,'Points Options'!$E:$E,'Points Options'!$F:$F),"")</f>
        <v/>
      </c>
      <c r="G157" s="73" t="n">
        <v>1</v>
      </c>
      <c r="H157" s="73">
        <f>IF(B157="","",F157*G157)</f>
        <v/>
      </c>
      <c r="I157" s="72">
        <f>IFERROR(XLOOKUP(B157,'Points Options'!$E:$E,'Points Options'!$B:$B)&amp;" - "&amp;XLOOKUP(B157,'Points Options'!$E:$E,'Points Options'!$C:$C),"")</f>
        <v/>
      </c>
      <c r="J157" s="72">
        <f>IFERROR(XLOOKUP(B157,'Points Options'!$E:$E,'Points Options'!$G:$G),"")</f>
        <v/>
      </c>
      <c r="K157" s="72">
        <f>IFERROR(XLOOKUP(B157,'Points Options'!$E:$E,'Points Options'!$H:$H),"")</f>
        <v/>
      </c>
    </row>
    <row r="158">
      <c r="A158" s="72" t="n">
        <v>155</v>
      </c>
      <c r="B158" s="72" t="n"/>
      <c r="C158" s="72">
        <f>IFERROR(XLOOKUP(B158,'Points Options'!$E:$E,'Points Options'!$A:$A),"")</f>
        <v/>
      </c>
      <c r="D158" s="72">
        <f>IFERROR(XLOOKUP(B158,'Points Options'!$E:$E,'Points Options'!$B:$B),"")</f>
        <v/>
      </c>
      <c r="E158" s="72">
        <f>IFERROR(XLOOKUP(B158,'Points Options'!$E:$E,'Points Options'!$C:$C),"")</f>
        <v/>
      </c>
      <c r="F158" s="73">
        <f>IFERROR(XLOOKUP(B158,'Points Options'!$E:$E,'Points Options'!$F:$F),"")</f>
        <v/>
      </c>
      <c r="G158" s="73" t="n">
        <v>1</v>
      </c>
      <c r="H158" s="73">
        <f>IF(B158="","",F158*G158)</f>
        <v/>
      </c>
      <c r="I158" s="72">
        <f>IFERROR(XLOOKUP(B158,'Points Options'!$E:$E,'Points Options'!$B:$B)&amp;" - "&amp;XLOOKUP(B158,'Points Options'!$E:$E,'Points Options'!$C:$C),"")</f>
        <v/>
      </c>
      <c r="J158" s="72">
        <f>IFERROR(XLOOKUP(B158,'Points Options'!$E:$E,'Points Options'!$G:$G),"")</f>
        <v/>
      </c>
      <c r="K158" s="72">
        <f>IFERROR(XLOOKUP(B158,'Points Options'!$E:$E,'Points Options'!$H:$H),"")</f>
        <v/>
      </c>
    </row>
    <row r="159">
      <c r="A159" s="72" t="n">
        <v>156</v>
      </c>
      <c r="B159" s="72" t="n"/>
      <c r="C159" s="72">
        <f>IFERROR(XLOOKUP(B159,'Points Options'!$E:$E,'Points Options'!$A:$A),"")</f>
        <v/>
      </c>
      <c r="D159" s="72">
        <f>IFERROR(XLOOKUP(B159,'Points Options'!$E:$E,'Points Options'!$B:$B),"")</f>
        <v/>
      </c>
      <c r="E159" s="72">
        <f>IFERROR(XLOOKUP(B159,'Points Options'!$E:$E,'Points Options'!$C:$C),"")</f>
        <v/>
      </c>
      <c r="F159" s="73">
        <f>IFERROR(XLOOKUP(B159,'Points Options'!$E:$E,'Points Options'!$F:$F),"")</f>
        <v/>
      </c>
      <c r="G159" s="73" t="n">
        <v>1</v>
      </c>
      <c r="H159" s="73">
        <f>IF(B159="","",F159*G159)</f>
        <v/>
      </c>
      <c r="I159" s="72">
        <f>IFERROR(XLOOKUP(B159,'Points Options'!$E:$E,'Points Options'!$B:$B)&amp;" - "&amp;XLOOKUP(B159,'Points Options'!$E:$E,'Points Options'!$C:$C),"")</f>
        <v/>
      </c>
      <c r="J159" s="72">
        <f>IFERROR(XLOOKUP(B159,'Points Options'!$E:$E,'Points Options'!$G:$G),"")</f>
        <v/>
      </c>
      <c r="K159" s="72">
        <f>IFERROR(XLOOKUP(B159,'Points Options'!$E:$E,'Points Options'!$H:$H),"")</f>
        <v/>
      </c>
    </row>
    <row r="160">
      <c r="A160" s="72" t="n">
        <v>157</v>
      </c>
      <c r="B160" s="72" t="n"/>
      <c r="C160" s="72">
        <f>IFERROR(XLOOKUP(B160,'Points Options'!$E:$E,'Points Options'!$A:$A),"")</f>
        <v/>
      </c>
      <c r="D160" s="72">
        <f>IFERROR(XLOOKUP(B160,'Points Options'!$E:$E,'Points Options'!$B:$B),"")</f>
        <v/>
      </c>
      <c r="E160" s="72">
        <f>IFERROR(XLOOKUP(B160,'Points Options'!$E:$E,'Points Options'!$C:$C),"")</f>
        <v/>
      </c>
      <c r="F160" s="73">
        <f>IFERROR(XLOOKUP(B160,'Points Options'!$E:$E,'Points Options'!$F:$F),"")</f>
        <v/>
      </c>
      <c r="G160" s="73" t="n">
        <v>1</v>
      </c>
      <c r="H160" s="73">
        <f>IF(B160="","",F160*G160)</f>
        <v/>
      </c>
      <c r="I160" s="72">
        <f>IFERROR(XLOOKUP(B160,'Points Options'!$E:$E,'Points Options'!$B:$B)&amp;" - "&amp;XLOOKUP(B160,'Points Options'!$E:$E,'Points Options'!$C:$C),"")</f>
        <v/>
      </c>
      <c r="J160" s="72">
        <f>IFERROR(XLOOKUP(B160,'Points Options'!$E:$E,'Points Options'!$G:$G),"")</f>
        <v/>
      </c>
      <c r="K160" s="72">
        <f>IFERROR(XLOOKUP(B160,'Points Options'!$E:$E,'Points Options'!$H:$H),"")</f>
        <v/>
      </c>
    </row>
    <row r="161">
      <c r="A161" s="72" t="n">
        <v>158</v>
      </c>
      <c r="B161" s="72" t="n"/>
      <c r="C161" s="72">
        <f>IFERROR(XLOOKUP(B161,'Points Options'!$E:$E,'Points Options'!$A:$A),"")</f>
        <v/>
      </c>
      <c r="D161" s="72">
        <f>IFERROR(XLOOKUP(B161,'Points Options'!$E:$E,'Points Options'!$B:$B),"")</f>
        <v/>
      </c>
      <c r="E161" s="72">
        <f>IFERROR(XLOOKUP(B161,'Points Options'!$E:$E,'Points Options'!$C:$C),"")</f>
        <v/>
      </c>
      <c r="F161" s="73">
        <f>IFERROR(XLOOKUP(B161,'Points Options'!$E:$E,'Points Options'!$F:$F),"")</f>
        <v/>
      </c>
      <c r="G161" s="73" t="n">
        <v>1</v>
      </c>
      <c r="H161" s="73">
        <f>IF(B161="","",F161*G161)</f>
        <v/>
      </c>
      <c r="I161" s="72">
        <f>IFERROR(XLOOKUP(B161,'Points Options'!$E:$E,'Points Options'!$B:$B)&amp;" - "&amp;XLOOKUP(B161,'Points Options'!$E:$E,'Points Options'!$C:$C),"")</f>
        <v/>
      </c>
      <c r="J161" s="72">
        <f>IFERROR(XLOOKUP(B161,'Points Options'!$E:$E,'Points Options'!$G:$G),"")</f>
        <v/>
      </c>
      <c r="K161" s="72">
        <f>IFERROR(XLOOKUP(B161,'Points Options'!$E:$E,'Points Options'!$H:$H),"")</f>
        <v/>
      </c>
    </row>
    <row r="162">
      <c r="A162" s="72" t="n">
        <v>159</v>
      </c>
      <c r="B162" s="72" t="n"/>
      <c r="C162" s="72">
        <f>IFERROR(XLOOKUP(B162,'Points Options'!$E:$E,'Points Options'!$A:$A),"")</f>
        <v/>
      </c>
      <c r="D162" s="72">
        <f>IFERROR(XLOOKUP(B162,'Points Options'!$E:$E,'Points Options'!$B:$B),"")</f>
        <v/>
      </c>
      <c r="E162" s="72">
        <f>IFERROR(XLOOKUP(B162,'Points Options'!$E:$E,'Points Options'!$C:$C),"")</f>
        <v/>
      </c>
      <c r="F162" s="73">
        <f>IFERROR(XLOOKUP(B162,'Points Options'!$E:$E,'Points Options'!$F:$F),"")</f>
        <v/>
      </c>
      <c r="G162" s="73" t="n">
        <v>1</v>
      </c>
      <c r="H162" s="73">
        <f>IF(B162="","",F162*G162)</f>
        <v/>
      </c>
      <c r="I162" s="72">
        <f>IFERROR(XLOOKUP(B162,'Points Options'!$E:$E,'Points Options'!$B:$B)&amp;" - "&amp;XLOOKUP(B162,'Points Options'!$E:$E,'Points Options'!$C:$C),"")</f>
        <v/>
      </c>
      <c r="J162" s="72">
        <f>IFERROR(XLOOKUP(B162,'Points Options'!$E:$E,'Points Options'!$G:$G),"")</f>
        <v/>
      </c>
      <c r="K162" s="72">
        <f>IFERROR(XLOOKUP(B162,'Points Options'!$E:$E,'Points Options'!$H:$H),"")</f>
        <v/>
      </c>
    </row>
    <row r="163">
      <c r="A163" s="72" t="n">
        <v>160</v>
      </c>
      <c r="B163" s="72" t="n"/>
      <c r="C163" s="72">
        <f>IFERROR(XLOOKUP(B163,'Points Options'!$E:$E,'Points Options'!$A:$A),"")</f>
        <v/>
      </c>
      <c r="D163" s="72">
        <f>IFERROR(XLOOKUP(B163,'Points Options'!$E:$E,'Points Options'!$B:$B),"")</f>
        <v/>
      </c>
      <c r="E163" s="72">
        <f>IFERROR(XLOOKUP(B163,'Points Options'!$E:$E,'Points Options'!$C:$C),"")</f>
        <v/>
      </c>
      <c r="F163" s="73">
        <f>IFERROR(XLOOKUP(B163,'Points Options'!$E:$E,'Points Options'!$F:$F),"")</f>
        <v/>
      </c>
      <c r="G163" s="73" t="n">
        <v>1</v>
      </c>
      <c r="H163" s="73">
        <f>IF(B163="","",F163*G163)</f>
        <v/>
      </c>
      <c r="I163" s="72">
        <f>IFERROR(XLOOKUP(B163,'Points Options'!$E:$E,'Points Options'!$B:$B)&amp;" - "&amp;XLOOKUP(B163,'Points Options'!$E:$E,'Points Options'!$C:$C),"")</f>
        <v/>
      </c>
      <c r="J163" s="72">
        <f>IFERROR(XLOOKUP(B163,'Points Options'!$E:$E,'Points Options'!$G:$G),"")</f>
        <v/>
      </c>
      <c r="K163" s="72">
        <f>IFERROR(XLOOKUP(B163,'Points Options'!$E:$E,'Points Options'!$H:$H),"")</f>
        <v/>
      </c>
    </row>
    <row r="164">
      <c r="A164" s="72" t="n">
        <v>161</v>
      </c>
      <c r="B164" s="72" t="n"/>
      <c r="C164" s="72">
        <f>IFERROR(XLOOKUP(B164,'Points Options'!$E:$E,'Points Options'!$A:$A),"")</f>
        <v/>
      </c>
      <c r="D164" s="72">
        <f>IFERROR(XLOOKUP(B164,'Points Options'!$E:$E,'Points Options'!$B:$B),"")</f>
        <v/>
      </c>
      <c r="E164" s="72">
        <f>IFERROR(XLOOKUP(B164,'Points Options'!$E:$E,'Points Options'!$C:$C),"")</f>
        <v/>
      </c>
      <c r="F164" s="73">
        <f>IFERROR(XLOOKUP(B164,'Points Options'!$E:$E,'Points Options'!$F:$F),"")</f>
        <v/>
      </c>
      <c r="G164" s="73" t="n">
        <v>1</v>
      </c>
      <c r="H164" s="73">
        <f>IF(B164="","",F164*G164)</f>
        <v/>
      </c>
      <c r="I164" s="72">
        <f>IFERROR(XLOOKUP(B164,'Points Options'!$E:$E,'Points Options'!$B:$B)&amp;" - "&amp;XLOOKUP(B164,'Points Options'!$E:$E,'Points Options'!$C:$C),"")</f>
        <v/>
      </c>
      <c r="J164" s="72">
        <f>IFERROR(XLOOKUP(B164,'Points Options'!$E:$E,'Points Options'!$G:$G),"")</f>
        <v/>
      </c>
      <c r="K164" s="72">
        <f>IFERROR(XLOOKUP(B164,'Points Options'!$E:$E,'Points Options'!$H:$H),"")</f>
        <v/>
      </c>
    </row>
    <row r="165">
      <c r="A165" s="72" t="n">
        <v>162</v>
      </c>
      <c r="B165" s="72" t="n"/>
      <c r="C165" s="72">
        <f>IFERROR(XLOOKUP(B165,'Points Options'!$E:$E,'Points Options'!$A:$A),"")</f>
        <v/>
      </c>
      <c r="D165" s="72">
        <f>IFERROR(XLOOKUP(B165,'Points Options'!$E:$E,'Points Options'!$B:$B),"")</f>
        <v/>
      </c>
      <c r="E165" s="72">
        <f>IFERROR(XLOOKUP(B165,'Points Options'!$E:$E,'Points Options'!$C:$C),"")</f>
        <v/>
      </c>
      <c r="F165" s="73">
        <f>IFERROR(XLOOKUP(B165,'Points Options'!$E:$E,'Points Options'!$F:$F),"")</f>
        <v/>
      </c>
      <c r="G165" s="73" t="n">
        <v>1</v>
      </c>
      <c r="H165" s="73">
        <f>IF(B165="","",F165*G165)</f>
        <v/>
      </c>
      <c r="I165" s="72">
        <f>IFERROR(XLOOKUP(B165,'Points Options'!$E:$E,'Points Options'!$B:$B)&amp;" - "&amp;XLOOKUP(B165,'Points Options'!$E:$E,'Points Options'!$C:$C),"")</f>
        <v/>
      </c>
      <c r="J165" s="72">
        <f>IFERROR(XLOOKUP(B165,'Points Options'!$E:$E,'Points Options'!$G:$G),"")</f>
        <v/>
      </c>
      <c r="K165" s="72">
        <f>IFERROR(XLOOKUP(B165,'Points Options'!$E:$E,'Points Options'!$H:$H),"")</f>
        <v/>
      </c>
    </row>
    <row r="166">
      <c r="A166" s="72" t="n">
        <v>163</v>
      </c>
      <c r="B166" s="72" t="n"/>
      <c r="C166" s="72">
        <f>IFERROR(XLOOKUP(B166,'Points Options'!$E:$E,'Points Options'!$A:$A),"")</f>
        <v/>
      </c>
      <c r="D166" s="72">
        <f>IFERROR(XLOOKUP(B166,'Points Options'!$E:$E,'Points Options'!$B:$B),"")</f>
        <v/>
      </c>
      <c r="E166" s="72">
        <f>IFERROR(XLOOKUP(B166,'Points Options'!$E:$E,'Points Options'!$C:$C),"")</f>
        <v/>
      </c>
      <c r="F166" s="73">
        <f>IFERROR(XLOOKUP(B166,'Points Options'!$E:$E,'Points Options'!$F:$F),"")</f>
        <v/>
      </c>
      <c r="G166" s="73" t="n">
        <v>1</v>
      </c>
      <c r="H166" s="73">
        <f>IF(B166="","",F166*G166)</f>
        <v/>
      </c>
      <c r="I166" s="72">
        <f>IFERROR(XLOOKUP(B166,'Points Options'!$E:$E,'Points Options'!$B:$B)&amp;" - "&amp;XLOOKUP(B166,'Points Options'!$E:$E,'Points Options'!$C:$C),"")</f>
        <v/>
      </c>
      <c r="J166" s="72">
        <f>IFERROR(XLOOKUP(B166,'Points Options'!$E:$E,'Points Options'!$G:$G),"")</f>
        <v/>
      </c>
      <c r="K166" s="72">
        <f>IFERROR(XLOOKUP(B166,'Points Options'!$E:$E,'Points Options'!$H:$H),"")</f>
        <v/>
      </c>
    </row>
    <row r="167">
      <c r="A167" s="72" t="n">
        <v>164</v>
      </c>
      <c r="B167" s="72" t="n"/>
      <c r="C167" s="72">
        <f>IFERROR(XLOOKUP(B167,'Points Options'!$E:$E,'Points Options'!$A:$A),"")</f>
        <v/>
      </c>
      <c r="D167" s="72">
        <f>IFERROR(XLOOKUP(B167,'Points Options'!$E:$E,'Points Options'!$B:$B),"")</f>
        <v/>
      </c>
      <c r="E167" s="72">
        <f>IFERROR(XLOOKUP(B167,'Points Options'!$E:$E,'Points Options'!$C:$C),"")</f>
        <v/>
      </c>
      <c r="F167" s="73">
        <f>IFERROR(XLOOKUP(B167,'Points Options'!$E:$E,'Points Options'!$F:$F),"")</f>
        <v/>
      </c>
      <c r="G167" s="73" t="n">
        <v>1</v>
      </c>
      <c r="H167" s="73">
        <f>IF(B167="","",F167*G167)</f>
        <v/>
      </c>
      <c r="I167" s="72">
        <f>IFERROR(XLOOKUP(B167,'Points Options'!$E:$E,'Points Options'!$B:$B)&amp;" - "&amp;XLOOKUP(B167,'Points Options'!$E:$E,'Points Options'!$C:$C),"")</f>
        <v/>
      </c>
      <c r="J167" s="72">
        <f>IFERROR(XLOOKUP(B167,'Points Options'!$E:$E,'Points Options'!$G:$G),"")</f>
        <v/>
      </c>
      <c r="K167" s="72">
        <f>IFERROR(XLOOKUP(B167,'Points Options'!$E:$E,'Points Options'!$H:$H),"")</f>
        <v/>
      </c>
    </row>
    <row r="168">
      <c r="A168" s="72" t="n">
        <v>165</v>
      </c>
      <c r="B168" s="72" t="n"/>
      <c r="C168" s="72">
        <f>IFERROR(XLOOKUP(B168,'Points Options'!$E:$E,'Points Options'!$A:$A),"")</f>
        <v/>
      </c>
      <c r="D168" s="72">
        <f>IFERROR(XLOOKUP(B168,'Points Options'!$E:$E,'Points Options'!$B:$B),"")</f>
        <v/>
      </c>
      <c r="E168" s="72">
        <f>IFERROR(XLOOKUP(B168,'Points Options'!$E:$E,'Points Options'!$C:$C),"")</f>
        <v/>
      </c>
      <c r="F168" s="73">
        <f>IFERROR(XLOOKUP(B168,'Points Options'!$E:$E,'Points Options'!$F:$F),"")</f>
        <v/>
      </c>
      <c r="G168" s="73" t="n">
        <v>1</v>
      </c>
      <c r="H168" s="73">
        <f>IF(B168="","",F168*G168)</f>
        <v/>
      </c>
      <c r="I168" s="72">
        <f>IFERROR(XLOOKUP(B168,'Points Options'!$E:$E,'Points Options'!$B:$B)&amp;" - "&amp;XLOOKUP(B168,'Points Options'!$E:$E,'Points Options'!$C:$C),"")</f>
        <v/>
      </c>
      <c r="J168" s="72">
        <f>IFERROR(XLOOKUP(B168,'Points Options'!$E:$E,'Points Options'!$G:$G),"")</f>
        <v/>
      </c>
      <c r="K168" s="72">
        <f>IFERROR(XLOOKUP(B168,'Points Options'!$E:$E,'Points Options'!$H:$H),"")</f>
        <v/>
      </c>
    </row>
    <row r="169">
      <c r="A169" s="72" t="n">
        <v>166</v>
      </c>
      <c r="B169" s="72" t="n"/>
      <c r="C169" s="72">
        <f>IFERROR(XLOOKUP(B169,'Points Options'!$E:$E,'Points Options'!$A:$A),"")</f>
        <v/>
      </c>
      <c r="D169" s="72">
        <f>IFERROR(XLOOKUP(B169,'Points Options'!$E:$E,'Points Options'!$B:$B),"")</f>
        <v/>
      </c>
      <c r="E169" s="72">
        <f>IFERROR(XLOOKUP(B169,'Points Options'!$E:$E,'Points Options'!$C:$C),"")</f>
        <v/>
      </c>
      <c r="F169" s="73">
        <f>IFERROR(XLOOKUP(B169,'Points Options'!$E:$E,'Points Options'!$F:$F),"")</f>
        <v/>
      </c>
      <c r="G169" s="73" t="n">
        <v>1</v>
      </c>
      <c r="H169" s="73">
        <f>IF(B169="","",F169*G169)</f>
        <v/>
      </c>
      <c r="I169" s="72">
        <f>IFERROR(XLOOKUP(B169,'Points Options'!$E:$E,'Points Options'!$B:$B)&amp;" - "&amp;XLOOKUP(B169,'Points Options'!$E:$E,'Points Options'!$C:$C),"")</f>
        <v/>
      </c>
      <c r="J169" s="72">
        <f>IFERROR(XLOOKUP(B169,'Points Options'!$E:$E,'Points Options'!$G:$G),"")</f>
        <v/>
      </c>
      <c r="K169" s="72">
        <f>IFERROR(XLOOKUP(B169,'Points Options'!$E:$E,'Points Options'!$H:$H),"")</f>
        <v/>
      </c>
    </row>
    <row r="170">
      <c r="A170" s="72" t="n">
        <v>167</v>
      </c>
      <c r="B170" s="72" t="n"/>
      <c r="C170" s="72">
        <f>IFERROR(XLOOKUP(B170,'Points Options'!$E:$E,'Points Options'!$A:$A),"")</f>
        <v/>
      </c>
      <c r="D170" s="72">
        <f>IFERROR(XLOOKUP(B170,'Points Options'!$E:$E,'Points Options'!$B:$B),"")</f>
        <v/>
      </c>
      <c r="E170" s="72">
        <f>IFERROR(XLOOKUP(B170,'Points Options'!$E:$E,'Points Options'!$C:$C),"")</f>
        <v/>
      </c>
      <c r="F170" s="73">
        <f>IFERROR(XLOOKUP(B170,'Points Options'!$E:$E,'Points Options'!$F:$F),"")</f>
        <v/>
      </c>
      <c r="G170" s="73" t="n">
        <v>1</v>
      </c>
      <c r="H170" s="73">
        <f>IF(B170="","",F170*G170)</f>
        <v/>
      </c>
      <c r="I170" s="72">
        <f>IFERROR(XLOOKUP(B170,'Points Options'!$E:$E,'Points Options'!$B:$B)&amp;" - "&amp;XLOOKUP(B170,'Points Options'!$E:$E,'Points Options'!$C:$C),"")</f>
        <v/>
      </c>
      <c r="J170" s="72">
        <f>IFERROR(XLOOKUP(B170,'Points Options'!$E:$E,'Points Options'!$G:$G),"")</f>
        <v/>
      </c>
      <c r="K170" s="72">
        <f>IFERROR(XLOOKUP(B170,'Points Options'!$E:$E,'Points Options'!$H:$H),"")</f>
        <v/>
      </c>
    </row>
    <row r="171">
      <c r="A171" s="72" t="n">
        <v>168</v>
      </c>
      <c r="B171" s="72" t="n"/>
      <c r="C171" s="72">
        <f>IFERROR(XLOOKUP(B171,'Points Options'!$E:$E,'Points Options'!$A:$A),"")</f>
        <v/>
      </c>
      <c r="D171" s="72">
        <f>IFERROR(XLOOKUP(B171,'Points Options'!$E:$E,'Points Options'!$B:$B),"")</f>
        <v/>
      </c>
      <c r="E171" s="72">
        <f>IFERROR(XLOOKUP(B171,'Points Options'!$E:$E,'Points Options'!$C:$C),"")</f>
        <v/>
      </c>
      <c r="F171" s="73">
        <f>IFERROR(XLOOKUP(B171,'Points Options'!$E:$E,'Points Options'!$F:$F),"")</f>
        <v/>
      </c>
      <c r="G171" s="73" t="n">
        <v>1</v>
      </c>
      <c r="H171" s="73">
        <f>IF(B171="","",F171*G171)</f>
        <v/>
      </c>
      <c r="I171" s="72">
        <f>IFERROR(XLOOKUP(B171,'Points Options'!$E:$E,'Points Options'!$B:$B)&amp;" - "&amp;XLOOKUP(B171,'Points Options'!$E:$E,'Points Options'!$C:$C),"")</f>
        <v/>
      </c>
      <c r="J171" s="72">
        <f>IFERROR(XLOOKUP(B171,'Points Options'!$E:$E,'Points Options'!$G:$G),"")</f>
        <v/>
      </c>
      <c r="K171" s="72">
        <f>IFERROR(XLOOKUP(B171,'Points Options'!$E:$E,'Points Options'!$H:$H),"")</f>
        <v/>
      </c>
    </row>
    <row r="172">
      <c r="A172" s="72" t="n">
        <v>169</v>
      </c>
      <c r="B172" s="72" t="n"/>
      <c r="C172" s="72">
        <f>IFERROR(XLOOKUP(B172,'Points Options'!$E:$E,'Points Options'!$A:$A),"")</f>
        <v/>
      </c>
      <c r="D172" s="72">
        <f>IFERROR(XLOOKUP(B172,'Points Options'!$E:$E,'Points Options'!$B:$B),"")</f>
        <v/>
      </c>
      <c r="E172" s="72">
        <f>IFERROR(XLOOKUP(B172,'Points Options'!$E:$E,'Points Options'!$C:$C),"")</f>
        <v/>
      </c>
      <c r="F172" s="73">
        <f>IFERROR(XLOOKUP(B172,'Points Options'!$E:$E,'Points Options'!$F:$F),"")</f>
        <v/>
      </c>
      <c r="G172" s="73" t="n">
        <v>1</v>
      </c>
      <c r="H172" s="73">
        <f>IF(B172="","",F172*G172)</f>
        <v/>
      </c>
      <c r="I172" s="72">
        <f>IFERROR(XLOOKUP(B172,'Points Options'!$E:$E,'Points Options'!$B:$B)&amp;" - "&amp;XLOOKUP(B172,'Points Options'!$E:$E,'Points Options'!$C:$C),"")</f>
        <v/>
      </c>
      <c r="J172" s="72">
        <f>IFERROR(XLOOKUP(B172,'Points Options'!$E:$E,'Points Options'!$G:$G),"")</f>
        <v/>
      </c>
      <c r="K172" s="72">
        <f>IFERROR(XLOOKUP(B172,'Points Options'!$E:$E,'Points Options'!$H:$H),"")</f>
        <v/>
      </c>
    </row>
    <row r="173">
      <c r="A173" s="72" t="n">
        <v>170</v>
      </c>
      <c r="B173" s="72" t="n"/>
      <c r="C173" s="72">
        <f>IFERROR(XLOOKUP(B173,'Points Options'!$E:$E,'Points Options'!$A:$A),"")</f>
        <v/>
      </c>
      <c r="D173" s="72">
        <f>IFERROR(XLOOKUP(B173,'Points Options'!$E:$E,'Points Options'!$B:$B),"")</f>
        <v/>
      </c>
      <c r="E173" s="72">
        <f>IFERROR(XLOOKUP(B173,'Points Options'!$E:$E,'Points Options'!$C:$C),"")</f>
        <v/>
      </c>
      <c r="F173" s="73">
        <f>IFERROR(XLOOKUP(B173,'Points Options'!$E:$E,'Points Options'!$F:$F),"")</f>
        <v/>
      </c>
      <c r="G173" s="73" t="n">
        <v>1</v>
      </c>
      <c r="H173" s="73">
        <f>IF(B173="","",F173*G173)</f>
        <v/>
      </c>
      <c r="I173" s="72">
        <f>IFERROR(XLOOKUP(B173,'Points Options'!$E:$E,'Points Options'!$B:$B)&amp;" - "&amp;XLOOKUP(B173,'Points Options'!$E:$E,'Points Options'!$C:$C),"")</f>
        <v/>
      </c>
      <c r="J173" s="72">
        <f>IFERROR(XLOOKUP(B173,'Points Options'!$E:$E,'Points Options'!$G:$G),"")</f>
        <v/>
      </c>
      <c r="K173" s="72">
        <f>IFERROR(XLOOKUP(B173,'Points Options'!$E:$E,'Points Options'!$H:$H),"")</f>
        <v/>
      </c>
    </row>
    <row r="174">
      <c r="A174" s="72" t="n">
        <v>171</v>
      </c>
      <c r="B174" s="72" t="n"/>
      <c r="C174" s="72">
        <f>IFERROR(XLOOKUP(B174,'Points Options'!$E:$E,'Points Options'!$A:$A),"")</f>
        <v/>
      </c>
      <c r="D174" s="72">
        <f>IFERROR(XLOOKUP(B174,'Points Options'!$E:$E,'Points Options'!$B:$B),"")</f>
        <v/>
      </c>
      <c r="E174" s="72">
        <f>IFERROR(XLOOKUP(B174,'Points Options'!$E:$E,'Points Options'!$C:$C),"")</f>
        <v/>
      </c>
      <c r="F174" s="73">
        <f>IFERROR(XLOOKUP(B174,'Points Options'!$E:$E,'Points Options'!$F:$F),"")</f>
        <v/>
      </c>
      <c r="G174" s="73" t="n">
        <v>1</v>
      </c>
      <c r="H174" s="73">
        <f>IF(B174="","",F174*G174)</f>
        <v/>
      </c>
      <c r="I174" s="72">
        <f>IFERROR(XLOOKUP(B174,'Points Options'!$E:$E,'Points Options'!$B:$B)&amp;" - "&amp;XLOOKUP(B174,'Points Options'!$E:$E,'Points Options'!$C:$C),"")</f>
        <v/>
      </c>
      <c r="J174" s="72">
        <f>IFERROR(XLOOKUP(B174,'Points Options'!$E:$E,'Points Options'!$G:$G),"")</f>
        <v/>
      </c>
      <c r="K174" s="72">
        <f>IFERROR(XLOOKUP(B174,'Points Options'!$E:$E,'Points Options'!$H:$H),"")</f>
        <v/>
      </c>
    </row>
    <row r="175">
      <c r="A175" s="72" t="n">
        <v>172</v>
      </c>
      <c r="B175" s="72" t="n"/>
      <c r="C175" s="72">
        <f>IFERROR(XLOOKUP(B175,'Points Options'!$E:$E,'Points Options'!$A:$A),"")</f>
        <v/>
      </c>
      <c r="D175" s="72">
        <f>IFERROR(XLOOKUP(B175,'Points Options'!$E:$E,'Points Options'!$B:$B),"")</f>
        <v/>
      </c>
      <c r="E175" s="72">
        <f>IFERROR(XLOOKUP(B175,'Points Options'!$E:$E,'Points Options'!$C:$C),"")</f>
        <v/>
      </c>
      <c r="F175" s="73">
        <f>IFERROR(XLOOKUP(B175,'Points Options'!$E:$E,'Points Options'!$F:$F),"")</f>
        <v/>
      </c>
      <c r="G175" s="73" t="n">
        <v>1</v>
      </c>
      <c r="H175" s="73">
        <f>IF(B175="","",F175*G175)</f>
        <v/>
      </c>
      <c r="I175" s="72">
        <f>IFERROR(XLOOKUP(B175,'Points Options'!$E:$E,'Points Options'!$B:$B)&amp;" - "&amp;XLOOKUP(B175,'Points Options'!$E:$E,'Points Options'!$C:$C),"")</f>
        <v/>
      </c>
      <c r="J175" s="72">
        <f>IFERROR(XLOOKUP(B175,'Points Options'!$E:$E,'Points Options'!$G:$G),"")</f>
        <v/>
      </c>
      <c r="K175" s="72">
        <f>IFERROR(XLOOKUP(B175,'Points Options'!$E:$E,'Points Options'!$H:$H),"")</f>
        <v/>
      </c>
    </row>
    <row r="176">
      <c r="A176" s="72" t="n">
        <v>173</v>
      </c>
      <c r="B176" s="72" t="n"/>
      <c r="C176" s="72">
        <f>IFERROR(XLOOKUP(B176,'Points Options'!$E:$E,'Points Options'!$A:$A),"")</f>
        <v/>
      </c>
      <c r="D176" s="72">
        <f>IFERROR(XLOOKUP(B176,'Points Options'!$E:$E,'Points Options'!$B:$B),"")</f>
        <v/>
      </c>
      <c r="E176" s="72">
        <f>IFERROR(XLOOKUP(B176,'Points Options'!$E:$E,'Points Options'!$C:$C),"")</f>
        <v/>
      </c>
      <c r="F176" s="73">
        <f>IFERROR(XLOOKUP(B176,'Points Options'!$E:$E,'Points Options'!$F:$F),"")</f>
        <v/>
      </c>
      <c r="G176" s="73" t="n">
        <v>1</v>
      </c>
      <c r="H176" s="73">
        <f>IF(B176="","",F176*G176)</f>
        <v/>
      </c>
      <c r="I176" s="72">
        <f>IFERROR(XLOOKUP(B176,'Points Options'!$E:$E,'Points Options'!$B:$B)&amp;" - "&amp;XLOOKUP(B176,'Points Options'!$E:$E,'Points Options'!$C:$C),"")</f>
        <v/>
      </c>
      <c r="J176" s="72">
        <f>IFERROR(XLOOKUP(B176,'Points Options'!$E:$E,'Points Options'!$G:$G),"")</f>
        <v/>
      </c>
      <c r="K176" s="72">
        <f>IFERROR(XLOOKUP(B176,'Points Options'!$E:$E,'Points Options'!$H:$H),"")</f>
        <v/>
      </c>
    </row>
    <row r="177">
      <c r="A177" s="72" t="n">
        <v>174</v>
      </c>
      <c r="B177" s="72" t="n"/>
      <c r="C177" s="72">
        <f>IFERROR(XLOOKUP(B177,'Points Options'!$E:$E,'Points Options'!$A:$A),"")</f>
        <v/>
      </c>
      <c r="D177" s="72">
        <f>IFERROR(XLOOKUP(B177,'Points Options'!$E:$E,'Points Options'!$B:$B),"")</f>
        <v/>
      </c>
      <c r="E177" s="72">
        <f>IFERROR(XLOOKUP(B177,'Points Options'!$E:$E,'Points Options'!$C:$C),"")</f>
        <v/>
      </c>
      <c r="F177" s="73">
        <f>IFERROR(XLOOKUP(B177,'Points Options'!$E:$E,'Points Options'!$F:$F),"")</f>
        <v/>
      </c>
      <c r="G177" s="73" t="n">
        <v>1</v>
      </c>
      <c r="H177" s="73">
        <f>IF(B177="","",F177*G177)</f>
        <v/>
      </c>
      <c r="I177" s="72">
        <f>IFERROR(XLOOKUP(B177,'Points Options'!$E:$E,'Points Options'!$B:$B)&amp;" - "&amp;XLOOKUP(B177,'Points Options'!$E:$E,'Points Options'!$C:$C),"")</f>
        <v/>
      </c>
      <c r="J177" s="72">
        <f>IFERROR(XLOOKUP(B177,'Points Options'!$E:$E,'Points Options'!$G:$G),"")</f>
        <v/>
      </c>
      <c r="K177" s="72">
        <f>IFERROR(XLOOKUP(B177,'Points Options'!$E:$E,'Points Options'!$H:$H),"")</f>
        <v/>
      </c>
    </row>
    <row r="178">
      <c r="A178" s="72" t="n">
        <v>175</v>
      </c>
      <c r="B178" s="72" t="n"/>
      <c r="C178" s="72">
        <f>IFERROR(XLOOKUP(B178,'Points Options'!$E:$E,'Points Options'!$A:$A),"")</f>
        <v/>
      </c>
      <c r="D178" s="72">
        <f>IFERROR(XLOOKUP(B178,'Points Options'!$E:$E,'Points Options'!$B:$B),"")</f>
        <v/>
      </c>
      <c r="E178" s="72">
        <f>IFERROR(XLOOKUP(B178,'Points Options'!$E:$E,'Points Options'!$C:$C),"")</f>
        <v/>
      </c>
      <c r="F178" s="73">
        <f>IFERROR(XLOOKUP(B178,'Points Options'!$E:$E,'Points Options'!$F:$F),"")</f>
        <v/>
      </c>
      <c r="G178" s="73" t="n">
        <v>1</v>
      </c>
      <c r="H178" s="73">
        <f>IF(B178="","",F178*G178)</f>
        <v/>
      </c>
      <c r="I178" s="72">
        <f>IFERROR(XLOOKUP(B178,'Points Options'!$E:$E,'Points Options'!$B:$B)&amp;" - "&amp;XLOOKUP(B178,'Points Options'!$E:$E,'Points Options'!$C:$C),"")</f>
        <v/>
      </c>
      <c r="J178" s="72">
        <f>IFERROR(XLOOKUP(B178,'Points Options'!$E:$E,'Points Options'!$G:$G),"")</f>
        <v/>
      </c>
      <c r="K178" s="72">
        <f>IFERROR(XLOOKUP(B178,'Points Options'!$E:$E,'Points Options'!$H:$H),"")</f>
        <v/>
      </c>
    </row>
    <row r="179">
      <c r="A179" s="72" t="n">
        <v>176</v>
      </c>
      <c r="B179" s="72" t="n"/>
      <c r="C179" s="72">
        <f>IFERROR(XLOOKUP(B179,'Points Options'!$E:$E,'Points Options'!$A:$A),"")</f>
        <v/>
      </c>
      <c r="D179" s="72">
        <f>IFERROR(XLOOKUP(B179,'Points Options'!$E:$E,'Points Options'!$B:$B),"")</f>
        <v/>
      </c>
      <c r="E179" s="72">
        <f>IFERROR(XLOOKUP(B179,'Points Options'!$E:$E,'Points Options'!$C:$C),"")</f>
        <v/>
      </c>
      <c r="F179" s="73">
        <f>IFERROR(XLOOKUP(B179,'Points Options'!$E:$E,'Points Options'!$F:$F),"")</f>
        <v/>
      </c>
      <c r="G179" s="73" t="n">
        <v>1</v>
      </c>
      <c r="H179" s="73">
        <f>IF(B179="","",F179*G179)</f>
        <v/>
      </c>
      <c r="I179" s="72">
        <f>IFERROR(XLOOKUP(B179,'Points Options'!$E:$E,'Points Options'!$B:$B)&amp;" - "&amp;XLOOKUP(B179,'Points Options'!$E:$E,'Points Options'!$C:$C),"")</f>
        <v/>
      </c>
      <c r="J179" s="72">
        <f>IFERROR(XLOOKUP(B179,'Points Options'!$E:$E,'Points Options'!$G:$G),"")</f>
        <v/>
      </c>
      <c r="K179" s="72">
        <f>IFERROR(XLOOKUP(B179,'Points Options'!$E:$E,'Points Options'!$H:$H),"")</f>
        <v/>
      </c>
    </row>
    <row r="180">
      <c r="A180" s="72" t="n">
        <v>177</v>
      </c>
      <c r="B180" s="72" t="n"/>
      <c r="C180" s="72">
        <f>IFERROR(XLOOKUP(B180,'Points Options'!$E:$E,'Points Options'!$A:$A),"")</f>
        <v/>
      </c>
      <c r="D180" s="72">
        <f>IFERROR(XLOOKUP(B180,'Points Options'!$E:$E,'Points Options'!$B:$B),"")</f>
        <v/>
      </c>
      <c r="E180" s="72">
        <f>IFERROR(XLOOKUP(B180,'Points Options'!$E:$E,'Points Options'!$C:$C),"")</f>
        <v/>
      </c>
      <c r="F180" s="73">
        <f>IFERROR(XLOOKUP(B180,'Points Options'!$E:$E,'Points Options'!$F:$F),"")</f>
        <v/>
      </c>
      <c r="G180" s="73" t="n">
        <v>1</v>
      </c>
      <c r="H180" s="73">
        <f>IF(B180="","",F180*G180)</f>
        <v/>
      </c>
      <c r="I180" s="72">
        <f>IFERROR(XLOOKUP(B180,'Points Options'!$E:$E,'Points Options'!$B:$B)&amp;" - "&amp;XLOOKUP(B180,'Points Options'!$E:$E,'Points Options'!$C:$C),"")</f>
        <v/>
      </c>
      <c r="J180" s="72">
        <f>IFERROR(XLOOKUP(B180,'Points Options'!$E:$E,'Points Options'!$G:$G),"")</f>
        <v/>
      </c>
      <c r="K180" s="72">
        <f>IFERROR(XLOOKUP(B180,'Points Options'!$E:$E,'Points Options'!$H:$H),"")</f>
        <v/>
      </c>
    </row>
    <row r="181">
      <c r="A181" s="72" t="n">
        <v>178</v>
      </c>
      <c r="B181" s="72" t="n"/>
      <c r="C181" s="72">
        <f>IFERROR(XLOOKUP(B181,'Points Options'!$E:$E,'Points Options'!$A:$A),"")</f>
        <v/>
      </c>
      <c r="D181" s="72">
        <f>IFERROR(XLOOKUP(B181,'Points Options'!$E:$E,'Points Options'!$B:$B),"")</f>
        <v/>
      </c>
      <c r="E181" s="72">
        <f>IFERROR(XLOOKUP(B181,'Points Options'!$E:$E,'Points Options'!$C:$C),"")</f>
        <v/>
      </c>
      <c r="F181" s="73">
        <f>IFERROR(XLOOKUP(B181,'Points Options'!$E:$E,'Points Options'!$F:$F),"")</f>
        <v/>
      </c>
      <c r="G181" s="73" t="n">
        <v>1</v>
      </c>
      <c r="H181" s="73">
        <f>IF(B181="","",F181*G181)</f>
        <v/>
      </c>
      <c r="I181" s="72">
        <f>IFERROR(XLOOKUP(B181,'Points Options'!$E:$E,'Points Options'!$B:$B)&amp;" - "&amp;XLOOKUP(B181,'Points Options'!$E:$E,'Points Options'!$C:$C),"")</f>
        <v/>
      </c>
      <c r="J181" s="72">
        <f>IFERROR(XLOOKUP(B181,'Points Options'!$E:$E,'Points Options'!$G:$G),"")</f>
        <v/>
      </c>
      <c r="K181" s="72">
        <f>IFERROR(XLOOKUP(B181,'Points Options'!$E:$E,'Points Options'!$H:$H),"")</f>
        <v/>
      </c>
    </row>
    <row r="182">
      <c r="A182" s="72" t="n">
        <v>179</v>
      </c>
      <c r="B182" s="72" t="n"/>
      <c r="C182" s="72">
        <f>IFERROR(XLOOKUP(B182,'Points Options'!$E:$E,'Points Options'!$A:$A),"")</f>
        <v/>
      </c>
      <c r="D182" s="72">
        <f>IFERROR(XLOOKUP(B182,'Points Options'!$E:$E,'Points Options'!$B:$B),"")</f>
        <v/>
      </c>
      <c r="E182" s="72">
        <f>IFERROR(XLOOKUP(B182,'Points Options'!$E:$E,'Points Options'!$C:$C),"")</f>
        <v/>
      </c>
      <c r="F182" s="73">
        <f>IFERROR(XLOOKUP(B182,'Points Options'!$E:$E,'Points Options'!$F:$F),"")</f>
        <v/>
      </c>
      <c r="G182" s="73" t="n">
        <v>1</v>
      </c>
      <c r="H182" s="73">
        <f>IF(B182="","",F182*G182)</f>
        <v/>
      </c>
      <c r="I182" s="72">
        <f>IFERROR(XLOOKUP(B182,'Points Options'!$E:$E,'Points Options'!$B:$B)&amp;" - "&amp;XLOOKUP(B182,'Points Options'!$E:$E,'Points Options'!$C:$C),"")</f>
        <v/>
      </c>
      <c r="J182" s="72">
        <f>IFERROR(XLOOKUP(B182,'Points Options'!$E:$E,'Points Options'!$G:$G),"")</f>
        <v/>
      </c>
      <c r="K182" s="72">
        <f>IFERROR(XLOOKUP(B182,'Points Options'!$E:$E,'Points Options'!$H:$H),"")</f>
        <v/>
      </c>
    </row>
    <row r="183">
      <c r="A183" s="72" t="n">
        <v>180</v>
      </c>
      <c r="B183" s="72" t="n"/>
      <c r="C183" s="72">
        <f>IFERROR(XLOOKUP(B183,'Points Options'!$E:$E,'Points Options'!$A:$A),"")</f>
        <v/>
      </c>
      <c r="D183" s="72">
        <f>IFERROR(XLOOKUP(B183,'Points Options'!$E:$E,'Points Options'!$B:$B),"")</f>
        <v/>
      </c>
      <c r="E183" s="72">
        <f>IFERROR(XLOOKUP(B183,'Points Options'!$E:$E,'Points Options'!$C:$C),"")</f>
        <v/>
      </c>
      <c r="F183" s="73">
        <f>IFERROR(XLOOKUP(B183,'Points Options'!$E:$E,'Points Options'!$F:$F),"")</f>
        <v/>
      </c>
      <c r="G183" s="73" t="n">
        <v>1</v>
      </c>
      <c r="H183" s="73">
        <f>IF(B183="","",F183*G183)</f>
        <v/>
      </c>
      <c r="I183" s="72">
        <f>IFERROR(XLOOKUP(B183,'Points Options'!$E:$E,'Points Options'!$B:$B)&amp;" - "&amp;XLOOKUP(B183,'Points Options'!$E:$E,'Points Options'!$C:$C),"")</f>
        <v/>
      </c>
      <c r="J183" s="72">
        <f>IFERROR(XLOOKUP(B183,'Points Options'!$E:$E,'Points Options'!$G:$G),"")</f>
        <v/>
      </c>
      <c r="K183" s="72">
        <f>IFERROR(XLOOKUP(B183,'Points Options'!$E:$E,'Points Options'!$H:$H),"")</f>
        <v/>
      </c>
    </row>
    <row r="184">
      <c r="A184" s="72" t="n">
        <v>181</v>
      </c>
      <c r="B184" s="72" t="n"/>
      <c r="C184" s="72">
        <f>IFERROR(XLOOKUP(B184,'Points Options'!$E:$E,'Points Options'!$A:$A),"")</f>
        <v/>
      </c>
      <c r="D184" s="72">
        <f>IFERROR(XLOOKUP(B184,'Points Options'!$E:$E,'Points Options'!$B:$B),"")</f>
        <v/>
      </c>
      <c r="E184" s="72">
        <f>IFERROR(XLOOKUP(B184,'Points Options'!$E:$E,'Points Options'!$C:$C),"")</f>
        <v/>
      </c>
      <c r="F184" s="73">
        <f>IFERROR(XLOOKUP(B184,'Points Options'!$E:$E,'Points Options'!$F:$F),"")</f>
        <v/>
      </c>
      <c r="G184" s="73" t="n">
        <v>1</v>
      </c>
      <c r="H184" s="73">
        <f>IF(B184="","",F184*G184)</f>
        <v/>
      </c>
      <c r="I184" s="72">
        <f>IFERROR(XLOOKUP(B184,'Points Options'!$E:$E,'Points Options'!$B:$B)&amp;" - "&amp;XLOOKUP(B184,'Points Options'!$E:$E,'Points Options'!$C:$C),"")</f>
        <v/>
      </c>
      <c r="J184" s="72">
        <f>IFERROR(XLOOKUP(B184,'Points Options'!$E:$E,'Points Options'!$G:$G),"")</f>
        <v/>
      </c>
      <c r="K184" s="72">
        <f>IFERROR(XLOOKUP(B184,'Points Options'!$E:$E,'Points Options'!$H:$H),"")</f>
        <v/>
      </c>
    </row>
    <row r="185">
      <c r="A185" s="72" t="n">
        <v>182</v>
      </c>
      <c r="B185" s="72" t="n"/>
      <c r="C185" s="72">
        <f>IFERROR(XLOOKUP(B185,'Points Options'!$E:$E,'Points Options'!$A:$A),"")</f>
        <v/>
      </c>
      <c r="D185" s="72">
        <f>IFERROR(XLOOKUP(B185,'Points Options'!$E:$E,'Points Options'!$B:$B),"")</f>
        <v/>
      </c>
      <c r="E185" s="72">
        <f>IFERROR(XLOOKUP(B185,'Points Options'!$E:$E,'Points Options'!$C:$C),"")</f>
        <v/>
      </c>
      <c r="F185" s="73">
        <f>IFERROR(XLOOKUP(B185,'Points Options'!$E:$E,'Points Options'!$F:$F),"")</f>
        <v/>
      </c>
      <c r="G185" s="73" t="n">
        <v>1</v>
      </c>
      <c r="H185" s="73">
        <f>IF(B185="","",F185*G185)</f>
        <v/>
      </c>
      <c r="I185" s="72">
        <f>IFERROR(XLOOKUP(B185,'Points Options'!$E:$E,'Points Options'!$B:$B)&amp;" - "&amp;XLOOKUP(B185,'Points Options'!$E:$E,'Points Options'!$C:$C),"")</f>
        <v/>
      </c>
      <c r="J185" s="72">
        <f>IFERROR(XLOOKUP(B185,'Points Options'!$E:$E,'Points Options'!$G:$G),"")</f>
        <v/>
      </c>
      <c r="K185" s="72">
        <f>IFERROR(XLOOKUP(B185,'Points Options'!$E:$E,'Points Options'!$H:$H),"")</f>
        <v/>
      </c>
    </row>
    <row r="186">
      <c r="A186" s="72" t="n">
        <v>183</v>
      </c>
      <c r="B186" s="72" t="n"/>
      <c r="C186" s="72">
        <f>IFERROR(XLOOKUP(B186,'Points Options'!$E:$E,'Points Options'!$A:$A),"")</f>
        <v/>
      </c>
      <c r="D186" s="72">
        <f>IFERROR(XLOOKUP(B186,'Points Options'!$E:$E,'Points Options'!$B:$B),"")</f>
        <v/>
      </c>
      <c r="E186" s="72">
        <f>IFERROR(XLOOKUP(B186,'Points Options'!$E:$E,'Points Options'!$C:$C),"")</f>
        <v/>
      </c>
      <c r="F186" s="73">
        <f>IFERROR(XLOOKUP(B186,'Points Options'!$E:$E,'Points Options'!$F:$F),"")</f>
        <v/>
      </c>
      <c r="G186" s="73" t="n">
        <v>1</v>
      </c>
      <c r="H186" s="73">
        <f>IF(B186="","",F186*G186)</f>
        <v/>
      </c>
      <c r="I186" s="72">
        <f>IFERROR(XLOOKUP(B186,'Points Options'!$E:$E,'Points Options'!$B:$B)&amp;" - "&amp;XLOOKUP(B186,'Points Options'!$E:$E,'Points Options'!$C:$C),"")</f>
        <v/>
      </c>
      <c r="J186" s="72">
        <f>IFERROR(XLOOKUP(B186,'Points Options'!$E:$E,'Points Options'!$G:$G),"")</f>
        <v/>
      </c>
      <c r="K186" s="72">
        <f>IFERROR(XLOOKUP(B186,'Points Options'!$E:$E,'Points Options'!$H:$H),"")</f>
        <v/>
      </c>
    </row>
    <row r="187">
      <c r="A187" s="72" t="n">
        <v>184</v>
      </c>
      <c r="B187" s="72" t="n"/>
      <c r="C187" s="72">
        <f>IFERROR(XLOOKUP(B187,'Points Options'!$E:$E,'Points Options'!$A:$A),"")</f>
        <v/>
      </c>
      <c r="D187" s="72">
        <f>IFERROR(XLOOKUP(B187,'Points Options'!$E:$E,'Points Options'!$B:$B),"")</f>
        <v/>
      </c>
      <c r="E187" s="72">
        <f>IFERROR(XLOOKUP(B187,'Points Options'!$E:$E,'Points Options'!$C:$C),"")</f>
        <v/>
      </c>
      <c r="F187" s="73">
        <f>IFERROR(XLOOKUP(B187,'Points Options'!$E:$E,'Points Options'!$F:$F),"")</f>
        <v/>
      </c>
      <c r="G187" s="73" t="n">
        <v>1</v>
      </c>
      <c r="H187" s="73">
        <f>IF(B187="","",F187*G187)</f>
        <v/>
      </c>
      <c r="I187" s="72">
        <f>IFERROR(XLOOKUP(B187,'Points Options'!$E:$E,'Points Options'!$B:$B)&amp;" - "&amp;XLOOKUP(B187,'Points Options'!$E:$E,'Points Options'!$C:$C),"")</f>
        <v/>
      </c>
      <c r="J187" s="72">
        <f>IFERROR(XLOOKUP(B187,'Points Options'!$E:$E,'Points Options'!$G:$G),"")</f>
        <v/>
      </c>
      <c r="K187" s="72">
        <f>IFERROR(XLOOKUP(B187,'Points Options'!$E:$E,'Points Options'!$H:$H),"")</f>
        <v/>
      </c>
    </row>
    <row r="188">
      <c r="A188" s="72" t="n">
        <v>185</v>
      </c>
      <c r="B188" s="72" t="n"/>
      <c r="C188" s="72">
        <f>IFERROR(XLOOKUP(B188,'Points Options'!$E:$E,'Points Options'!$A:$A),"")</f>
        <v/>
      </c>
      <c r="D188" s="72">
        <f>IFERROR(XLOOKUP(B188,'Points Options'!$E:$E,'Points Options'!$B:$B),"")</f>
        <v/>
      </c>
      <c r="E188" s="72">
        <f>IFERROR(XLOOKUP(B188,'Points Options'!$E:$E,'Points Options'!$C:$C),"")</f>
        <v/>
      </c>
      <c r="F188" s="73">
        <f>IFERROR(XLOOKUP(B188,'Points Options'!$E:$E,'Points Options'!$F:$F),"")</f>
        <v/>
      </c>
      <c r="G188" s="73" t="n">
        <v>1</v>
      </c>
      <c r="H188" s="73">
        <f>IF(B188="","",F188*G188)</f>
        <v/>
      </c>
      <c r="I188" s="72">
        <f>IFERROR(XLOOKUP(B188,'Points Options'!$E:$E,'Points Options'!$B:$B)&amp;" - "&amp;XLOOKUP(B188,'Points Options'!$E:$E,'Points Options'!$C:$C),"")</f>
        <v/>
      </c>
      <c r="J188" s="72">
        <f>IFERROR(XLOOKUP(B188,'Points Options'!$E:$E,'Points Options'!$G:$G),"")</f>
        <v/>
      </c>
      <c r="K188" s="72">
        <f>IFERROR(XLOOKUP(B188,'Points Options'!$E:$E,'Points Options'!$H:$H),"")</f>
        <v/>
      </c>
    </row>
    <row r="189">
      <c r="A189" s="72" t="n">
        <v>186</v>
      </c>
      <c r="B189" s="72" t="n"/>
      <c r="C189" s="72">
        <f>IFERROR(XLOOKUP(B189,'Points Options'!$E:$E,'Points Options'!$A:$A),"")</f>
        <v/>
      </c>
      <c r="D189" s="72">
        <f>IFERROR(XLOOKUP(B189,'Points Options'!$E:$E,'Points Options'!$B:$B),"")</f>
        <v/>
      </c>
      <c r="E189" s="72">
        <f>IFERROR(XLOOKUP(B189,'Points Options'!$E:$E,'Points Options'!$C:$C),"")</f>
        <v/>
      </c>
      <c r="F189" s="73">
        <f>IFERROR(XLOOKUP(B189,'Points Options'!$E:$E,'Points Options'!$F:$F),"")</f>
        <v/>
      </c>
      <c r="G189" s="73" t="n">
        <v>1</v>
      </c>
      <c r="H189" s="73">
        <f>IF(B189="","",F189*G189)</f>
        <v/>
      </c>
      <c r="I189" s="72">
        <f>IFERROR(XLOOKUP(B189,'Points Options'!$E:$E,'Points Options'!$B:$B)&amp;" - "&amp;XLOOKUP(B189,'Points Options'!$E:$E,'Points Options'!$C:$C),"")</f>
        <v/>
      </c>
      <c r="J189" s="72">
        <f>IFERROR(XLOOKUP(B189,'Points Options'!$E:$E,'Points Options'!$G:$G),"")</f>
        <v/>
      </c>
      <c r="K189" s="72">
        <f>IFERROR(XLOOKUP(B189,'Points Options'!$E:$E,'Points Options'!$H:$H),"")</f>
        <v/>
      </c>
    </row>
    <row r="190">
      <c r="A190" s="72" t="n">
        <v>187</v>
      </c>
      <c r="B190" s="72" t="n"/>
      <c r="C190" s="72">
        <f>IFERROR(XLOOKUP(B190,'Points Options'!$E:$E,'Points Options'!$A:$A),"")</f>
        <v/>
      </c>
      <c r="D190" s="72">
        <f>IFERROR(XLOOKUP(B190,'Points Options'!$E:$E,'Points Options'!$B:$B),"")</f>
        <v/>
      </c>
      <c r="E190" s="72">
        <f>IFERROR(XLOOKUP(B190,'Points Options'!$E:$E,'Points Options'!$C:$C),"")</f>
        <v/>
      </c>
      <c r="F190" s="73">
        <f>IFERROR(XLOOKUP(B190,'Points Options'!$E:$E,'Points Options'!$F:$F),"")</f>
        <v/>
      </c>
      <c r="G190" s="73" t="n">
        <v>1</v>
      </c>
      <c r="H190" s="73">
        <f>IF(B190="","",F190*G190)</f>
        <v/>
      </c>
      <c r="I190" s="72">
        <f>IFERROR(XLOOKUP(B190,'Points Options'!$E:$E,'Points Options'!$B:$B)&amp;" - "&amp;XLOOKUP(B190,'Points Options'!$E:$E,'Points Options'!$C:$C),"")</f>
        <v/>
      </c>
      <c r="J190" s="72">
        <f>IFERROR(XLOOKUP(B190,'Points Options'!$E:$E,'Points Options'!$G:$G),"")</f>
        <v/>
      </c>
      <c r="K190" s="72">
        <f>IFERROR(XLOOKUP(B190,'Points Options'!$E:$E,'Points Options'!$H:$H),"")</f>
        <v/>
      </c>
    </row>
    <row r="191">
      <c r="A191" s="72" t="n">
        <v>188</v>
      </c>
      <c r="B191" s="72" t="n"/>
      <c r="C191" s="72">
        <f>IFERROR(XLOOKUP(B191,'Points Options'!$E:$E,'Points Options'!$A:$A),"")</f>
        <v/>
      </c>
      <c r="D191" s="72">
        <f>IFERROR(XLOOKUP(B191,'Points Options'!$E:$E,'Points Options'!$B:$B),"")</f>
        <v/>
      </c>
      <c r="E191" s="72">
        <f>IFERROR(XLOOKUP(B191,'Points Options'!$E:$E,'Points Options'!$C:$C),"")</f>
        <v/>
      </c>
      <c r="F191" s="73">
        <f>IFERROR(XLOOKUP(B191,'Points Options'!$E:$E,'Points Options'!$F:$F),"")</f>
        <v/>
      </c>
      <c r="G191" s="73" t="n">
        <v>1</v>
      </c>
      <c r="H191" s="73">
        <f>IF(B191="","",F191*G191)</f>
        <v/>
      </c>
      <c r="I191" s="72">
        <f>IFERROR(XLOOKUP(B191,'Points Options'!$E:$E,'Points Options'!$B:$B)&amp;" - "&amp;XLOOKUP(B191,'Points Options'!$E:$E,'Points Options'!$C:$C),"")</f>
        <v/>
      </c>
      <c r="J191" s="72">
        <f>IFERROR(XLOOKUP(B191,'Points Options'!$E:$E,'Points Options'!$G:$G),"")</f>
        <v/>
      </c>
      <c r="K191" s="72">
        <f>IFERROR(XLOOKUP(B191,'Points Options'!$E:$E,'Points Options'!$H:$H),"")</f>
        <v/>
      </c>
    </row>
    <row r="192">
      <c r="A192" s="72" t="n">
        <v>189</v>
      </c>
      <c r="B192" s="72" t="n"/>
      <c r="C192" s="72">
        <f>IFERROR(XLOOKUP(B192,'Points Options'!$E:$E,'Points Options'!$A:$A),"")</f>
        <v/>
      </c>
      <c r="D192" s="72">
        <f>IFERROR(XLOOKUP(B192,'Points Options'!$E:$E,'Points Options'!$B:$B),"")</f>
        <v/>
      </c>
      <c r="E192" s="72">
        <f>IFERROR(XLOOKUP(B192,'Points Options'!$E:$E,'Points Options'!$C:$C),"")</f>
        <v/>
      </c>
      <c r="F192" s="73">
        <f>IFERROR(XLOOKUP(B192,'Points Options'!$E:$E,'Points Options'!$F:$F),"")</f>
        <v/>
      </c>
      <c r="G192" s="73" t="n">
        <v>1</v>
      </c>
      <c r="H192" s="73">
        <f>IF(B192="","",F192*G192)</f>
        <v/>
      </c>
      <c r="I192" s="72">
        <f>IFERROR(XLOOKUP(B192,'Points Options'!$E:$E,'Points Options'!$B:$B)&amp;" - "&amp;XLOOKUP(B192,'Points Options'!$E:$E,'Points Options'!$C:$C),"")</f>
        <v/>
      </c>
      <c r="J192" s="72">
        <f>IFERROR(XLOOKUP(B192,'Points Options'!$E:$E,'Points Options'!$G:$G),"")</f>
        <v/>
      </c>
      <c r="K192" s="72">
        <f>IFERROR(XLOOKUP(B192,'Points Options'!$E:$E,'Points Options'!$H:$H),"")</f>
        <v/>
      </c>
    </row>
    <row r="193">
      <c r="A193" s="72" t="n">
        <v>190</v>
      </c>
      <c r="B193" s="72" t="n"/>
      <c r="C193" s="72">
        <f>IFERROR(XLOOKUP(B193,'Points Options'!$E:$E,'Points Options'!$A:$A),"")</f>
        <v/>
      </c>
      <c r="D193" s="72">
        <f>IFERROR(XLOOKUP(B193,'Points Options'!$E:$E,'Points Options'!$B:$B),"")</f>
        <v/>
      </c>
      <c r="E193" s="72">
        <f>IFERROR(XLOOKUP(B193,'Points Options'!$E:$E,'Points Options'!$C:$C),"")</f>
        <v/>
      </c>
      <c r="F193" s="73">
        <f>IFERROR(XLOOKUP(B193,'Points Options'!$E:$E,'Points Options'!$F:$F),"")</f>
        <v/>
      </c>
      <c r="G193" s="73" t="n">
        <v>1</v>
      </c>
      <c r="H193" s="73">
        <f>IF(B193="","",F193*G193)</f>
        <v/>
      </c>
      <c r="I193" s="72">
        <f>IFERROR(XLOOKUP(B193,'Points Options'!$E:$E,'Points Options'!$B:$B)&amp;" - "&amp;XLOOKUP(B193,'Points Options'!$E:$E,'Points Options'!$C:$C),"")</f>
        <v/>
      </c>
      <c r="J193" s="72">
        <f>IFERROR(XLOOKUP(B193,'Points Options'!$E:$E,'Points Options'!$G:$G),"")</f>
        <v/>
      </c>
      <c r="K193" s="72">
        <f>IFERROR(XLOOKUP(B193,'Points Options'!$E:$E,'Points Options'!$H:$H),"")</f>
        <v/>
      </c>
    </row>
    <row r="194">
      <c r="A194" s="72" t="n">
        <v>191</v>
      </c>
      <c r="B194" s="72" t="n"/>
      <c r="C194" s="72">
        <f>IFERROR(XLOOKUP(B194,'Points Options'!$E:$E,'Points Options'!$A:$A),"")</f>
        <v/>
      </c>
      <c r="D194" s="72">
        <f>IFERROR(XLOOKUP(B194,'Points Options'!$E:$E,'Points Options'!$B:$B),"")</f>
        <v/>
      </c>
      <c r="E194" s="72">
        <f>IFERROR(XLOOKUP(B194,'Points Options'!$E:$E,'Points Options'!$C:$C),"")</f>
        <v/>
      </c>
      <c r="F194" s="73">
        <f>IFERROR(XLOOKUP(B194,'Points Options'!$E:$E,'Points Options'!$F:$F),"")</f>
        <v/>
      </c>
      <c r="G194" s="73" t="n">
        <v>1</v>
      </c>
      <c r="H194" s="73">
        <f>IF(B194="","",F194*G194)</f>
        <v/>
      </c>
      <c r="I194" s="72">
        <f>IFERROR(XLOOKUP(B194,'Points Options'!$E:$E,'Points Options'!$B:$B)&amp;" - "&amp;XLOOKUP(B194,'Points Options'!$E:$E,'Points Options'!$C:$C),"")</f>
        <v/>
      </c>
      <c r="J194" s="72">
        <f>IFERROR(XLOOKUP(B194,'Points Options'!$E:$E,'Points Options'!$G:$G),"")</f>
        <v/>
      </c>
      <c r="K194" s="72">
        <f>IFERROR(XLOOKUP(B194,'Points Options'!$E:$E,'Points Options'!$H:$H),"")</f>
        <v/>
      </c>
    </row>
    <row r="195">
      <c r="A195" s="72" t="n">
        <v>192</v>
      </c>
      <c r="B195" s="72" t="n"/>
      <c r="C195" s="72">
        <f>IFERROR(XLOOKUP(B195,'Points Options'!$E:$E,'Points Options'!$A:$A),"")</f>
        <v/>
      </c>
      <c r="D195" s="72">
        <f>IFERROR(XLOOKUP(B195,'Points Options'!$E:$E,'Points Options'!$B:$B),"")</f>
        <v/>
      </c>
      <c r="E195" s="72">
        <f>IFERROR(XLOOKUP(B195,'Points Options'!$E:$E,'Points Options'!$C:$C),"")</f>
        <v/>
      </c>
      <c r="F195" s="73">
        <f>IFERROR(XLOOKUP(B195,'Points Options'!$E:$E,'Points Options'!$F:$F),"")</f>
        <v/>
      </c>
      <c r="G195" s="73" t="n">
        <v>1</v>
      </c>
      <c r="H195" s="73">
        <f>IF(B195="","",F195*G195)</f>
        <v/>
      </c>
      <c r="I195" s="72">
        <f>IFERROR(XLOOKUP(B195,'Points Options'!$E:$E,'Points Options'!$B:$B)&amp;" - "&amp;XLOOKUP(B195,'Points Options'!$E:$E,'Points Options'!$C:$C),"")</f>
        <v/>
      </c>
      <c r="J195" s="72">
        <f>IFERROR(XLOOKUP(B195,'Points Options'!$E:$E,'Points Options'!$G:$G),"")</f>
        <v/>
      </c>
      <c r="K195" s="72">
        <f>IFERROR(XLOOKUP(B195,'Points Options'!$E:$E,'Points Options'!$H:$H),"")</f>
        <v/>
      </c>
    </row>
    <row r="196">
      <c r="A196" s="72" t="n">
        <v>193</v>
      </c>
      <c r="B196" s="72" t="n"/>
      <c r="C196" s="72">
        <f>IFERROR(XLOOKUP(B196,'Points Options'!$E:$E,'Points Options'!$A:$A),"")</f>
        <v/>
      </c>
      <c r="D196" s="72">
        <f>IFERROR(XLOOKUP(B196,'Points Options'!$E:$E,'Points Options'!$B:$B),"")</f>
        <v/>
      </c>
      <c r="E196" s="72">
        <f>IFERROR(XLOOKUP(B196,'Points Options'!$E:$E,'Points Options'!$C:$C),"")</f>
        <v/>
      </c>
      <c r="F196" s="73">
        <f>IFERROR(XLOOKUP(B196,'Points Options'!$E:$E,'Points Options'!$F:$F),"")</f>
        <v/>
      </c>
      <c r="G196" s="73" t="n">
        <v>1</v>
      </c>
      <c r="H196" s="73">
        <f>IF(B196="","",F196*G196)</f>
        <v/>
      </c>
      <c r="I196" s="72">
        <f>IFERROR(XLOOKUP(B196,'Points Options'!$E:$E,'Points Options'!$B:$B)&amp;" - "&amp;XLOOKUP(B196,'Points Options'!$E:$E,'Points Options'!$C:$C),"")</f>
        <v/>
      </c>
      <c r="J196" s="72">
        <f>IFERROR(XLOOKUP(B196,'Points Options'!$E:$E,'Points Options'!$G:$G),"")</f>
        <v/>
      </c>
      <c r="K196" s="72">
        <f>IFERROR(XLOOKUP(B196,'Points Options'!$E:$E,'Points Options'!$H:$H),"")</f>
        <v/>
      </c>
    </row>
    <row r="197">
      <c r="A197" s="72" t="n">
        <v>194</v>
      </c>
      <c r="B197" s="72" t="n"/>
      <c r="C197" s="72">
        <f>IFERROR(XLOOKUP(B197,'Points Options'!$E:$E,'Points Options'!$A:$A),"")</f>
        <v/>
      </c>
      <c r="D197" s="72">
        <f>IFERROR(XLOOKUP(B197,'Points Options'!$E:$E,'Points Options'!$B:$B),"")</f>
        <v/>
      </c>
      <c r="E197" s="72">
        <f>IFERROR(XLOOKUP(B197,'Points Options'!$E:$E,'Points Options'!$C:$C),"")</f>
        <v/>
      </c>
      <c r="F197" s="73">
        <f>IFERROR(XLOOKUP(B197,'Points Options'!$E:$E,'Points Options'!$F:$F),"")</f>
        <v/>
      </c>
      <c r="G197" s="73" t="n">
        <v>1</v>
      </c>
      <c r="H197" s="73">
        <f>IF(B197="","",F197*G197)</f>
        <v/>
      </c>
      <c r="I197" s="72">
        <f>IFERROR(XLOOKUP(B197,'Points Options'!$E:$E,'Points Options'!$B:$B)&amp;" - "&amp;XLOOKUP(B197,'Points Options'!$E:$E,'Points Options'!$C:$C),"")</f>
        <v/>
      </c>
      <c r="J197" s="72">
        <f>IFERROR(XLOOKUP(B197,'Points Options'!$E:$E,'Points Options'!$G:$G),"")</f>
        <v/>
      </c>
      <c r="K197" s="72">
        <f>IFERROR(XLOOKUP(B197,'Points Options'!$E:$E,'Points Options'!$H:$H),"")</f>
        <v/>
      </c>
    </row>
    <row r="198">
      <c r="A198" s="72" t="n">
        <v>195</v>
      </c>
      <c r="B198" s="72" t="n"/>
      <c r="C198" s="72">
        <f>IFERROR(XLOOKUP(B198,'Points Options'!$E:$E,'Points Options'!$A:$A),"")</f>
        <v/>
      </c>
      <c r="D198" s="72">
        <f>IFERROR(XLOOKUP(B198,'Points Options'!$E:$E,'Points Options'!$B:$B),"")</f>
        <v/>
      </c>
      <c r="E198" s="72">
        <f>IFERROR(XLOOKUP(B198,'Points Options'!$E:$E,'Points Options'!$C:$C),"")</f>
        <v/>
      </c>
      <c r="F198" s="73">
        <f>IFERROR(XLOOKUP(B198,'Points Options'!$E:$E,'Points Options'!$F:$F),"")</f>
        <v/>
      </c>
      <c r="G198" s="73" t="n">
        <v>1</v>
      </c>
      <c r="H198" s="73">
        <f>IF(B198="","",F198*G198)</f>
        <v/>
      </c>
      <c r="I198" s="72">
        <f>IFERROR(XLOOKUP(B198,'Points Options'!$E:$E,'Points Options'!$B:$B)&amp;" - "&amp;XLOOKUP(B198,'Points Options'!$E:$E,'Points Options'!$C:$C),"")</f>
        <v/>
      </c>
      <c r="J198" s="72">
        <f>IFERROR(XLOOKUP(B198,'Points Options'!$E:$E,'Points Options'!$G:$G),"")</f>
        <v/>
      </c>
      <c r="K198" s="72">
        <f>IFERROR(XLOOKUP(B198,'Points Options'!$E:$E,'Points Options'!$H:$H),"")</f>
        <v/>
      </c>
    </row>
    <row r="199">
      <c r="A199" s="72" t="n">
        <v>196</v>
      </c>
      <c r="B199" s="72" t="n"/>
      <c r="C199" s="72">
        <f>IFERROR(XLOOKUP(B199,'Points Options'!$E:$E,'Points Options'!$A:$A),"")</f>
        <v/>
      </c>
      <c r="D199" s="72">
        <f>IFERROR(XLOOKUP(B199,'Points Options'!$E:$E,'Points Options'!$B:$B),"")</f>
        <v/>
      </c>
      <c r="E199" s="72">
        <f>IFERROR(XLOOKUP(B199,'Points Options'!$E:$E,'Points Options'!$C:$C),"")</f>
        <v/>
      </c>
      <c r="F199" s="73">
        <f>IFERROR(XLOOKUP(B199,'Points Options'!$E:$E,'Points Options'!$F:$F),"")</f>
        <v/>
      </c>
      <c r="G199" s="73" t="n">
        <v>1</v>
      </c>
      <c r="H199" s="73">
        <f>IF(B199="","",F199*G199)</f>
        <v/>
      </c>
      <c r="I199" s="72">
        <f>IFERROR(XLOOKUP(B199,'Points Options'!$E:$E,'Points Options'!$B:$B)&amp;" - "&amp;XLOOKUP(B199,'Points Options'!$E:$E,'Points Options'!$C:$C),"")</f>
        <v/>
      </c>
      <c r="J199" s="72">
        <f>IFERROR(XLOOKUP(B199,'Points Options'!$E:$E,'Points Options'!$G:$G),"")</f>
        <v/>
      </c>
      <c r="K199" s="72">
        <f>IFERROR(XLOOKUP(B199,'Points Options'!$E:$E,'Points Options'!$H:$H),"")</f>
        <v/>
      </c>
    </row>
    <row r="200">
      <c r="A200" s="72" t="n">
        <v>197</v>
      </c>
      <c r="B200" s="72" t="n"/>
      <c r="C200" s="72">
        <f>IFERROR(XLOOKUP(B200,'Points Options'!$E:$E,'Points Options'!$A:$A),"")</f>
        <v/>
      </c>
      <c r="D200" s="72">
        <f>IFERROR(XLOOKUP(B200,'Points Options'!$E:$E,'Points Options'!$B:$B),"")</f>
        <v/>
      </c>
      <c r="E200" s="72">
        <f>IFERROR(XLOOKUP(B200,'Points Options'!$E:$E,'Points Options'!$C:$C),"")</f>
        <v/>
      </c>
      <c r="F200" s="73">
        <f>IFERROR(XLOOKUP(B200,'Points Options'!$E:$E,'Points Options'!$F:$F),"")</f>
        <v/>
      </c>
      <c r="G200" s="73" t="n">
        <v>1</v>
      </c>
      <c r="H200" s="73">
        <f>IF(B200="","",F200*G200)</f>
        <v/>
      </c>
      <c r="I200" s="72">
        <f>IFERROR(XLOOKUP(B200,'Points Options'!$E:$E,'Points Options'!$B:$B)&amp;" - "&amp;XLOOKUP(B200,'Points Options'!$E:$E,'Points Options'!$C:$C),"")</f>
        <v/>
      </c>
      <c r="J200" s="72">
        <f>IFERROR(XLOOKUP(B200,'Points Options'!$E:$E,'Points Options'!$G:$G),"")</f>
        <v/>
      </c>
      <c r="K200" s="72">
        <f>IFERROR(XLOOKUP(B200,'Points Options'!$E:$E,'Points Options'!$H:$H),"")</f>
        <v/>
      </c>
    </row>
    <row r="201">
      <c r="A201" s="72" t="n">
        <v>198</v>
      </c>
      <c r="B201" s="72" t="n"/>
      <c r="C201" s="72">
        <f>IFERROR(XLOOKUP(B201,'Points Options'!$E:$E,'Points Options'!$A:$A),"")</f>
        <v/>
      </c>
      <c r="D201" s="72">
        <f>IFERROR(XLOOKUP(B201,'Points Options'!$E:$E,'Points Options'!$B:$B),"")</f>
        <v/>
      </c>
      <c r="E201" s="72">
        <f>IFERROR(XLOOKUP(B201,'Points Options'!$E:$E,'Points Options'!$C:$C),"")</f>
        <v/>
      </c>
      <c r="F201" s="73">
        <f>IFERROR(XLOOKUP(B201,'Points Options'!$E:$E,'Points Options'!$F:$F),"")</f>
        <v/>
      </c>
      <c r="G201" s="73" t="n">
        <v>1</v>
      </c>
      <c r="H201" s="73">
        <f>IF(B201="","",F201*G201)</f>
        <v/>
      </c>
      <c r="I201" s="72">
        <f>IFERROR(XLOOKUP(B201,'Points Options'!$E:$E,'Points Options'!$B:$B)&amp;" - "&amp;XLOOKUP(B201,'Points Options'!$E:$E,'Points Options'!$C:$C),"")</f>
        <v/>
      </c>
      <c r="J201" s="72">
        <f>IFERROR(XLOOKUP(B201,'Points Options'!$E:$E,'Points Options'!$G:$G),"")</f>
        <v/>
      </c>
      <c r="K201" s="72">
        <f>IFERROR(XLOOKUP(B201,'Points Options'!$E:$E,'Points Options'!$H:$H),"")</f>
        <v/>
      </c>
    </row>
    <row r="202">
      <c r="A202" s="72" t="n">
        <v>199</v>
      </c>
      <c r="B202" s="72" t="n"/>
      <c r="C202" s="72">
        <f>IFERROR(XLOOKUP(B202,'Points Options'!$E:$E,'Points Options'!$A:$A),"")</f>
        <v/>
      </c>
      <c r="D202" s="72">
        <f>IFERROR(XLOOKUP(B202,'Points Options'!$E:$E,'Points Options'!$B:$B),"")</f>
        <v/>
      </c>
      <c r="E202" s="72">
        <f>IFERROR(XLOOKUP(B202,'Points Options'!$E:$E,'Points Options'!$C:$C),"")</f>
        <v/>
      </c>
      <c r="F202" s="73">
        <f>IFERROR(XLOOKUP(B202,'Points Options'!$E:$E,'Points Options'!$F:$F),"")</f>
        <v/>
      </c>
      <c r="G202" s="73" t="n">
        <v>1</v>
      </c>
      <c r="H202" s="73">
        <f>IF(B202="","",F202*G202)</f>
        <v/>
      </c>
      <c r="I202" s="72">
        <f>IFERROR(XLOOKUP(B202,'Points Options'!$E:$E,'Points Options'!$B:$B)&amp;" - "&amp;XLOOKUP(B202,'Points Options'!$E:$E,'Points Options'!$C:$C),"")</f>
        <v/>
      </c>
      <c r="J202" s="72">
        <f>IFERROR(XLOOKUP(B202,'Points Options'!$E:$E,'Points Options'!$G:$G),"")</f>
        <v/>
      </c>
      <c r="K202" s="72">
        <f>IFERROR(XLOOKUP(B202,'Points Options'!$E:$E,'Points Options'!$H:$H),"")</f>
        <v/>
      </c>
    </row>
    <row r="203">
      <c r="A203" s="72" t="n">
        <v>200</v>
      </c>
      <c r="B203" s="72" t="n"/>
      <c r="C203" s="72">
        <f>IFERROR(XLOOKUP(B203,'Points Options'!$E:$E,'Points Options'!$A:$A),"")</f>
        <v/>
      </c>
      <c r="D203" s="72">
        <f>IFERROR(XLOOKUP(B203,'Points Options'!$E:$E,'Points Options'!$B:$B),"")</f>
        <v/>
      </c>
      <c r="E203" s="72">
        <f>IFERROR(XLOOKUP(B203,'Points Options'!$E:$E,'Points Options'!$C:$C),"")</f>
        <v/>
      </c>
      <c r="F203" s="73">
        <f>IFERROR(XLOOKUP(B203,'Points Options'!$E:$E,'Points Options'!$F:$F),"")</f>
        <v/>
      </c>
      <c r="G203" s="73" t="n">
        <v>1</v>
      </c>
      <c r="H203" s="73">
        <f>IF(B203="","",F203*G203)</f>
        <v/>
      </c>
      <c r="I203" s="72">
        <f>IFERROR(XLOOKUP(B203,'Points Options'!$E:$E,'Points Options'!$B:$B)&amp;" - "&amp;XLOOKUP(B203,'Points Options'!$E:$E,'Points Options'!$C:$C),"")</f>
        <v/>
      </c>
      <c r="J203" s="72">
        <f>IFERROR(XLOOKUP(B203,'Points Options'!$E:$E,'Points Options'!$G:$G),"")</f>
        <v/>
      </c>
      <c r="K203" s="72">
        <f>IFERROR(XLOOKUP(B203,'Points Options'!$E:$E,'Points Options'!$H:$H),"")</f>
        <v/>
      </c>
    </row>
  </sheetData>
  <mergeCells count="1">
    <mergeCell ref="A1:K1"/>
  </mergeCells>
  <dataValidations count="1">
    <dataValidation sqref="B4:B203" showDropDown="0" showInputMessage="0" showErrorMessage="0" allowBlank="0" type="list">
      <formula1>'Points Options'!$E$2:$E$1268</formula1>
    </dataValidation>
  </dataValidations>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2" customWidth="1" style="48" min="1" max="1"/>
    <col width="24" customWidth="1" style="48" min="2" max="2"/>
    <col width="36" customWidth="1" style="48" min="3" max="3"/>
    <col width="80" customWidth="1" style="48" min="4" max="4"/>
  </cols>
  <sheetData>
    <row r="1">
      <c r="A1" s="66" t="inlineStr">
        <is>
          <t>Master Row</t>
        </is>
      </c>
      <c r="B1" s="66" t="inlineStr">
        <is>
          <t>Faction</t>
        </is>
      </c>
      <c r="C1" s="66" t="inlineStr">
        <is>
          <t>Unit Name</t>
        </is>
      </c>
      <c r="D1" s="66" t="inlineStr">
        <is>
          <t>Reason</t>
        </is>
      </c>
    </row>
    <row r="2">
      <c r="A2" s="54" t="n">
        <v>91</v>
      </c>
      <c r="B2" s="54" t="inlineStr">
        <is>
          <t>Blood Angels</t>
        </is>
      </c>
      <c r="C2" s="54" t="inlineStr">
        <is>
          <t>Furioso Dreadnought</t>
        </is>
      </c>
      <c r="D2" s="54" t="inlineStr">
        <is>
          <t>No exact/alias match in uploaded PDF; may be retired, renamed, Legends, or absent from MFM v2.3</t>
        </is>
      </c>
    </row>
    <row r="3">
      <c r="A3" s="54" t="n">
        <v>92</v>
      </c>
      <c r="B3" s="54" t="inlineStr">
        <is>
          <t>Blood Angels</t>
        </is>
      </c>
      <c r="C3" s="54" t="inlineStr">
        <is>
          <t>Gabriel Seth</t>
        </is>
      </c>
      <c r="D3" s="54" t="inlineStr">
        <is>
          <t>No exact/alias match in uploaded PDF; may be retired, renamed, Legends, or absent from MFM v2.3</t>
        </is>
      </c>
    </row>
    <row r="4">
      <c r="A4" s="54" t="n">
        <v>94</v>
      </c>
      <c r="B4" s="54" t="inlineStr">
        <is>
          <t>Blood Angels</t>
        </is>
      </c>
      <c r="C4" s="54" t="inlineStr">
        <is>
          <t>Librarian Dreadnought</t>
        </is>
      </c>
      <c r="D4" s="54" t="inlineStr">
        <is>
          <t>No exact/alias match in uploaded PDF; may be retired, renamed, Legends, or absent from MFM v2.3</t>
        </is>
      </c>
    </row>
    <row r="5">
      <c r="A5" s="54" t="n">
        <v>98</v>
      </c>
      <c r="B5" s="54" t="inlineStr">
        <is>
          <t>Blood Angels</t>
        </is>
      </c>
      <c r="C5" s="54" t="inlineStr">
        <is>
          <t>Tycho the Lost</t>
        </is>
      </c>
      <c r="D5" s="54" t="inlineStr">
        <is>
          <t>No exact/alias match in uploaded PDF; may be retired, renamed, Legends, or absent from MFM v2.3</t>
        </is>
      </c>
    </row>
    <row r="6">
      <c r="A6" s="54" t="n">
        <v>102</v>
      </c>
      <c r="B6" s="54" t="inlineStr">
        <is>
          <t>Dark Angels</t>
        </is>
      </c>
      <c r="C6" s="54" t="inlineStr">
        <is>
          <t>Black Knights</t>
        </is>
      </c>
      <c r="D6" s="54" t="inlineStr">
        <is>
          <t>No exact/alias match in uploaded PDF; may be retired, renamed, Legends, or absent from MFM v2.3</t>
        </is>
      </c>
    </row>
    <row r="7">
      <c r="A7" s="54" t="n">
        <v>103</v>
      </c>
      <c r="B7" s="54" t="inlineStr">
        <is>
          <t>Dark Angels</t>
        </is>
      </c>
      <c r="C7" s="54" t="inlineStr">
        <is>
          <t>Deathwing Command Squad</t>
        </is>
      </c>
      <c r="D7" s="54" t="inlineStr">
        <is>
          <t>No exact/alias match in uploaded PDF; may be retired, renamed, Legends, or absent from MFM v2.3</t>
        </is>
      </c>
    </row>
    <row r="8">
      <c r="A8" s="54" t="n">
        <v>112</v>
      </c>
      <c r="B8" s="54" t="inlineStr">
        <is>
          <t>Dark Angels</t>
        </is>
      </c>
      <c r="C8" s="54" t="inlineStr">
        <is>
          <t>Ravenwing Talonmaster</t>
        </is>
      </c>
      <c r="D8" s="54" t="inlineStr">
        <is>
          <t>No exact/alias match in uploaded PDF; may be retired, renamed, Legends, or absent from MFM v2.3</t>
        </is>
      </c>
    </row>
    <row r="9">
      <c r="A9" s="54" t="n">
        <v>114</v>
      </c>
      <c r="B9" s="54" t="inlineStr">
        <is>
          <t>Dark Angels</t>
        </is>
      </c>
      <c r="C9" s="54" t="inlineStr">
        <is>
          <t>Storm Speeder Darkshroud</t>
        </is>
      </c>
      <c r="D9" s="54" t="inlineStr">
        <is>
          <t>No exact/alias match in uploaded PDF; may be retired, renamed, Legends, or absent from MFM v2.3</t>
        </is>
      </c>
    </row>
    <row r="10">
      <c r="A10" s="54" t="n">
        <v>115</v>
      </c>
      <c r="B10" s="54" t="inlineStr">
        <is>
          <t>Dark Angels</t>
        </is>
      </c>
      <c r="C10" s="54" t="inlineStr">
        <is>
          <t>Storm Speeder Vengeance</t>
        </is>
      </c>
      <c r="D10" s="54" t="inlineStr">
        <is>
          <t>No exact/alias match in uploaded PDF; may be retired, renamed, Legends, or absent from MFM v2.3</t>
        </is>
      </c>
    </row>
    <row r="11">
      <c r="A11" s="54" t="n">
        <v>156</v>
      </c>
      <c r="B11" s="54" t="inlineStr">
        <is>
          <t>Deathwatch</t>
        </is>
      </c>
      <c r="C11" s="54" t="inlineStr">
        <is>
          <t>Kill Team Cassius</t>
        </is>
      </c>
      <c r="D11" s="54" t="inlineStr">
        <is>
          <t>No exact/alias match in uploaded PDF; may be retired, renamed, Legends, or absent from MFM v2.3</t>
        </is>
      </c>
    </row>
    <row r="12">
      <c r="A12" s="54" t="n">
        <v>157</v>
      </c>
      <c r="B12" s="54" t="inlineStr">
        <is>
          <t>Deathwatch</t>
        </is>
      </c>
      <c r="C12" s="54" t="inlineStr">
        <is>
          <t>Proteus Kill Team</t>
        </is>
      </c>
      <c r="D12" s="54" t="inlineStr">
        <is>
          <t>No exact/alias match in uploaded PDF; may be retired, renamed, Legends, or absent from MFM v2.3</t>
        </is>
      </c>
    </row>
    <row r="13">
      <c r="A13" s="54" t="n">
        <v>159</v>
      </c>
      <c r="B13" s="54" t="inlineStr">
        <is>
          <t>Deathwatch</t>
        </is>
      </c>
      <c r="C13" s="54" t="inlineStr">
        <is>
          <t>Veteran Squad</t>
        </is>
      </c>
      <c r="D13" s="54" t="inlineStr">
        <is>
          <t>No exact/alias match in uploaded PDF; may be retired, renamed, Legends, or absent from MFM v2.3</t>
        </is>
      </c>
    </row>
    <row r="14">
      <c r="A14" s="54" t="n">
        <v>173</v>
      </c>
      <c r="B14" s="54" t="inlineStr">
        <is>
          <t>Grey Knights</t>
        </is>
      </c>
      <c r="C14" s="54" t="inlineStr">
        <is>
          <t>Paladin Ancient</t>
        </is>
      </c>
      <c r="D14" s="54" t="inlineStr">
        <is>
          <t>No exact/alias match in uploaded PDF; may be retired, renamed, Legends, or absent from MFM v2.3</t>
        </is>
      </c>
    </row>
    <row r="15">
      <c r="A15" s="54" t="n">
        <v>180</v>
      </c>
      <c r="B15" s="54" t="inlineStr">
        <is>
          <t>Grey Knights</t>
        </is>
      </c>
      <c r="C15" s="54" t="inlineStr">
        <is>
          <t>Venerable Dreadnought</t>
        </is>
      </c>
      <c r="D15" s="54" t="inlineStr">
        <is>
          <t>No exact/alias match in uploaded PDF; may be retired, renamed, Legends, or absent from MFM v2.3</t>
        </is>
      </c>
    </row>
    <row r="16">
      <c r="A16" s="54" t="n">
        <v>205</v>
      </c>
      <c r="B16" s="54" t="inlineStr">
        <is>
          <t>Adepta Sororitas</t>
        </is>
      </c>
      <c r="C16" s="54" t="inlineStr">
        <is>
          <t>Death Cult Assassins</t>
        </is>
      </c>
      <c r="D16" s="54" t="inlineStr">
        <is>
          <t>No exact/alias match in uploaded PDF; may be retired, renamed, Legends, or absent from MFM v2.3</t>
        </is>
      </c>
    </row>
    <row r="17">
      <c r="A17" s="54" t="n">
        <v>215</v>
      </c>
      <c r="B17" s="54" t="inlineStr">
        <is>
          <t>Adepta Sororitas</t>
        </is>
      </c>
      <c r="C17" s="54" t="inlineStr">
        <is>
          <t>Missionary</t>
        </is>
      </c>
      <c r="D17" s="54" t="inlineStr">
        <is>
          <t>No exact/alias match in uploaded PDF; may be retired, renamed, Legends, or absent from MFM v2.3</t>
        </is>
      </c>
    </row>
    <row r="18">
      <c r="A18" s="54" t="n">
        <v>221</v>
      </c>
      <c r="B18" s="54" t="inlineStr">
        <is>
          <t>Adepta Sororitas</t>
        </is>
      </c>
      <c r="C18" s="54" t="inlineStr">
        <is>
          <t>Preacher</t>
        </is>
      </c>
      <c r="D18" s="54" t="inlineStr">
        <is>
          <t>No exact/alias match in uploaded PDF; may be retired, renamed, Legends, or absent from MFM v2.3</t>
        </is>
      </c>
    </row>
    <row r="19">
      <c r="A19" s="54" t="n">
        <v>223</v>
      </c>
      <c r="B19" s="54" t="inlineStr">
        <is>
          <t>Adepta Sororitas</t>
        </is>
      </c>
      <c r="C19" s="54" t="inlineStr">
        <is>
          <t>Rhino</t>
        </is>
      </c>
      <c r="D19" s="54" t="inlineStr">
        <is>
          <t>No exact/alias match in uploaded PDF; may be retired, renamed, Legends, or absent from MFM v2.3</t>
        </is>
      </c>
    </row>
    <row r="20">
      <c r="A20" s="54" t="n">
        <v>242</v>
      </c>
      <c r="B20" s="54" t="inlineStr">
        <is>
          <t>Adeptus Mechanicus</t>
        </is>
      </c>
      <c r="C20" s="54" t="inlineStr">
        <is>
          <t>Secutarii Hoplites</t>
        </is>
      </c>
      <c r="D20" s="54" t="inlineStr">
        <is>
          <t>No exact/alias match in uploaded PDF; may be retired, renamed, Legends, or absent from MFM v2.3</t>
        </is>
      </c>
    </row>
    <row r="21">
      <c r="A21" s="54" t="n">
        <v>243</v>
      </c>
      <c r="B21" s="54" t="inlineStr">
        <is>
          <t>Adeptus Mechanicus</t>
        </is>
      </c>
      <c r="C21" s="54" t="inlineStr">
        <is>
          <t>Secutarii Peltasts</t>
        </is>
      </c>
      <c r="D21" s="54" t="inlineStr">
        <is>
          <t>No exact/alias match in uploaded PDF; may be retired, renamed, Legends, or absent from MFM v2.3</t>
        </is>
      </c>
    </row>
    <row r="22">
      <c r="A22" s="54" t="n">
        <v>253</v>
      </c>
      <c r="B22" s="54" t="inlineStr">
        <is>
          <t>Adeptus Mechanicus</t>
        </is>
      </c>
      <c r="C22" s="54" t="inlineStr">
        <is>
          <t>Sydonian Dragoons</t>
        </is>
      </c>
      <c r="D22" s="54" t="inlineStr">
        <is>
          <t>No exact/alias match in uploaded PDF; may be retired, renamed, Legends, or absent from MFM v2.3</t>
        </is>
      </c>
    </row>
    <row r="23">
      <c r="A23" s="54" t="n">
        <v>270</v>
      </c>
      <c r="B23" s="54" t="inlineStr">
        <is>
          <t>Astra Militarum</t>
        </is>
      </c>
      <c r="C23" s="54" t="inlineStr">
        <is>
          <t>Death Korps Marshal</t>
        </is>
      </c>
      <c r="D23" s="54" t="inlineStr">
        <is>
          <t>No exact/alias match in uploaded PDF; may be retired, renamed, Legends, or absent from MFM v2.3</t>
        </is>
      </c>
    </row>
    <row r="24">
      <c r="A24" s="54" t="n">
        <v>273</v>
      </c>
      <c r="B24" s="54" t="inlineStr">
        <is>
          <t>Astra Militarum</t>
        </is>
      </c>
      <c r="C24" s="54" t="inlineStr">
        <is>
          <t>Earthshaker Carriage Battery</t>
        </is>
      </c>
      <c r="D24" s="54" t="inlineStr">
        <is>
          <t>No exact/alias match in uploaded PDF; may be retired, renamed, Legends, or absent from MFM v2.3</t>
        </is>
      </c>
    </row>
    <row r="25">
      <c r="A25" s="54" t="n">
        <v>276</v>
      </c>
      <c r="B25" s="54" t="inlineStr">
        <is>
          <t>Astra Militarum</t>
        </is>
      </c>
      <c r="C25" s="54" t="inlineStr">
        <is>
          <t>Heavy Weapons Squad</t>
        </is>
      </c>
      <c r="D25" s="54" t="inlineStr">
        <is>
          <t>No exact/alias match in uploaded PDF; may be retired, renamed, Legends, or absent from MFM v2.3</t>
        </is>
      </c>
    </row>
    <row r="26">
      <c r="A26" s="54" t="n">
        <v>280</v>
      </c>
      <c r="B26" s="54" t="inlineStr">
        <is>
          <t>Astra Militarum</t>
        </is>
      </c>
      <c r="C26" s="54" t="inlineStr">
        <is>
          <t>Infantry Squad</t>
        </is>
      </c>
      <c r="D26" s="54" t="inlineStr">
        <is>
          <t>No exact/alias match in uploaded PDF; may be retired, renamed, Legends, or absent from MFM v2.3</t>
        </is>
      </c>
    </row>
    <row r="27">
      <c r="A27" s="54" t="n">
        <v>292</v>
      </c>
      <c r="B27" s="54" t="inlineStr">
        <is>
          <t>Astra Militarum</t>
        </is>
      </c>
      <c r="C27" s="54" t="inlineStr">
        <is>
          <t>Munitorum Servitors</t>
        </is>
      </c>
      <c r="D27" s="54" t="inlineStr">
        <is>
          <t>No exact/alias match in uploaded PDF; may be retired, renamed, Legends, or absent from MFM v2.3</t>
        </is>
      </c>
    </row>
    <row r="28">
      <c r="A28" s="54" t="n">
        <v>297</v>
      </c>
      <c r="B28" s="54" t="inlineStr">
        <is>
          <t>Astra Militarum</t>
        </is>
      </c>
      <c r="C28" s="54" t="inlineStr">
        <is>
          <t>Ratling Snipers</t>
        </is>
      </c>
      <c r="D28" s="54" t="inlineStr">
        <is>
          <t>No exact/alias match in uploaded PDF; may be retired, renamed, Legends, or absent from MFM v2.3</t>
        </is>
      </c>
    </row>
    <row r="29">
      <c r="A29" s="54" t="n">
        <v>298</v>
      </c>
      <c r="B29" s="54" t="inlineStr">
        <is>
          <t>Astra Militarum</t>
        </is>
      </c>
      <c r="C29" s="54" t="inlineStr">
        <is>
          <t>Regimental Attachés</t>
        </is>
      </c>
      <c r="D29" s="54" t="inlineStr">
        <is>
          <t>No exact/alias match in uploaded PDF; may be retired, renamed, Legends, or absent from MFM v2.3</t>
        </is>
      </c>
    </row>
    <row r="30">
      <c r="A30" s="54" t="n">
        <v>303</v>
      </c>
      <c r="B30" s="54" t="inlineStr">
        <is>
          <t>Astra Militarum</t>
        </is>
      </c>
      <c r="C30" s="54" t="inlineStr">
        <is>
          <t>Sergeant Harker</t>
        </is>
      </c>
      <c r="D30" s="54" t="inlineStr">
        <is>
          <t>No exact/alias match in uploaded PDF; may be retired, renamed, Legends, or absent from MFM v2.3</t>
        </is>
      </c>
    </row>
    <row r="31">
      <c r="A31" s="54" t="n">
        <v>325</v>
      </c>
      <c r="B31" s="54" t="inlineStr">
        <is>
          <t>Imperial Agents</t>
        </is>
      </c>
      <c r="C31" s="54" t="inlineStr">
        <is>
          <t>Callidus Assassin</t>
        </is>
      </c>
      <c r="D31" s="54" t="inlineStr">
        <is>
          <t>No exact/alias match in uploaded PDF; may be retired, renamed, Legends, or absent from MFM v2.3</t>
        </is>
      </c>
    </row>
    <row r="32">
      <c r="A32" s="54" t="n">
        <v>363</v>
      </c>
      <c r="B32" s="54" t="inlineStr">
        <is>
          <t>Chaos Space Marines</t>
        </is>
      </c>
      <c r="C32" s="54" t="inlineStr">
        <is>
          <t>Heretic Astartes Daemon Prince with Wings</t>
        </is>
      </c>
      <c r="D32" s="54" t="inlineStr">
        <is>
          <t>No exact/alias match in uploaded PDF; may be retired, renamed, Legends, or absent from MFM v2.3</t>
        </is>
      </c>
    </row>
    <row r="33">
      <c r="A33" s="54" t="n">
        <v>372</v>
      </c>
      <c r="B33" s="54" t="inlineStr">
        <is>
          <t>Chaos Space Marines</t>
        </is>
      </c>
      <c r="C33" s="54" t="inlineStr">
        <is>
          <t>Noise Marines</t>
        </is>
      </c>
      <c r="D33" s="54" t="inlineStr">
        <is>
          <t>No exact/alias match in uploaded PDF; may be retired, renamed, Legends, or absent from MFM v2.3</t>
        </is>
      </c>
    </row>
    <row r="34">
      <c r="A34" s="54" t="n">
        <v>385</v>
      </c>
      <c r="B34" s="54" t="inlineStr">
        <is>
          <t>Emperor's Children</t>
        </is>
      </c>
      <c r="C34" s="54" t="inlineStr">
        <is>
          <t>Emperor's Children Lord Exultant</t>
        </is>
      </c>
      <c r="D34" s="54" t="inlineStr">
        <is>
          <t>No exact/alias match in uploaded PDF; may be retired, renamed, Legends, or absent from MFM v2.3</t>
        </is>
      </c>
    </row>
    <row r="35">
      <c r="A35" s="54" t="n">
        <v>488</v>
      </c>
      <c r="B35" s="54" t="inlineStr">
        <is>
          <t>Chaos Daemons</t>
        </is>
      </c>
      <c r="C35" s="54" t="inlineStr">
        <is>
          <t>Karanak</t>
        </is>
      </c>
      <c r="D35" s="54" t="inlineStr">
        <is>
          <t>No exact/alias match in uploaded PDF; may be retired, renamed, Legends, or absent from MFM v2.3</t>
        </is>
      </c>
    </row>
    <row r="36">
      <c r="A36" s="54" t="n">
        <v>509</v>
      </c>
      <c r="B36" s="54" t="inlineStr">
        <is>
          <t>Chaos Daemons</t>
        </is>
      </c>
      <c r="C36" s="54" t="inlineStr">
        <is>
          <t>Tormentbringer on Exalted Seeker Chariot</t>
        </is>
      </c>
      <c r="D36" s="54" t="inlineStr">
        <is>
          <t>No exact/alias match in uploaded PDF; may be retired, renamed, Legends, or absent from MFM v2.3</t>
        </is>
      </c>
    </row>
    <row r="37">
      <c r="A37" s="54" t="n">
        <v>523</v>
      </c>
      <c r="B37" s="54" t="inlineStr">
        <is>
          <t>Aeldari</t>
        </is>
      </c>
      <c r="C37" s="54" t="inlineStr">
        <is>
          <t>Autarch Skyrunner</t>
        </is>
      </c>
      <c r="D37" s="54" t="inlineStr">
        <is>
          <t>No exact/alias match in uploaded PDF; may be retired, renamed, Legends, or absent from MFM v2.3</t>
        </is>
      </c>
    </row>
    <row r="38">
      <c r="A38" s="54" t="n">
        <v>542</v>
      </c>
      <c r="B38" s="54" t="inlineStr">
        <is>
          <t>Aeldari</t>
        </is>
      </c>
      <c r="C38" s="54" t="inlineStr">
        <is>
          <t>Illic Nightspear</t>
        </is>
      </c>
      <c r="D38" s="54" t="inlineStr">
        <is>
          <t>No exact/alias match in uploaded PDF; may be retired, renamed, Legends, or absent from MFM v2.3</t>
        </is>
      </c>
    </row>
    <row r="39">
      <c r="A39" s="54" t="n">
        <v>544</v>
      </c>
      <c r="B39" s="54" t="inlineStr">
        <is>
          <t>Aeldari</t>
        </is>
      </c>
      <c r="C39" s="54" t="inlineStr">
        <is>
          <t>Karandras</t>
        </is>
      </c>
      <c r="D39" s="54" t="inlineStr">
        <is>
          <t>No exact/alias match in uploaded PDF; may be retired, renamed, Legends, or absent from MFM v2.3</t>
        </is>
      </c>
    </row>
    <row r="40">
      <c r="A40" s="54" t="n">
        <v>547</v>
      </c>
      <c r="B40" s="54" t="inlineStr">
        <is>
          <t>Aeldari</t>
        </is>
      </c>
      <c r="C40" s="54" t="inlineStr">
        <is>
          <t>Prince Yriel</t>
        </is>
      </c>
      <c r="D40" s="54" t="inlineStr">
        <is>
          <t>No exact/alias match in uploaded PDF; may be retired, renamed, Legends, or absent from MFM v2.3</t>
        </is>
      </c>
    </row>
    <row r="41">
      <c r="A41" s="54" t="n">
        <v>566</v>
      </c>
      <c r="B41" s="54" t="inlineStr">
        <is>
          <t>Aeldari</t>
        </is>
      </c>
      <c r="C41" s="54" t="inlineStr">
        <is>
          <t>Webway Gate</t>
        </is>
      </c>
      <c r="D41" s="54" t="inlineStr">
        <is>
          <t>No exact/alias match in uploaded PDF; may be retired, renamed, Legends, or absent from MFM v2.3</t>
        </is>
      </c>
    </row>
    <row r="42">
      <c r="A42" s="54" t="n">
        <v>591</v>
      </c>
      <c r="B42" s="54" t="inlineStr">
        <is>
          <t>Drukhari</t>
        </is>
      </c>
      <c r="C42" s="54" t="inlineStr">
        <is>
          <t>Tantalus</t>
        </is>
      </c>
      <c r="D42" s="54" t="inlineStr">
        <is>
          <t>No exact/alias match in uploaded PDF; may be retired, renamed, Legends, or absent from MFM v2.3</t>
        </is>
      </c>
    </row>
    <row r="43">
      <c r="A43" s="54" t="n">
        <v>595</v>
      </c>
      <c r="B43" s="54" t="inlineStr">
        <is>
          <t>Drukhari</t>
        </is>
      </c>
      <c r="C43" s="54" t="inlineStr">
        <is>
          <t>Voidweaver</t>
        </is>
      </c>
      <c r="D43" s="54" t="inlineStr">
        <is>
          <t>No exact/alias match in uploaded PDF; may be retired, renamed, Legends, or absent from MFM v2.3</t>
        </is>
      </c>
    </row>
    <row r="44">
      <c r="A44" s="54" t="n">
        <v>596</v>
      </c>
      <c r="B44" s="54" t="inlineStr">
        <is>
          <t>Drukhari</t>
        </is>
      </c>
      <c r="C44" s="54" t="inlineStr">
        <is>
          <t>Warp Beasts</t>
        </is>
      </c>
      <c r="D44" s="54" t="inlineStr">
        <is>
          <t>No exact/alias match in uploaded PDF; may be retired, renamed, Legends, or absent from MFM v2.3</t>
        </is>
      </c>
    </row>
    <row r="45">
      <c r="A45" s="54" t="n">
        <v>608</v>
      </c>
      <c r="B45" s="54" t="inlineStr">
        <is>
          <t>Necrons</t>
        </is>
      </c>
      <c r="C45" s="54" t="inlineStr">
        <is>
          <t>Anrakyr the Traveller</t>
        </is>
      </c>
      <c r="D45" s="54" t="inlineStr">
        <is>
          <t>No exact/alias match in uploaded PDF; may be retired, renamed, Legends, or absent from MFM v2.3</t>
        </is>
      </c>
    </row>
    <row r="46">
      <c r="A46" s="54" t="n">
        <v>609</v>
      </c>
      <c r="B46" s="54" t="inlineStr">
        <is>
          <t>Necrons</t>
        </is>
      </c>
      <c r="C46" s="54" t="inlineStr">
        <is>
          <t>Canoptek Acanthrites</t>
        </is>
      </c>
      <c r="D46" s="54" t="inlineStr">
        <is>
          <t>No exact/alias match in uploaded PDF; may be retired, renamed, Legends, or absent from MFM v2.3</t>
        </is>
      </c>
    </row>
    <row r="47">
      <c r="A47" s="54" t="n">
        <v>665</v>
      </c>
      <c r="B47" s="54" t="inlineStr">
        <is>
          <t>Orks</t>
        </is>
      </c>
      <c r="C47" s="54" t="inlineStr">
        <is>
          <t>Boss Zagstruk</t>
        </is>
      </c>
      <c r="D47" s="54" t="inlineStr">
        <is>
          <t>No exact/alias match in uploaded PDF; may be retired, renamed, Legends, or absent from MFM v2.3</t>
        </is>
      </c>
    </row>
    <row r="48">
      <c r="A48" s="54" t="n">
        <v>678</v>
      </c>
      <c r="B48" s="54" t="inlineStr">
        <is>
          <t>Orks</t>
        </is>
      </c>
      <c r="C48" s="54" t="inlineStr">
        <is>
          <t>Kaptin Badrukk</t>
        </is>
      </c>
      <c r="D48" s="54" t="inlineStr">
        <is>
          <t>No exact/alias match in uploaded PDF; may be retired, renamed, Legends, or absent from MFM v2.3</t>
        </is>
      </c>
    </row>
    <row r="49">
      <c r="A49" s="54" t="n">
        <v>689</v>
      </c>
      <c r="B49" s="54" t="inlineStr">
        <is>
          <t>Orks</t>
        </is>
      </c>
      <c r="C49" s="54" t="inlineStr">
        <is>
          <t>Nob on Smasha Squig</t>
        </is>
      </c>
      <c r="D49" s="54" t="inlineStr">
        <is>
          <t>No exact/alias match in uploaded PDF; may be retired, renamed, Legends, or absent from MFM v2.3</t>
        </is>
      </c>
    </row>
    <row r="50">
      <c r="A50" s="54" t="n">
        <v>690</v>
      </c>
      <c r="B50" s="54" t="inlineStr">
        <is>
          <t>Orks</t>
        </is>
      </c>
      <c r="C50" s="54" t="inlineStr">
        <is>
          <t>Nob with Waaagh! Banner</t>
        </is>
      </c>
      <c r="D50" s="54" t="inlineStr">
        <is>
          <t>No exact/alias match in uploaded PDF; may be retired, renamed, Legends, or absent from MFM v2.3</t>
        </is>
      </c>
    </row>
    <row r="51">
      <c r="A51" s="54" t="n">
        <v>707</v>
      </c>
      <c r="B51" s="54" t="inlineStr">
        <is>
          <t>T'au Empire</t>
        </is>
      </c>
      <c r="C51" s="54" t="inlineStr">
        <is>
          <t>Aun'Shi</t>
        </is>
      </c>
      <c r="D51" s="54" t="inlineStr">
        <is>
          <t>No exact/alias match in uploaded PDF; may be retired, renamed, Legends, or absent from MFM v2.3</t>
        </is>
      </c>
    </row>
    <row r="52">
      <c r="A52" s="54" t="n">
        <v>708</v>
      </c>
      <c r="B52" s="54" t="inlineStr">
        <is>
          <t>T'au Empire</t>
        </is>
      </c>
      <c r="C52" s="54" t="inlineStr">
        <is>
          <t>Aun'Va</t>
        </is>
      </c>
      <c r="D52" s="54" t="inlineStr">
        <is>
          <t>No exact/alias match in uploaded PDF; may be retired, renamed, Legends, or absent from MFM v2.3</t>
        </is>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3.75" customWidth="1" style="48" min="1" max="1"/>
    <col width="18" customWidth="1" style="48" min="2" max="2"/>
    <col width="14.63000011444092" customWidth="1" style="48" min="3" max="3"/>
    <col width="10.38000011444092" customWidth="1" style="48" min="4" max="4"/>
    <col width="19.8799991607666" customWidth="1" style="48" min="5" max="5"/>
    <col width="8.75" customWidth="1" style="48" min="6" max="6"/>
    <col width="15.38000011444092" customWidth="1" style="48" min="7" max="7"/>
    <col width="9.380000114440918" customWidth="1" style="48" min="8" max="8"/>
    <col width="7.5" customWidth="1" style="48" min="9" max="9"/>
    <col width="12.13000011444092" customWidth="1" style="48" min="10" max="10"/>
    <col width="15.25" customWidth="1" style="48" min="11" max="11"/>
    <col width="7.75" customWidth="1" style="48" min="12" max="12"/>
    <col width="7.5" customWidth="1" style="48" min="13" max="13"/>
    <col width="48.88000106811523" customWidth="1" style="48" min="14" max="14"/>
    <col width="61.5" customWidth="1" style="48" min="15" max="15"/>
  </cols>
  <sheetData>
    <row r="1">
      <c r="A1" s="79" t="inlineStr">
        <is>
          <t>Faction</t>
        </is>
      </c>
      <c r="B1" s="79" t="inlineStr">
        <is>
          <t>Subfaction/Chapter</t>
        </is>
      </c>
      <c r="C1" s="79" t="inlineStr">
        <is>
          <t>Battlefield Role</t>
        </is>
      </c>
      <c r="D1" s="79" t="inlineStr">
        <is>
          <t>Unit Type</t>
        </is>
      </c>
      <c r="E1" s="79" t="inlineStr">
        <is>
          <t>Unit Name</t>
        </is>
      </c>
      <c r="F1" s="79" t="inlineStr">
        <is>
          <t>Models</t>
        </is>
      </c>
      <c r="G1" s="79" t="inlineStr">
        <is>
          <t>Keywords / Tags</t>
        </is>
      </c>
      <c r="H1" s="79" t="inlineStr">
        <is>
          <t>Owned?</t>
        </is>
      </c>
      <c r="I1" s="79" t="inlineStr">
        <is>
          <t>Built?</t>
        </is>
      </c>
      <c r="J1" s="79" t="inlineStr">
        <is>
          <t>Paint Status</t>
        </is>
      </c>
      <c r="K1" s="79" t="inlineStr">
        <is>
          <t>Wishlist Priority</t>
        </is>
      </c>
      <c r="L1" s="79" t="inlineStr">
        <is>
          <t>Points</t>
        </is>
      </c>
      <c r="M1" s="79" t="inlineStr">
        <is>
          <t>Notes</t>
        </is>
      </c>
      <c r="N1" s="79" t="inlineStr">
        <is>
          <t>Verification Status</t>
        </is>
      </c>
      <c r="O1" s="79" t="inlineStr">
        <is>
          <t>Source URL</t>
        </is>
      </c>
    </row>
    <row r="2">
      <c r="A2" t="inlineStr">
        <is>
          <t>Adeptus Titanicus</t>
        </is>
      </c>
      <c r="C2" t="inlineStr">
        <is>
          <t>Vehicle / Support</t>
        </is>
      </c>
      <c r="D2" t="inlineStr">
        <is>
          <t>Vehicle</t>
        </is>
      </c>
      <c r="E2" t="inlineStr">
        <is>
          <t>Reaver Titan</t>
        </is>
      </c>
      <c r="F2" t="inlineStr">
        <is>
          <t>1 model</t>
        </is>
      </c>
      <c r="G2" t="inlineStr">
        <is>
          <t>Vehicle</t>
        </is>
      </c>
      <c r="L2" t="n">
        <v>2200</v>
      </c>
      <c r="N2" t="inlineStr">
        <is>
          <t>Added from current Munitorum Field Manual v4.1 (non-Legends)</t>
        </is>
      </c>
      <c r="O2" t="inlineStr">
        <is>
          <t>https://www.warhammer-community.com/en-gb/downloads/warhammer-40000/</t>
        </is>
      </c>
    </row>
    <row r="3">
      <c r="A3" t="inlineStr">
        <is>
          <t>Adeptus Titanicus</t>
        </is>
      </c>
      <c r="C3" t="inlineStr">
        <is>
          <t>Vehicle / Support</t>
        </is>
      </c>
      <c r="D3" t="inlineStr">
        <is>
          <t>Vehicle</t>
        </is>
      </c>
      <c r="E3" t="inlineStr">
        <is>
          <t>Warbringer Nemesis Titan</t>
        </is>
      </c>
      <c r="F3" t="inlineStr">
        <is>
          <t>1 model</t>
        </is>
      </c>
      <c r="G3" t="inlineStr">
        <is>
          <t>Vehicle</t>
        </is>
      </c>
      <c r="L3" t="n">
        <v>2600</v>
      </c>
      <c r="N3" t="inlineStr">
        <is>
          <t>Added from current Munitorum Field Manual v4.1 (non-Legends)</t>
        </is>
      </c>
      <c r="O3" t="inlineStr">
        <is>
          <t>https://www.warhammer-community.com/en-gb/downloads/warhammer-40000/</t>
        </is>
      </c>
    </row>
    <row r="4">
      <c r="A4" t="inlineStr">
        <is>
          <t>Adeptus Titanicus</t>
        </is>
      </c>
      <c r="C4" t="inlineStr">
        <is>
          <t>Vehicle / Support</t>
        </is>
      </c>
      <c r="D4" t="inlineStr">
        <is>
          <t>Vehicle</t>
        </is>
      </c>
      <c r="E4" t="inlineStr">
        <is>
          <t>Warhound Titan</t>
        </is>
      </c>
      <c r="F4" t="inlineStr">
        <is>
          <t>1 model</t>
        </is>
      </c>
      <c r="G4" t="inlineStr">
        <is>
          <t>Vehicle</t>
        </is>
      </c>
      <c r="L4" t="n">
        <v>1100</v>
      </c>
      <c r="N4" t="inlineStr">
        <is>
          <t>Added from current Munitorum Field Manual v4.1 (non-Legends)</t>
        </is>
      </c>
      <c r="O4" t="inlineStr">
        <is>
          <t>https://www.warhammer-community.com/en-gb/downloads/warhammer-40000/</t>
        </is>
      </c>
    </row>
    <row r="5">
      <c r="A5" t="inlineStr">
        <is>
          <t>Adeptus Titanicus</t>
        </is>
      </c>
      <c r="C5" t="inlineStr">
        <is>
          <t>Character</t>
        </is>
      </c>
      <c r="D5" t="inlineStr">
        <is>
          <t>Character</t>
        </is>
      </c>
      <c r="E5" t="inlineStr">
        <is>
          <t>Warlord Titan</t>
        </is>
      </c>
      <c r="F5" t="inlineStr">
        <is>
          <t>1 model</t>
        </is>
      </c>
      <c r="G5" t="inlineStr">
        <is>
          <t>Character</t>
        </is>
      </c>
      <c r="L5" t="n">
        <v>3500</v>
      </c>
      <c r="N5" t="inlineStr">
        <is>
          <t>Added from current Munitorum Field Manual v4.1 (non-Legends)</t>
        </is>
      </c>
      <c r="O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5.25" customWidth="1" style="48" min="1" max="1"/>
    <col width="18" customWidth="1" style="48" min="2" max="2"/>
    <col width="14.63000011444092" customWidth="1" style="48" min="3" max="3"/>
    <col width="10.38000011444092" customWidth="1" style="48" min="4" max="4"/>
    <col width="24.8799991607666" customWidth="1" style="48" min="5" max="5"/>
    <col width="8.75" customWidth="1" style="48" min="6" max="6"/>
    <col width="15.38000011444092" customWidth="1" style="48" min="7" max="7"/>
    <col width="9.380000114440918" customWidth="1" style="48" min="8" max="8"/>
    <col width="7.5" customWidth="1" style="48" min="9" max="9"/>
    <col width="12.13000011444092" customWidth="1" style="48" min="10" max="10"/>
    <col width="15.25" customWidth="1" style="48" min="11" max="11"/>
    <col width="7.75" customWidth="1" style="48" min="12" max="12"/>
    <col width="7.5" customWidth="1" style="48" min="13" max="13"/>
    <col width="48.88000106811523" customWidth="1" style="48" min="14" max="14"/>
    <col width="61.5" customWidth="1" style="48" min="15" max="15"/>
  </cols>
  <sheetData>
    <row r="1">
      <c r="A1" s="79" t="inlineStr">
        <is>
          <t>Faction</t>
        </is>
      </c>
      <c r="B1" s="79" t="inlineStr">
        <is>
          <t>Subfaction/Chapter</t>
        </is>
      </c>
      <c r="C1" s="79" t="inlineStr">
        <is>
          <t>Battlefield Role</t>
        </is>
      </c>
      <c r="D1" s="79" t="inlineStr">
        <is>
          <t>Unit Type</t>
        </is>
      </c>
      <c r="E1" s="79" t="inlineStr">
        <is>
          <t>Unit Name</t>
        </is>
      </c>
      <c r="F1" s="79" t="inlineStr">
        <is>
          <t>Models</t>
        </is>
      </c>
      <c r="G1" s="79" t="inlineStr">
        <is>
          <t>Keywords / Tags</t>
        </is>
      </c>
      <c r="H1" s="79" t="inlineStr">
        <is>
          <t>Owned?</t>
        </is>
      </c>
      <c r="I1" s="79" t="inlineStr">
        <is>
          <t>Built?</t>
        </is>
      </c>
      <c r="J1" s="79" t="inlineStr">
        <is>
          <t>Paint Status</t>
        </is>
      </c>
      <c r="K1" s="79" t="inlineStr">
        <is>
          <t>Wishlist Priority</t>
        </is>
      </c>
      <c r="L1" s="79" t="inlineStr">
        <is>
          <t>Points</t>
        </is>
      </c>
      <c r="M1" s="79" t="inlineStr">
        <is>
          <t>Notes</t>
        </is>
      </c>
      <c r="N1" s="79" t="inlineStr">
        <is>
          <t>Verification Status</t>
        </is>
      </c>
      <c r="O1" s="79" t="inlineStr">
        <is>
          <t>Source URL</t>
        </is>
      </c>
    </row>
    <row r="2">
      <c r="A2" t="inlineStr">
        <is>
          <t>Chaos Titan Legions</t>
        </is>
      </c>
      <c r="C2" t="inlineStr">
        <is>
          <t>Vehicle / Support</t>
        </is>
      </c>
      <c r="D2" t="inlineStr">
        <is>
          <t>Vehicle</t>
        </is>
      </c>
      <c r="E2" t="inlineStr">
        <is>
          <t>Chaos Reaver Titan</t>
        </is>
      </c>
      <c r="F2" t="inlineStr">
        <is>
          <t>1 model</t>
        </is>
      </c>
      <c r="G2" t="inlineStr">
        <is>
          <t>Vehicle</t>
        </is>
      </c>
      <c r="L2" t="n">
        <v>2200</v>
      </c>
      <c r="N2" t="inlineStr">
        <is>
          <t>Added from current Munitorum Field Manual v4.1 (non-Legends)</t>
        </is>
      </c>
      <c r="O2" t="inlineStr">
        <is>
          <t>https://www.warhammer-community.com/en-gb/downloads/warhammer-40000/</t>
        </is>
      </c>
    </row>
    <row r="3">
      <c r="A3" t="inlineStr">
        <is>
          <t>Chaos Titan Legions</t>
        </is>
      </c>
      <c r="C3" t="inlineStr">
        <is>
          <t>Vehicle / Support</t>
        </is>
      </c>
      <c r="D3" t="inlineStr">
        <is>
          <t>Vehicle</t>
        </is>
      </c>
      <c r="E3" t="inlineStr">
        <is>
          <t>Chaos Warbringer Nemesis Titan</t>
        </is>
      </c>
      <c r="F3" t="inlineStr">
        <is>
          <t>1 model</t>
        </is>
      </c>
      <c r="G3" t="inlineStr">
        <is>
          <t>Vehicle</t>
        </is>
      </c>
      <c r="L3" t="n">
        <v>2600</v>
      </c>
      <c r="N3" t="inlineStr">
        <is>
          <t>Added from current Munitorum Field Manual v4.1 (non-Legends)</t>
        </is>
      </c>
      <c r="O3" t="inlineStr">
        <is>
          <t>https://www.warhammer-community.com/en-gb/downloads/warhammer-40000/</t>
        </is>
      </c>
    </row>
    <row r="4">
      <c r="A4" t="inlineStr">
        <is>
          <t>Chaos Titan Legions</t>
        </is>
      </c>
      <c r="C4" t="inlineStr">
        <is>
          <t>Vehicle / Support</t>
        </is>
      </c>
      <c r="D4" t="inlineStr">
        <is>
          <t>Vehicle</t>
        </is>
      </c>
      <c r="E4" t="inlineStr">
        <is>
          <t>Chaos Warhound Titan</t>
        </is>
      </c>
      <c r="F4" t="inlineStr">
        <is>
          <t>1 model</t>
        </is>
      </c>
      <c r="G4" t="inlineStr">
        <is>
          <t>Vehicle</t>
        </is>
      </c>
      <c r="L4" t="n">
        <v>1100</v>
      </c>
      <c r="N4" t="inlineStr">
        <is>
          <t>Added from current Munitorum Field Manual v4.1 (non-Legends)</t>
        </is>
      </c>
      <c r="O4" t="inlineStr">
        <is>
          <t>https://www.warhammer-community.com/en-gb/downloads/warhammer-40000/</t>
        </is>
      </c>
    </row>
    <row r="5">
      <c r="A5" t="inlineStr">
        <is>
          <t>Chaos Titan Legions</t>
        </is>
      </c>
      <c r="C5" t="inlineStr">
        <is>
          <t>Character</t>
        </is>
      </c>
      <c r="D5" t="inlineStr">
        <is>
          <t>Character</t>
        </is>
      </c>
      <c r="E5" t="inlineStr">
        <is>
          <t>Chaos Warlord Titan</t>
        </is>
      </c>
      <c r="F5" t="inlineStr">
        <is>
          <t>1 model</t>
        </is>
      </c>
      <c r="G5" t="inlineStr">
        <is>
          <t>Character</t>
        </is>
      </c>
      <c r="L5" t="n">
        <v>3500</v>
      </c>
      <c r="N5" t="inlineStr">
        <is>
          <t>Added from current Munitorum Field Manual v4.1 (non-Legends)</t>
        </is>
      </c>
      <c r="O5" t="inlineStr">
        <is>
          <t>https://www.warhammer-community.com/en-gb/downloads/warhammer-40000/</t>
        </is>
      </c>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cols>
    <col width="38.13000106811523" customWidth="1" style="48" min="1" max="1"/>
    <col width="34" customWidth="1" style="48" min="2" max="2"/>
    <col width="8.75" customWidth="1" style="48" min="3" max="3"/>
    <col width="11.75" customWidth="1" style="48" min="4" max="4"/>
    <col width="18" customWidth="1" style="48" min="5" max="5"/>
    <col width="8" customWidth="1" style="48" min="6" max="6"/>
  </cols>
  <sheetData>
    <row r="1">
      <c r="A1" s="85" t="inlineStr">
        <is>
          <t>Warhammer 40,000 Current Unit Audit</t>
        </is>
      </c>
      <c r="B1" s="1" t="n"/>
      <c r="C1" s="1" t="n"/>
      <c r="D1" s="1" t="n"/>
      <c r="E1" s="1" t="n"/>
      <c r="F1" s="1" t="n"/>
    </row>
    <row r="2">
      <c r="A2" t="inlineStr">
        <is>
          <t>Audit basis</t>
        </is>
      </c>
      <c r="B2" t="inlineStr">
        <is>
          <t>Official Munitorum Field Manual v4.1 / current 2026 supported units</t>
        </is>
      </c>
    </row>
    <row r="3">
      <c r="A3" t="inlineStr">
        <is>
          <t>Scope</t>
        </is>
      </c>
      <c r="B3" t="inlineStr">
        <is>
          <t>Non-Legends units absent from the existing March 2025 catalogue; no existing rows removed</t>
        </is>
      </c>
    </row>
    <row r="4">
      <c r="A4" t="inlineStr">
        <is>
          <t>Units added</t>
        </is>
      </c>
      <c r="B4" t="n">
        <v>307</v>
      </c>
    </row>
    <row r="6">
      <c r="A6" s="83" t="inlineStr">
        <is>
          <t>Faction</t>
        </is>
      </c>
      <c r="B6" s="83" t="inlineStr">
        <is>
          <t>Unit Name</t>
        </is>
      </c>
      <c r="C6" s="83" t="inlineStr">
        <is>
          <t>Models</t>
        </is>
      </c>
      <c r="D6" s="83" t="inlineStr">
        <is>
          <t>Base Points</t>
        </is>
      </c>
      <c r="E6" s="83" t="inlineStr">
        <is>
          <t>Subfaction/Chapter</t>
        </is>
      </c>
      <c r="F6" s="83" t="inlineStr">
        <is>
          <t>Action</t>
        </is>
      </c>
    </row>
    <row r="7">
      <c r="A7" t="inlineStr">
        <is>
          <t>Adepta Sororitas</t>
        </is>
      </c>
      <c r="B7" t="inlineStr">
        <is>
          <t>Canoness With Jump Pack</t>
        </is>
      </c>
      <c r="C7" t="inlineStr">
        <is>
          <t>1 model</t>
        </is>
      </c>
      <c r="D7" t="n">
        <v>75</v>
      </c>
      <c r="F7" t="inlineStr">
        <is>
          <t>Added</t>
        </is>
      </c>
    </row>
    <row r="8">
      <c r="A8" t="inlineStr">
        <is>
          <t>Adepta Sororitas</t>
        </is>
      </c>
      <c r="B8" t="inlineStr">
        <is>
          <t>Celestian Insidiants</t>
        </is>
      </c>
      <c r="C8" t="inlineStr">
        <is>
          <t>10 models</t>
        </is>
      </c>
      <c r="D8" t="n">
        <v>120</v>
      </c>
      <c r="F8" t="inlineStr">
        <is>
          <t>Added</t>
        </is>
      </c>
    </row>
    <row r="9">
      <c r="A9" t="inlineStr">
        <is>
          <t>Adepta Sororitas</t>
        </is>
      </c>
      <c r="B9" t="inlineStr">
        <is>
          <t>Intranzia Fraye</t>
        </is>
      </c>
      <c r="C9" t="inlineStr">
        <is>
          <t>1 model</t>
        </is>
      </c>
      <c r="D9" t="n">
        <v>150</v>
      </c>
      <c r="F9" t="inlineStr">
        <is>
          <t>Added</t>
        </is>
      </c>
    </row>
    <row r="10">
      <c r="A10" t="inlineStr">
        <is>
          <t>Adepta Sororitas</t>
        </is>
      </c>
      <c r="B10" t="inlineStr">
        <is>
          <t>Repentia Squad</t>
        </is>
      </c>
      <c r="C10" t="inlineStr">
        <is>
          <t>5 models</t>
        </is>
      </c>
      <c r="D10" t="n">
        <v>75</v>
      </c>
      <c r="F10" t="inlineStr">
        <is>
          <t>Added</t>
        </is>
      </c>
    </row>
    <row r="11">
      <c r="A11" t="inlineStr">
        <is>
          <t>Adepta Sororitas</t>
        </is>
      </c>
      <c r="B11" t="inlineStr">
        <is>
          <t>Sanctifiers</t>
        </is>
      </c>
      <c r="C11" t="inlineStr">
        <is>
          <t>9 models</t>
        </is>
      </c>
      <c r="D11" t="n">
        <v>110</v>
      </c>
      <c r="F11" t="inlineStr">
        <is>
          <t>Added</t>
        </is>
      </c>
    </row>
    <row r="12">
      <c r="A12" t="inlineStr">
        <is>
          <t>Adepta Sororitas</t>
        </is>
      </c>
      <c r="B12" t="inlineStr">
        <is>
          <t>Sisters Novitiate Squad</t>
        </is>
      </c>
      <c r="C12" t="inlineStr">
        <is>
          <t>10 models</t>
        </is>
      </c>
      <c r="D12" t="n">
        <v>100</v>
      </c>
      <c r="F12" t="inlineStr">
        <is>
          <t>Added</t>
        </is>
      </c>
    </row>
    <row r="13">
      <c r="A13" t="inlineStr">
        <is>
          <t>Adeptus Custodes</t>
        </is>
      </c>
      <c r="B13" t="inlineStr">
        <is>
          <t>Agamatus Custodians</t>
        </is>
      </c>
      <c r="C13" t="inlineStr">
        <is>
          <t>3 models</t>
        </is>
      </c>
      <c r="D13" t="n">
        <v>225</v>
      </c>
      <c r="F13" t="inlineStr">
        <is>
          <t>Added</t>
        </is>
      </c>
    </row>
    <row r="14">
      <c r="A14" t="inlineStr">
        <is>
          <t>Adeptus Custodes</t>
        </is>
      </c>
      <c r="B14" t="inlineStr">
        <is>
          <t>Anathema Psykana Rhino</t>
        </is>
      </c>
      <c r="C14" t="inlineStr">
        <is>
          <t>1 model</t>
        </is>
      </c>
      <c r="D14" t="n">
        <v>75</v>
      </c>
      <c r="F14" t="inlineStr">
        <is>
          <t>Added</t>
        </is>
      </c>
    </row>
    <row r="15">
      <c r="A15" t="inlineStr">
        <is>
          <t>Adeptus Custodes</t>
        </is>
      </c>
      <c r="B15" t="inlineStr">
        <is>
          <t>Aquilon Custodians</t>
        </is>
      </c>
      <c r="C15" t="inlineStr">
        <is>
          <t>3 models</t>
        </is>
      </c>
      <c r="D15" t="n">
        <v>195</v>
      </c>
      <c r="F15" t="inlineStr">
        <is>
          <t>Added</t>
        </is>
      </c>
    </row>
    <row r="16">
      <c r="A16" t="inlineStr">
        <is>
          <t>Adeptus Custodes</t>
        </is>
      </c>
      <c r="B16" t="inlineStr">
        <is>
          <t>Ares Gunship</t>
        </is>
      </c>
      <c r="C16" t="inlineStr">
        <is>
          <t>1 model</t>
        </is>
      </c>
      <c r="D16" t="n">
        <v>580</v>
      </c>
      <c r="F16" t="inlineStr">
        <is>
          <t>Added</t>
        </is>
      </c>
    </row>
    <row r="17">
      <c r="A17" t="inlineStr">
        <is>
          <t>Adeptus Custodes</t>
        </is>
      </c>
      <c r="B17" t="inlineStr">
        <is>
          <t>Caladius Grav-Tank</t>
        </is>
      </c>
      <c r="C17" t="inlineStr">
        <is>
          <t>1 model</t>
        </is>
      </c>
      <c r="D17" t="n">
        <v>210</v>
      </c>
      <c r="F17" t="inlineStr">
        <is>
          <t>Added</t>
        </is>
      </c>
    </row>
    <row r="18">
      <c r="A18" t="inlineStr">
        <is>
          <t>Adeptus Custodes</t>
        </is>
      </c>
      <c r="B18" t="inlineStr">
        <is>
          <t>Contemptor-Achillus Dreadnought</t>
        </is>
      </c>
      <c r="C18" t="inlineStr">
        <is>
          <t>1 model</t>
        </is>
      </c>
      <c r="D18" t="n">
        <v>155</v>
      </c>
      <c r="F18" t="inlineStr">
        <is>
          <t>Added</t>
        </is>
      </c>
    </row>
    <row r="19">
      <c r="A19" t="inlineStr">
        <is>
          <t>Adeptus Custodes</t>
        </is>
      </c>
      <c r="B19" t="inlineStr">
        <is>
          <t>Contemptor-Galatus Dreadnought</t>
        </is>
      </c>
      <c r="C19" t="inlineStr">
        <is>
          <t>1 model</t>
        </is>
      </c>
      <c r="D19" t="n">
        <v>165</v>
      </c>
      <c r="F19" t="inlineStr">
        <is>
          <t>Added</t>
        </is>
      </c>
    </row>
    <row r="20">
      <c r="A20" t="inlineStr">
        <is>
          <t>Adeptus Custodes</t>
        </is>
      </c>
      <c r="B20" t="inlineStr">
        <is>
          <t>Coronus Grav-Carrier</t>
        </is>
      </c>
      <c r="C20" t="inlineStr">
        <is>
          <t>1 model</t>
        </is>
      </c>
      <c r="D20" t="n">
        <v>180</v>
      </c>
      <c r="F20" t="inlineStr">
        <is>
          <t>Added</t>
        </is>
      </c>
    </row>
    <row r="21">
      <c r="A21" t="inlineStr">
        <is>
          <t>Adeptus Custodes</t>
        </is>
      </c>
      <c r="B21" t="inlineStr">
        <is>
          <t>Custodian Guard With Adrasite And Pyrithite Spears</t>
        </is>
      </c>
      <c r="C21" t="inlineStr">
        <is>
          <t>5 models</t>
        </is>
      </c>
      <c r="D21" t="n">
        <v>250</v>
      </c>
      <c r="F21" t="inlineStr">
        <is>
          <t>Added</t>
        </is>
      </c>
    </row>
    <row r="22">
      <c r="A22" t="inlineStr">
        <is>
          <t>Adeptus Custodes</t>
        </is>
      </c>
      <c r="B22" t="inlineStr">
        <is>
          <t>Orion Assault Dropship</t>
        </is>
      </c>
      <c r="C22" t="inlineStr">
        <is>
          <t>1 model</t>
        </is>
      </c>
      <c r="D22" t="n">
        <v>690</v>
      </c>
      <c r="F22" t="inlineStr">
        <is>
          <t>Added</t>
        </is>
      </c>
    </row>
    <row r="23">
      <c r="A23" t="inlineStr">
        <is>
          <t>Adeptus Custodes</t>
        </is>
      </c>
      <c r="B23" t="inlineStr">
        <is>
          <t>Pallas Grav-Attack</t>
        </is>
      </c>
      <c r="C23" t="inlineStr">
        <is>
          <t>1 model</t>
        </is>
      </c>
      <c r="D23" t="n">
        <v>100</v>
      </c>
      <c r="F23" t="inlineStr">
        <is>
          <t>Added</t>
        </is>
      </c>
    </row>
    <row r="24">
      <c r="A24" t="inlineStr">
        <is>
          <t>Adeptus Custodes</t>
        </is>
      </c>
      <c r="B24" t="inlineStr">
        <is>
          <t>Sagittarum Custodians</t>
        </is>
      </c>
      <c r="C24" t="inlineStr">
        <is>
          <t>5 models</t>
        </is>
      </c>
      <c r="D24" t="n">
        <v>225</v>
      </c>
      <c r="F24" t="inlineStr">
        <is>
          <t>Added</t>
        </is>
      </c>
    </row>
    <row r="25">
      <c r="A25" t="inlineStr">
        <is>
          <t>Adeptus Custodes</t>
        </is>
      </c>
      <c r="B25" t="inlineStr">
        <is>
          <t>Telemon Heavy Dreadnought</t>
        </is>
      </c>
      <c r="C25" t="inlineStr">
        <is>
          <t>1 model</t>
        </is>
      </c>
      <c r="D25" t="n">
        <v>225</v>
      </c>
      <c r="F25" t="inlineStr">
        <is>
          <t>Added</t>
        </is>
      </c>
    </row>
    <row r="26">
      <c r="A26" t="inlineStr">
        <is>
          <t>Adeptus Custodes</t>
        </is>
      </c>
      <c r="B26" t="inlineStr">
        <is>
          <t>Venatari Custodians</t>
        </is>
      </c>
      <c r="C26" t="inlineStr">
        <is>
          <t>3 models</t>
        </is>
      </c>
      <c r="D26" t="n">
        <v>160</v>
      </c>
      <c r="F26" t="inlineStr">
        <is>
          <t>Added</t>
        </is>
      </c>
    </row>
    <row r="27">
      <c r="A27" t="inlineStr">
        <is>
          <t>Adeptus Mechanicus</t>
        </is>
      </c>
      <c r="B27" t="inlineStr">
        <is>
          <t>Hastarii Exterminators</t>
        </is>
      </c>
      <c r="C27" t="inlineStr">
        <is>
          <t>5 models</t>
        </is>
      </c>
      <c r="D27" t="n">
        <v>115</v>
      </c>
      <c r="F27" t="inlineStr">
        <is>
          <t>Added</t>
        </is>
      </c>
    </row>
    <row r="28">
      <c r="A28" t="inlineStr">
        <is>
          <t>Adeptus Mechanicus</t>
        </is>
      </c>
      <c r="B28" t="inlineStr">
        <is>
          <t>Hastarii Fusiliers</t>
        </is>
      </c>
      <c r="C28" t="inlineStr">
        <is>
          <t>5 models</t>
        </is>
      </c>
      <c r="D28" t="n">
        <v>115</v>
      </c>
      <c r="F28" t="inlineStr">
        <is>
          <t>Added</t>
        </is>
      </c>
    </row>
    <row r="29">
      <c r="A29" t="inlineStr">
        <is>
          <t>Adeptus Mechanicus</t>
        </is>
      </c>
      <c r="B29" t="inlineStr">
        <is>
          <t>Servitor Battleclade</t>
        </is>
      </c>
      <c r="C29" t="inlineStr">
        <is>
          <t>9 models</t>
        </is>
      </c>
      <c r="D29" t="n">
        <v>65</v>
      </c>
      <c r="F29" t="inlineStr">
        <is>
          <t>Added</t>
        </is>
      </c>
    </row>
    <row r="30">
      <c r="A30" t="inlineStr">
        <is>
          <t>Adeptus Mechanicus</t>
        </is>
      </c>
      <c r="B30" t="inlineStr">
        <is>
          <t>Sydonian Dragoons With Radium Jezzails</t>
        </is>
      </c>
      <c r="C30" t="inlineStr">
        <is>
          <t>1 model</t>
        </is>
      </c>
      <c r="D30" t="n">
        <v>55</v>
      </c>
      <c r="F30" t="inlineStr">
        <is>
          <t>Added</t>
        </is>
      </c>
    </row>
    <row r="31">
      <c r="A31" t="inlineStr">
        <is>
          <t>Adeptus Mechanicus</t>
        </is>
      </c>
      <c r="B31" t="inlineStr">
        <is>
          <t>Sydonian Dragoons With Taser Lances</t>
        </is>
      </c>
      <c r="C31" t="inlineStr">
        <is>
          <t>1 model</t>
        </is>
      </c>
      <c r="D31" t="n">
        <v>60</v>
      </c>
      <c r="F31" t="inlineStr">
        <is>
          <t>Added</t>
        </is>
      </c>
    </row>
    <row r="32">
      <c r="A32" t="inlineStr">
        <is>
          <t>Adeptus Mechanicus</t>
        </is>
      </c>
      <c r="B32" t="inlineStr">
        <is>
          <t>Sydonian Skatros</t>
        </is>
      </c>
      <c r="C32" t="inlineStr">
        <is>
          <t>1 model</t>
        </is>
      </c>
      <c r="D32" t="n">
        <v>50</v>
      </c>
      <c r="F32" t="inlineStr">
        <is>
          <t>Added</t>
        </is>
      </c>
    </row>
    <row r="33">
      <c r="A33" t="inlineStr">
        <is>
          <t>Adeptus Mechanicus</t>
        </is>
      </c>
      <c r="B33" t="inlineStr">
        <is>
          <t>Technoarcheologist</t>
        </is>
      </c>
      <c r="C33" t="inlineStr">
        <is>
          <t>1 model</t>
        </is>
      </c>
      <c r="D33" t="n">
        <v>45</v>
      </c>
      <c r="F33" t="inlineStr">
        <is>
          <t>Added</t>
        </is>
      </c>
    </row>
    <row r="34">
      <c r="A34" t="inlineStr">
        <is>
          <t>Adeptus Mechanicus</t>
        </is>
      </c>
      <c r="B34" t="inlineStr">
        <is>
          <t>Thulia Ghuld</t>
        </is>
      </c>
      <c r="C34" t="inlineStr">
        <is>
          <t>1 model</t>
        </is>
      </c>
      <c r="D34" t="n">
        <v>180</v>
      </c>
      <c r="F34" t="inlineStr">
        <is>
          <t>Added</t>
        </is>
      </c>
    </row>
    <row r="35">
      <c r="A35" t="inlineStr">
        <is>
          <t>Adeptus Titanicus</t>
        </is>
      </c>
      <c r="B35" t="inlineStr">
        <is>
          <t>Reaver Titan</t>
        </is>
      </c>
      <c r="C35" t="inlineStr">
        <is>
          <t>1 model</t>
        </is>
      </c>
      <c r="D35" t="n">
        <v>2200</v>
      </c>
      <c r="F35" t="inlineStr">
        <is>
          <t>Added</t>
        </is>
      </c>
    </row>
    <row r="36">
      <c r="A36" t="inlineStr">
        <is>
          <t>Adeptus Titanicus</t>
        </is>
      </c>
      <c r="B36" t="inlineStr">
        <is>
          <t>Warbringer Nemesis Titan</t>
        </is>
      </c>
      <c r="C36" t="inlineStr">
        <is>
          <t>1 model</t>
        </is>
      </c>
      <c r="D36" t="n">
        <v>2600</v>
      </c>
      <c r="F36" t="inlineStr">
        <is>
          <t>Added</t>
        </is>
      </c>
    </row>
    <row r="37">
      <c r="A37" t="inlineStr">
        <is>
          <t>Adeptus Titanicus</t>
        </is>
      </c>
      <c r="B37" t="inlineStr">
        <is>
          <t>Warhound Titan</t>
        </is>
      </c>
      <c r="C37" t="inlineStr">
        <is>
          <t>1 model</t>
        </is>
      </c>
      <c r="D37" t="n">
        <v>1100</v>
      </c>
      <c r="F37" t="inlineStr">
        <is>
          <t>Added</t>
        </is>
      </c>
    </row>
    <row r="38">
      <c r="A38" t="inlineStr">
        <is>
          <t>Adeptus Titanicus</t>
        </is>
      </c>
      <c r="B38" t="inlineStr">
        <is>
          <t>Warlord Titan</t>
        </is>
      </c>
      <c r="C38" t="inlineStr">
        <is>
          <t>1 model</t>
        </is>
      </c>
      <c r="D38" t="n">
        <v>3500</v>
      </c>
      <c r="F38" t="inlineStr">
        <is>
          <t>Added</t>
        </is>
      </c>
    </row>
    <row r="39">
      <c r="A39" t="inlineStr">
        <is>
          <t>Aeldari</t>
        </is>
      </c>
      <c r="B39" t="inlineStr">
        <is>
          <t>Corsair Skyreavers</t>
        </is>
      </c>
      <c r="C39" t="inlineStr">
        <is>
          <t>5 models</t>
        </is>
      </c>
      <c r="D39" t="n">
        <v>80</v>
      </c>
      <c r="F39" t="inlineStr">
        <is>
          <t>Added</t>
        </is>
      </c>
    </row>
    <row r="40">
      <c r="A40" t="inlineStr">
        <is>
          <t>Aeldari</t>
        </is>
      </c>
      <c r="B40" t="inlineStr">
        <is>
          <t>D-Cannon Platform</t>
        </is>
      </c>
      <c r="C40" t="inlineStr">
        <is>
          <t>1 model</t>
        </is>
      </c>
      <c r="D40" t="n">
        <v>110</v>
      </c>
      <c r="F40" t="inlineStr">
        <is>
          <t>Added</t>
        </is>
      </c>
    </row>
    <row r="41">
      <c r="A41" t="inlineStr">
        <is>
          <t>Aeldari</t>
        </is>
      </c>
      <c r="B41" t="inlineStr">
        <is>
          <t>Death Jester</t>
        </is>
      </c>
      <c r="C41" t="inlineStr">
        <is>
          <t>1 model</t>
        </is>
      </c>
      <c r="D41" t="n">
        <v>80</v>
      </c>
      <c r="F41" t="inlineStr">
        <is>
          <t>Added</t>
        </is>
      </c>
    </row>
    <row r="42">
      <c r="A42" t="inlineStr">
        <is>
          <t>Aeldari</t>
        </is>
      </c>
      <c r="B42" t="inlineStr">
        <is>
          <t>Kharseth</t>
        </is>
      </c>
      <c r="C42" t="inlineStr">
        <is>
          <t>1 model</t>
        </is>
      </c>
      <c r="D42" t="n">
        <v>85</v>
      </c>
      <c r="F42" t="inlineStr">
        <is>
          <t>Added</t>
        </is>
      </c>
    </row>
    <row r="43">
      <c r="A43" t="inlineStr">
        <is>
          <t>Aeldari</t>
        </is>
      </c>
      <c r="B43" t="inlineStr">
        <is>
          <t>Lhykhis</t>
        </is>
      </c>
      <c r="C43" t="inlineStr">
        <is>
          <t>1 model</t>
        </is>
      </c>
      <c r="D43" t="n">
        <v>135</v>
      </c>
      <c r="F43" t="inlineStr">
        <is>
          <t>Added</t>
        </is>
      </c>
    </row>
    <row r="44">
      <c r="A44" t="inlineStr">
        <is>
          <t>Aeldari</t>
        </is>
      </c>
      <c r="B44" t="inlineStr">
        <is>
          <t>Phantom Titan</t>
        </is>
      </c>
      <c r="C44" t="inlineStr">
        <is>
          <t>1 model</t>
        </is>
      </c>
      <c r="D44" t="n">
        <v>2100</v>
      </c>
      <c r="F44" t="inlineStr">
        <is>
          <t>Added</t>
        </is>
      </c>
    </row>
    <row r="45">
      <c r="A45" t="inlineStr">
        <is>
          <t>Aeldari</t>
        </is>
      </c>
      <c r="B45" t="inlineStr">
        <is>
          <t>Revenant Titan</t>
        </is>
      </c>
      <c r="C45" t="inlineStr">
        <is>
          <t>1 model</t>
        </is>
      </c>
      <c r="D45" t="n">
        <v>1100</v>
      </c>
      <c r="F45" t="inlineStr">
        <is>
          <t>Added</t>
        </is>
      </c>
    </row>
    <row r="46">
      <c r="A46" t="inlineStr">
        <is>
          <t>Aeldari</t>
        </is>
      </c>
      <c r="B46" t="inlineStr">
        <is>
          <t>Shadow Weaver Platform</t>
        </is>
      </c>
      <c r="C46" t="inlineStr">
        <is>
          <t>1 model</t>
        </is>
      </c>
      <c r="D46" t="n">
        <v>60</v>
      </c>
      <c r="F46" t="inlineStr">
        <is>
          <t>Added</t>
        </is>
      </c>
    </row>
    <row r="47">
      <c r="A47" t="inlineStr">
        <is>
          <t>Aeldari</t>
        </is>
      </c>
      <c r="B47" t="inlineStr">
        <is>
          <t>Shadowseer</t>
        </is>
      </c>
      <c r="C47" t="inlineStr">
        <is>
          <t>1 model</t>
        </is>
      </c>
      <c r="D47" t="n">
        <v>60</v>
      </c>
      <c r="F47" t="inlineStr">
        <is>
          <t>Added</t>
        </is>
      </c>
    </row>
    <row r="48">
      <c r="A48" t="inlineStr">
        <is>
          <t>Aeldari</t>
        </is>
      </c>
      <c r="B48" t="inlineStr">
        <is>
          <t>Skyweavers</t>
        </is>
      </c>
      <c r="C48" t="inlineStr">
        <is>
          <t>2 models</t>
        </is>
      </c>
      <c r="D48" t="n">
        <v>105</v>
      </c>
      <c r="F48" t="inlineStr">
        <is>
          <t>Added</t>
        </is>
      </c>
    </row>
    <row r="49">
      <c r="A49" t="inlineStr">
        <is>
          <t>Aeldari</t>
        </is>
      </c>
      <c r="B49" t="inlineStr">
        <is>
          <t>Solitaire</t>
        </is>
      </c>
      <c r="C49" t="inlineStr">
        <is>
          <t>1 model</t>
        </is>
      </c>
      <c r="D49" t="n">
        <v>115</v>
      </c>
      <c r="F49" t="inlineStr">
        <is>
          <t>Added</t>
        </is>
      </c>
    </row>
    <row r="50">
      <c r="A50" t="inlineStr">
        <is>
          <t>Aeldari</t>
        </is>
      </c>
      <c r="B50" t="inlineStr">
        <is>
          <t>Starfangs</t>
        </is>
      </c>
      <c r="C50" t="inlineStr">
        <is>
          <t>1 model</t>
        </is>
      </c>
      <c r="D50" t="n">
        <v>70</v>
      </c>
      <c r="F50" t="inlineStr">
        <is>
          <t>Added</t>
        </is>
      </c>
    </row>
    <row r="51">
      <c r="A51" t="inlineStr">
        <is>
          <t>Aeldari</t>
        </is>
      </c>
      <c r="B51" t="inlineStr">
        <is>
          <t>Starweaver</t>
        </is>
      </c>
      <c r="C51" t="inlineStr">
        <is>
          <t>1 model</t>
        </is>
      </c>
      <c r="D51" t="n">
        <v>80</v>
      </c>
      <c r="F51" t="inlineStr">
        <is>
          <t>Added</t>
        </is>
      </c>
    </row>
    <row r="52">
      <c r="A52" t="inlineStr">
        <is>
          <t>Aeldari</t>
        </is>
      </c>
      <c r="B52" t="inlineStr">
        <is>
          <t>Storm Guardians</t>
        </is>
      </c>
      <c r="C52" t="inlineStr">
        <is>
          <t>11 models</t>
        </is>
      </c>
      <c r="D52" t="n">
        <v>110</v>
      </c>
      <c r="F52" t="inlineStr">
        <is>
          <t>Added</t>
        </is>
      </c>
    </row>
    <row r="53">
      <c r="A53" t="inlineStr">
        <is>
          <t>Aeldari</t>
        </is>
      </c>
      <c r="B53" t="inlineStr">
        <is>
          <t>Troupe Master</t>
        </is>
      </c>
      <c r="C53" t="inlineStr">
        <is>
          <t>1 model</t>
        </is>
      </c>
      <c r="D53" t="n">
        <v>75</v>
      </c>
      <c r="F53" t="inlineStr">
        <is>
          <t>Added</t>
        </is>
      </c>
    </row>
    <row r="54">
      <c r="A54" t="inlineStr">
        <is>
          <t>Aeldari</t>
        </is>
      </c>
      <c r="B54" t="inlineStr">
        <is>
          <t>Vibro Cannon Platform</t>
        </is>
      </c>
      <c r="C54" t="inlineStr">
        <is>
          <t>1 model</t>
        </is>
      </c>
      <c r="D54" t="n">
        <v>60</v>
      </c>
      <c r="F54" t="inlineStr">
        <is>
          <t>Added</t>
        </is>
      </c>
    </row>
    <row r="55">
      <c r="A55" t="inlineStr">
        <is>
          <t>Aeldari</t>
        </is>
      </c>
      <c r="B55" t="inlineStr">
        <is>
          <t>Voidweaver</t>
        </is>
      </c>
      <c r="C55" t="inlineStr">
        <is>
          <t>1 model</t>
        </is>
      </c>
      <c r="D55" t="n">
        <v>115</v>
      </c>
      <c r="F55" t="inlineStr">
        <is>
          <t>Added</t>
        </is>
      </c>
    </row>
    <row r="56">
      <c r="A56" t="inlineStr">
        <is>
          <t>Aeldari</t>
        </is>
      </c>
      <c r="B56" t="inlineStr">
        <is>
          <t>Vyper</t>
        </is>
      </c>
      <c r="C56" t="inlineStr">
        <is>
          <t>1 model</t>
        </is>
      </c>
      <c r="D56" t="n">
        <v>75</v>
      </c>
      <c r="F56" t="inlineStr">
        <is>
          <t>Added</t>
        </is>
      </c>
    </row>
    <row r="57">
      <c r="A57" t="inlineStr">
        <is>
          <t>Aeldari</t>
        </is>
      </c>
      <c r="B57" t="inlineStr">
        <is>
          <t>War Walkers</t>
        </is>
      </c>
      <c r="C57" t="inlineStr">
        <is>
          <t>1 model</t>
        </is>
      </c>
      <c r="D57" t="n">
        <v>85</v>
      </c>
      <c r="F57" t="inlineStr">
        <is>
          <t>Added</t>
        </is>
      </c>
    </row>
    <row r="58">
      <c r="A58" t="inlineStr">
        <is>
          <t>Aeldari</t>
        </is>
      </c>
      <c r="B58" t="inlineStr">
        <is>
          <t>Warlock Skyrunners</t>
        </is>
      </c>
      <c r="C58" t="inlineStr">
        <is>
          <t>1 model</t>
        </is>
      </c>
      <c r="D58" t="n">
        <v>45</v>
      </c>
      <c r="F58" t="inlineStr">
        <is>
          <t>Added</t>
        </is>
      </c>
    </row>
    <row r="59">
      <c r="A59" t="inlineStr">
        <is>
          <t>Aeldari</t>
        </is>
      </c>
      <c r="B59" t="inlineStr">
        <is>
          <t>Wraithknight With Ghostglaive</t>
        </is>
      </c>
      <c r="C59" t="inlineStr">
        <is>
          <t>1 model</t>
        </is>
      </c>
      <c r="D59" t="n">
        <v>405</v>
      </c>
      <c r="F59" t="inlineStr">
        <is>
          <t>Added</t>
        </is>
      </c>
    </row>
    <row r="60">
      <c r="A60" t="inlineStr">
        <is>
          <t>Aeldari</t>
        </is>
      </c>
      <c r="B60" t="inlineStr">
        <is>
          <t>Ynnari Archon</t>
        </is>
      </c>
      <c r="C60" t="inlineStr">
        <is>
          <t>1 model</t>
        </is>
      </c>
      <c r="D60" t="n">
        <v>85</v>
      </c>
      <c r="F60" t="inlineStr">
        <is>
          <t>Added</t>
        </is>
      </c>
    </row>
    <row r="61">
      <c r="A61" t="inlineStr">
        <is>
          <t>Aeldari</t>
        </is>
      </c>
      <c r="B61" t="inlineStr">
        <is>
          <t>Ynnari Incubi</t>
        </is>
      </c>
      <c r="C61" t="inlineStr">
        <is>
          <t>5 models</t>
        </is>
      </c>
      <c r="D61" t="n">
        <v>80</v>
      </c>
      <c r="F61" t="inlineStr">
        <is>
          <t>Added</t>
        </is>
      </c>
    </row>
    <row r="62">
      <c r="A62" t="inlineStr">
        <is>
          <t>Aeldari</t>
        </is>
      </c>
      <c r="B62" t="inlineStr">
        <is>
          <t>Ynnari Kabalite Warriors</t>
        </is>
      </c>
      <c r="C62" t="inlineStr">
        <is>
          <t>10 models</t>
        </is>
      </c>
      <c r="D62" t="n">
        <v>110</v>
      </c>
      <c r="F62" t="inlineStr">
        <is>
          <t>Added</t>
        </is>
      </c>
    </row>
    <row r="63">
      <c r="A63" t="inlineStr">
        <is>
          <t>Aeldari</t>
        </is>
      </c>
      <c r="B63" t="inlineStr">
        <is>
          <t>Ynnari Raider</t>
        </is>
      </c>
      <c r="C63" t="inlineStr">
        <is>
          <t>1 model</t>
        </is>
      </c>
      <c r="D63" t="n">
        <v>80</v>
      </c>
      <c r="F63" t="inlineStr">
        <is>
          <t>Added</t>
        </is>
      </c>
    </row>
    <row r="64">
      <c r="A64" t="inlineStr">
        <is>
          <t>Aeldari</t>
        </is>
      </c>
      <c r="B64" t="inlineStr">
        <is>
          <t>Ynnari Reavers</t>
        </is>
      </c>
      <c r="C64" t="inlineStr">
        <is>
          <t>3 models</t>
        </is>
      </c>
      <c r="D64" t="n">
        <v>65</v>
      </c>
      <c r="F64" t="inlineStr">
        <is>
          <t>Added</t>
        </is>
      </c>
    </row>
    <row r="65">
      <c r="A65" t="inlineStr">
        <is>
          <t>Aeldari</t>
        </is>
      </c>
      <c r="B65" t="inlineStr">
        <is>
          <t>Ynnari Succubus</t>
        </is>
      </c>
      <c r="C65" t="inlineStr">
        <is>
          <t>1 model</t>
        </is>
      </c>
      <c r="D65" t="n">
        <v>45</v>
      </c>
      <c r="F65" t="inlineStr">
        <is>
          <t>Added</t>
        </is>
      </c>
    </row>
    <row r="66">
      <c r="A66" t="inlineStr">
        <is>
          <t>Aeldari</t>
        </is>
      </c>
      <c r="B66" t="inlineStr">
        <is>
          <t>Ynnari Venom</t>
        </is>
      </c>
      <c r="C66" t="inlineStr">
        <is>
          <t>1 model</t>
        </is>
      </c>
      <c r="D66" t="n">
        <v>70</v>
      </c>
      <c r="F66" t="inlineStr">
        <is>
          <t>Added</t>
        </is>
      </c>
    </row>
    <row r="67">
      <c r="A67" t="inlineStr">
        <is>
          <t>Aeldari</t>
        </is>
      </c>
      <c r="B67" t="inlineStr">
        <is>
          <t>Ynnari Wyches</t>
        </is>
      </c>
      <c r="C67" t="inlineStr">
        <is>
          <t>10 models</t>
        </is>
      </c>
      <c r="D67" t="n">
        <v>90</v>
      </c>
      <c r="F67" t="inlineStr">
        <is>
          <t>Added</t>
        </is>
      </c>
    </row>
    <row r="68">
      <c r="A68" t="inlineStr">
        <is>
          <t>Astra Militarum</t>
        </is>
      </c>
      <c r="B68" t="inlineStr">
        <is>
          <t>Aegis Defence Line</t>
        </is>
      </c>
      <c r="C68" t="inlineStr">
        <is>
          <t>1 model</t>
        </is>
      </c>
      <c r="D68" t="n">
        <v>145</v>
      </c>
      <c r="F68" t="inlineStr">
        <is>
          <t>Added</t>
        </is>
      </c>
    </row>
    <row r="69">
      <c r="A69" t="inlineStr">
        <is>
          <t>Astra Militarum</t>
        </is>
      </c>
      <c r="B69" t="inlineStr">
        <is>
          <t>Artillery Team</t>
        </is>
      </c>
      <c r="C69" t="inlineStr">
        <is>
          <t>1 model</t>
        </is>
      </c>
      <c r="D69" t="n">
        <v>95</v>
      </c>
      <c r="F69" t="inlineStr">
        <is>
          <t>Added</t>
        </is>
      </c>
    </row>
    <row r="70">
      <c r="A70" t="inlineStr">
        <is>
          <t>Astra Militarum</t>
        </is>
      </c>
      <c r="B70" t="inlineStr">
        <is>
          <t>Avenger Strike Fighter</t>
        </is>
      </c>
      <c r="C70" t="inlineStr">
        <is>
          <t>1 model</t>
        </is>
      </c>
      <c r="D70" t="n">
        <v>130</v>
      </c>
      <c r="F70" t="inlineStr">
        <is>
          <t>Added</t>
        </is>
      </c>
    </row>
    <row r="71">
      <c r="A71" t="inlineStr">
        <is>
          <t>Astra Militarum</t>
        </is>
      </c>
      <c r="B71" t="inlineStr">
        <is>
          <t>Cadian Heavy Weapons Squad</t>
        </is>
      </c>
      <c r="C71" t="inlineStr">
        <is>
          <t>3 models</t>
        </is>
      </c>
      <c r="D71" t="n">
        <v>65</v>
      </c>
      <c r="F71" t="inlineStr">
        <is>
          <t>Added</t>
        </is>
      </c>
    </row>
    <row r="72">
      <c r="A72" t="inlineStr">
        <is>
          <t>Astra Militarum</t>
        </is>
      </c>
      <c r="B72" t="inlineStr">
        <is>
          <t>Cadian Recon Squad</t>
        </is>
      </c>
      <c r="C72" t="inlineStr">
        <is>
          <t>10 models</t>
        </is>
      </c>
      <c r="D72" t="n">
        <v>80</v>
      </c>
      <c r="F72" t="inlineStr">
        <is>
          <t>Added</t>
        </is>
      </c>
    </row>
    <row r="73">
      <c r="A73" t="inlineStr">
        <is>
          <t>Astra Militarum</t>
        </is>
      </c>
      <c r="B73" t="inlineStr">
        <is>
          <t>Catachan Command Squad</t>
        </is>
      </c>
      <c r="C73" t="inlineStr">
        <is>
          <t>5 models</t>
        </is>
      </c>
      <c r="D73" t="n">
        <v>60</v>
      </c>
      <c r="F73" t="inlineStr">
        <is>
          <t>Added</t>
        </is>
      </c>
    </row>
    <row r="74">
      <c r="A74" t="inlineStr">
        <is>
          <t>Astra Militarum</t>
        </is>
      </c>
      <c r="B74" t="inlineStr">
        <is>
          <t>Catachan Heavy Weapons Squad</t>
        </is>
      </c>
      <c r="C74" t="inlineStr">
        <is>
          <t>3 models</t>
        </is>
      </c>
      <c r="D74" t="n">
        <v>65</v>
      </c>
      <c r="F74" t="inlineStr">
        <is>
          <t>Added</t>
        </is>
      </c>
    </row>
    <row r="75">
      <c r="A75" t="inlineStr">
        <is>
          <t>Astra Militarum</t>
        </is>
      </c>
      <c r="B75" t="inlineStr">
        <is>
          <t>Centaur Rsv</t>
        </is>
      </c>
      <c r="C75" t="inlineStr">
        <is>
          <t>1 model</t>
        </is>
      </c>
      <c r="D75" t="n">
        <v>75</v>
      </c>
      <c r="F75" t="inlineStr">
        <is>
          <t>Added</t>
        </is>
      </c>
    </row>
    <row r="76">
      <c r="A76" t="inlineStr">
        <is>
          <t>Astra Militarum</t>
        </is>
      </c>
      <c r="B76" t="inlineStr">
        <is>
          <t>Commissar Graves</t>
        </is>
      </c>
      <c r="C76" t="inlineStr">
        <is>
          <t>1 model</t>
        </is>
      </c>
      <c r="D76" t="n">
        <v>125</v>
      </c>
      <c r="F76" t="inlineStr">
        <is>
          <t>Added</t>
        </is>
      </c>
    </row>
    <row r="77">
      <c r="A77" t="inlineStr">
        <is>
          <t>Astra Militarum</t>
        </is>
      </c>
      <c r="B77" t="inlineStr">
        <is>
          <t>Commissar Graves On Foot</t>
        </is>
      </c>
      <c r="C77" t="inlineStr">
        <is>
          <t>1 model</t>
        </is>
      </c>
      <c r="D77" t="n">
        <v>65</v>
      </c>
      <c r="F77" t="inlineStr">
        <is>
          <t>Added</t>
        </is>
      </c>
    </row>
    <row r="78">
      <c r="A78" t="inlineStr">
        <is>
          <t>Astra Militarum</t>
        </is>
      </c>
      <c r="B78" t="inlineStr">
        <is>
          <t>Commissar Yarrick</t>
        </is>
      </c>
      <c r="C78" t="inlineStr">
        <is>
          <t>1 model</t>
        </is>
      </c>
      <c r="D78" t="n">
        <v>130</v>
      </c>
      <c r="F78" t="inlineStr">
        <is>
          <t>Added</t>
        </is>
      </c>
    </row>
    <row r="79">
      <c r="A79" t="inlineStr">
        <is>
          <t>Astra Militarum</t>
        </is>
      </c>
      <c r="B79" t="inlineStr">
        <is>
          <t>Cyclops Demolition Vehicle</t>
        </is>
      </c>
      <c r="C79" t="inlineStr">
        <is>
          <t>1 model</t>
        </is>
      </c>
      <c r="D79" t="n">
        <v>40</v>
      </c>
      <c r="F79" t="inlineStr">
        <is>
          <t>Added</t>
        </is>
      </c>
    </row>
    <row r="80">
      <c r="A80" t="inlineStr">
        <is>
          <t>Astra Militarum</t>
        </is>
      </c>
      <c r="B80" t="inlineStr">
        <is>
          <t>Death Riders</t>
        </is>
      </c>
      <c r="C80" t="inlineStr">
        <is>
          <t>5 models</t>
        </is>
      </c>
      <c r="D80" t="n">
        <v>60</v>
      </c>
      <c r="F80" t="inlineStr">
        <is>
          <t>Added</t>
        </is>
      </c>
    </row>
    <row r="81">
      <c r="A81" t="inlineStr">
        <is>
          <t>Astra Militarum</t>
        </is>
      </c>
      <c r="B81" t="inlineStr">
        <is>
          <t>Deathstrike</t>
        </is>
      </c>
      <c r="C81" t="inlineStr">
        <is>
          <t>1 model</t>
        </is>
      </c>
      <c r="D81" t="n">
        <v>125</v>
      </c>
      <c r="F81" t="inlineStr">
        <is>
          <t>Added</t>
        </is>
      </c>
    </row>
    <row r="82">
      <c r="A82" t="inlineStr">
        <is>
          <t>Astra Militarum</t>
        </is>
      </c>
      <c r="B82" t="inlineStr">
        <is>
          <t>Hippogriff Afv</t>
        </is>
      </c>
      <c r="C82" t="inlineStr">
        <is>
          <t>1 model</t>
        </is>
      </c>
      <c r="D82" t="n">
        <v>70</v>
      </c>
      <c r="F82" t="inlineStr">
        <is>
          <t>Added</t>
        </is>
      </c>
    </row>
    <row r="83">
      <c r="A83" t="inlineStr">
        <is>
          <t>Astra Militarum</t>
        </is>
      </c>
      <c r="B83" t="inlineStr">
        <is>
          <t>Krieg Combat Engineers</t>
        </is>
      </c>
      <c r="C83" t="inlineStr">
        <is>
          <t>5 models</t>
        </is>
      </c>
      <c r="D83" t="n">
        <v>65</v>
      </c>
      <c r="F83" t="inlineStr">
        <is>
          <t>Added</t>
        </is>
      </c>
    </row>
    <row r="84">
      <c r="A84" t="inlineStr">
        <is>
          <t>Astra Militarum</t>
        </is>
      </c>
      <c r="B84" t="inlineStr">
        <is>
          <t>Krieg Command Squad</t>
        </is>
      </c>
      <c r="C84" t="inlineStr">
        <is>
          <t>6 models</t>
        </is>
      </c>
      <c r="D84" t="n">
        <v>65</v>
      </c>
      <c r="F84" t="inlineStr">
        <is>
          <t>Added</t>
        </is>
      </c>
    </row>
    <row r="85">
      <c r="A85" t="inlineStr">
        <is>
          <t>Astra Militarum</t>
        </is>
      </c>
      <c r="B85" t="inlineStr">
        <is>
          <t>Krieg Heavy Weapons Squad</t>
        </is>
      </c>
      <c r="C85" t="inlineStr">
        <is>
          <t>4 models</t>
        </is>
      </c>
      <c r="D85" t="n">
        <v>60</v>
      </c>
      <c r="F85" t="inlineStr">
        <is>
          <t>Added</t>
        </is>
      </c>
    </row>
    <row r="86">
      <c r="A86" t="inlineStr">
        <is>
          <t>Astra Militarum</t>
        </is>
      </c>
      <c r="B86" t="inlineStr">
        <is>
          <t>Leman Russ Commander</t>
        </is>
      </c>
      <c r="C86" t="inlineStr">
        <is>
          <t>1 model</t>
        </is>
      </c>
      <c r="D86" t="n">
        <v>235</v>
      </c>
      <c r="F86" t="inlineStr">
        <is>
          <t>Added</t>
        </is>
      </c>
    </row>
    <row r="87">
      <c r="A87" t="inlineStr">
        <is>
          <t>Astra Militarum</t>
        </is>
      </c>
      <c r="B87" t="inlineStr">
        <is>
          <t>Lord Marshal Dreir</t>
        </is>
      </c>
      <c r="C87" t="inlineStr">
        <is>
          <t>1 model</t>
        </is>
      </c>
      <c r="D87" t="n">
        <v>75</v>
      </c>
      <c r="F87" t="inlineStr">
        <is>
          <t>Added</t>
        </is>
      </c>
    </row>
    <row r="88">
      <c r="A88" t="inlineStr">
        <is>
          <t>Astra Militarum</t>
        </is>
      </c>
      <c r="B88" t="inlineStr">
        <is>
          <t>Rogal Dorn Commander</t>
        </is>
      </c>
      <c r="C88" t="inlineStr">
        <is>
          <t>1 model</t>
        </is>
      </c>
      <c r="D88" t="n">
        <v>290</v>
      </c>
      <c r="F88" t="inlineStr">
        <is>
          <t>Added</t>
        </is>
      </c>
    </row>
    <row r="89">
      <c r="A89" t="inlineStr">
        <is>
          <t>Astra Militarum</t>
        </is>
      </c>
      <c r="B89" t="inlineStr">
        <is>
          <t>Sly Marbo</t>
        </is>
      </c>
      <c r="C89" t="inlineStr">
        <is>
          <t>1 model</t>
        </is>
      </c>
      <c r="D89" t="n">
        <v>55</v>
      </c>
      <c r="F89" t="inlineStr">
        <is>
          <t>Added</t>
        </is>
      </c>
    </row>
    <row r="90">
      <c r="A90" t="inlineStr">
        <is>
          <t>Astra Militarum</t>
        </is>
      </c>
      <c r="B90" t="inlineStr">
        <is>
          <t>Tempestus Aquilons</t>
        </is>
      </c>
      <c r="C90" t="inlineStr">
        <is>
          <t>10 models</t>
        </is>
      </c>
      <c r="D90" t="n">
        <v>100</v>
      </c>
      <c r="F90" t="inlineStr">
        <is>
          <t>Added</t>
        </is>
      </c>
    </row>
    <row r="91">
      <c r="A91" t="inlineStr">
        <is>
          <t>Black Templars</t>
        </is>
      </c>
      <c r="B91" t="inlineStr">
        <is>
          <t>Crusade Ancient</t>
        </is>
      </c>
      <c r="C91" t="inlineStr">
        <is>
          <t>1 model</t>
        </is>
      </c>
      <c r="D91" t="n">
        <v>45</v>
      </c>
      <c r="E91" t="inlineStr">
        <is>
          <t>Black Templars</t>
        </is>
      </c>
      <c r="F91" t="inlineStr">
        <is>
          <t>Added</t>
        </is>
      </c>
    </row>
    <row r="92">
      <c r="A92" t="inlineStr">
        <is>
          <t>Black Templars</t>
        </is>
      </c>
      <c r="B92" t="inlineStr">
        <is>
          <t>Execrator</t>
        </is>
      </c>
      <c r="C92" t="inlineStr">
        <is>
          <t>1 model</t>
        </is>
      </c>
      <c r="D92" t="n">
        <v>60</v>
      </c>
      <c r="E92" t="inlineStr">
        <is>
          <t>Black Templars</t>
        </is>
      </c>
      <c r="F92" t="inlineStr">
        <is>
          <t>Added</t>
        </is>
      </c>
    </row>
    <row r="93">
      <c r="A93" t="inlineStr">
        <is>
          <t>Black Templars</t>
        </is>
      </c>
      <c r="B93" t="inlineStr">
        <is>
          <t>Marshal</t>
        </is>
      </c>
      <c r="C93" t="inlineStr">
        <is>
          <t>1 model</t>
        </is>
      </c>
      <c r="D93" t="n">
        <v>80</v>
      </c>
      <c r="E93" t="inlineStr">
        <is>
          <t>Black Templars</t>
        </is>
      </c>
      <c r="F93" t="inlineStr">
        <is>
          <t>Added</t>
        </is>
      </c>
    </row>
    <row r="94">
      <c r="A94" t="inlineStr">
        <is>
          <t>Blood Angels</t>
        </is>
      </c>
      <c r="B94" t="inlineStr">
        <is>
          <t>Death Company Captain</t>
        </is>
      </c>
      <c r="C94" t="inlineStr">
        <is>
          <t>1 model</t>
        </is>
      </c>
      <c r="D94" t="n">
        <v>70</v>
      </c>
      <c r="E94" t="inlineStr">
        <is>
          <t>Blood Angels</t>
        </is>
      </c>
      <c r="F94" t="inlineStr">
        <is>
          <t>Added</t>
        </is>
      </c>
    </row>
    <row r="95">
      <c r="A95" t="inlineStr">
        <is>
          <t>Blood Angels</t>
        </is>
      </c>
      <c r="B95" t="inlineStr">
        <is>
          <t>Death Company Captain With Jump Pack</t>
        </is>
      </c>
      <c r="C95" t="inlineStr">
        <is>
          <t>1 model</t>
        </is>
      </c>
      <c r="D95" t="n">
        <v>75</v>
      </c>
      <c r="E95" t="inlineStr">
        <is>
          <t>Blood Angels</t>
        </is>
      </c>
      <c r="F95" t="inlineStr">
        <is>
          <t>Added</t>
        </is>
      </c>
    </row>
    <row r="96">
      <c r="A96" t="inlineStr">
        <is>
          <t>Chaos Daemons</t>
        </is>
      </c>
      <c r="B96" t="inlineStr">
        <is>
          <t>Daemon Prince Of Chaos</t>
        </is>
      </c>
      <c r="C96" t="inlineStr">
        <is>
          <t>1 model</t>
        </is>
      </c>
      <c r="D96" t="n">
        <v>165</v>
      </c>
      <c r="F96" t="inlineStr">
        <is>
          <t>Added</t>
        </is>
      </c>
    </row>
    <row r="97">
      <c r="A97" t="inlineStr">
        <is>
          <t>Chaos Daemons</t>
        </is>
      </c>
      <c r="B97" t="inlineStr">
        <is>
          <t>Daemon Prince Of Chaos With Wings</t>
        </is>
      </c>
      <c r="C97" t="inlineStr">
        <is>
          <t>1 model</t>
        </is>
      </c>
      <c r="D97" t="n">
        <v>190</v>
      </c>
      <c r="F97" t="inlineStr">
        <is>
          <t>Added</t>
        </is>
      </c>
    </row>
    <row r="98">
      <c r="A98" t="inlineStr">
        <is>
          <t>Chaos Daemons</t>
        </is>
      </c>
      <c r="B98" t="inlineStr">
        <is>
          <t>Feculent Gnarlmaw</t>
        </is>
      </c>
      <c r="C98" t="inlineStr">
        <is>
          <t>1 model</t>
        </is>
      </c>
      <c r="D98" t="n">
        <v>100</v>
      </c>
      <c r="F98" t="inlineStr">
        <is>
          <t>Added</t>
        </is>
      </c>
    </row>
    <row r="99">
      <c r="A99" t="inlineStr">
        <is>
          <t>Chaos Daemons</t>
        </is>
      </c>
      <c r="B99" t="inlineStr">
        <is>
          <t>Fiends</t>
        </is>
      </c>
      <c r="C99" t="inlineStr">
        <is>
          <t>3 models</t>
        </is>
      </c>
      <c r="D99" t="n">
        <v>90</v>
      </c>
      <c r="F99" t="inlineStr">
        <is>
          <t>Added</t>
        </is>
      </c>
    </row>
    <row r="100">
      <c r="A100" t="inlineStr">
        <is>
          <t>Chaos Daemons</t>
        </is>
      </c>
      <c r="B100" t="inlineStr">
        <is>
          <t>Flamers</t>
        </is>
      </c>
      <c r="C100" t="inlineStr">
        <is>
          <t>3 models</t>
        </is>
      </c>
      <c r="D100" t="n">
        <v>65</v>
      </c>
      <c r="F100" t="inlineStr">
        <is>
          <t>Added</t>
        </is>
      </c>
    </row>
    <row r="101">
      <c r="A101" t="inlineStr">
        <is>
          <t>Chaos Daemons</t>
        </is>
      </c>
      <c r="B101" t="inlineStr">
        <is>
          <t>Hellflayers</t>
        </is>
      </c>
      <c r="C101" t="inlineStr">
        <is>
          <t>1 model</t>
        </is>
      </c>
      <c r="D101" t="n">
        <v>80</v>
      </c>
      <c r="F101" t="inlineStr">
        <is>
          <t>Added</t>
        </is>
      </c>
    </row>
    <row r="102">
      <c r="A102" t="inlineStr">
        <is>
          <t>Chaos Daemons</t>
        </is>
      </c>
      <c r="B102" t="inlineStr">
        <is>
          <t>Skarbrand</t>
        </is>
      </c>
      <c r="C102" t="inlineStr">
        <is>
          <t>1 model</t>
        </is>
      </c>
      <c r="D102" t="n">
        <v>315</v>
      </c>
      <c r="F102" t="inlineStr">
        <is>
          <t>Added</t>
        </is>
      </c>
    </row>
    <row r="103">
      <c r="A103" t="inlineStr">
        <is>
          <t>Chaos Daemons</t>
        </is>
      </c>
      <c r="B103" t="inlineStr">
        <is>
          <t>Skull Altar</t>
        </is>
      </c>
      <c r="C103" t="inlineStr">
        <is>
          <t>1 model</t>
        </is>
      </c>
      <c r="D103" t="n">
        <v>105</v>
      </c>
      <c r="F103" t="inlineStr">
        <is>
          <t>Added</t>
        </is>
      </c>
    </row>
    <row r="104">
      <c r="A104" t="inlineStr">
        <is>
          <t>Chaos Daemons</t>
        </is>
      </c>
      <c r="B104" t="inlineStr">
        <is>
          <t>The Masque Of Slaanesh</t>
        </is>
      </c>
      <c r="C104" t="inlineStr">
        <is>
          <t>1 model</t>
        </is>
      </c>
      <c r="D104" t="n">
        <v>95</v>
      </c>
      <c r="F104" t="inlineStr">
        <is>
          <t>Added</t>
        </is>
      </c>
    </row>
    <row r="105">
      <c r="A105" t="inlineStr">
        <is>
          <t>Chaos Daemons</t>
        </is>
      </c>
      <c r="B105" t="inlineStr">
        <is>
          <t>Tormentbringer</t>
        </is>
      </c>
      <c r="C105" t="inlineStr">
        <is>
          <t>1 model</t>
        </is>
      </c>
      <c r="D105" t="n">
        <v>135</v>
      </c>
      <c r="F105" t="inlineStr">
        <is>
          <t>Added</t>
        </is>
      </c>
    </row>
    <row r="106">
      <c r="A106" t="inlineStr">
        <is>
          <t>Chaos Knights</t>
        </is>
      </c>
      <c r="B106" t="inlineStr">
        <is>
          <t>Chaos Acastus Knight Asterius</t>
        </is>
      </c>
      <c r="C106" t="inlineStr">
        <is>
          <t>1 model</t>
        </is>
      </c>
      <c r="D106" t="n">
        <v>785</v>
      </c>
      <c r="F106" t="inlineStr">
        <is>
          <t>Added</t>
        </is>
      </c>
    </row>
    <row r="107">
      <c r="A107" t="inlineStr">
        <is>
          <t>Chaos Knights</t>
        </is>
      </c>
      <c r="B107" t="inlineStr">
        <is>
          <t>Chaos Acastus Knight Porphyrion</t>
        </is>
      </c>
      <c r="C107" t="inlineStr">
        <is>
          <t>1 model</t>
        </is>
      </c>
      <c r="D107" t="n">
        <v>725</v>
      </c>
      <c r="F107" t="inlineStr">
        <is>
          <t>Added</t>
        </is>
      </c>
    </row>
    <row r="108">
      <c r="A108" t="inlineStr">
        <is>
          <t>Chaos Knights</t>
        </is>
      </c>
      <c r="B108" t="inlineStr">
        <is>
          <t>Chaos Cerastus Knight Acheron</t>
        </is>
      </c>
      <c r="C108" t="inlineStr">
        <is>
          <t>1 model</t>
        </is>
      </c>
      <c r="D108" t="n">
        <v>370</v>
      </c>
      <c r="F108" t="inlineStr">
        <is>
          <t>Added</t>
        </is>
      </c>
    </row>
    <row r="109">
      <c r="A109" t="inlineStr">
        <is>
          <t>Chaos Knights</t>
        </is>
      </c>
      <c r="B109" t="inlineStr">
        <is>
          <t>Chaos Cerastus Knight Atrapos</t>
        </is>
      </c>
      <c r="C109" t="inlineStr">
        <is>
          <t>1 model</t>
        </is>
      </c>
      <c r="D109" t="n">
        <v>395</v>
      </c>
      <c r="F109" t="inlineStr">
        <is>
          <t>Added</t>
        </is>
      </c>
    </row>
    <row r="110">
      <c r="A110" t="inlineStr">
        <is>
          <t>Chaos Knights</t>
        </is>
      </c>
      <c r="B110" t="inlineStr">
        <is>
          <t>Chaos Cerastus Knight Castigator</t>
        </is>
      </c>
      <c r="C110" t="inlineStr">
        <is>
          <t>1 model</t>
        </is>
      </c>
      <c r="D110" t="n">
        <v>370</v>
      </c>
      <c r="F110" t="inlineStr">
        <is>
          <t>Added</t>
        </is>
      </c>
    </row>
    <row r="111">
      <c r="A111" t="inlineStr">
        <is>
          <t>Chaos Knights</t>
        </is>
      </c>
      <c r="B111" t="inlineStr">
        <is>
          <t>Chaos Cerastus Knight Lancer</t>
        </is>
      </c>
      <c r="C111" t="inlineStr">
        <is>
          <t>1 model</t>
        </is>
      </c>
      <c r="D111" t="n">
        <v>395</v>
      </c>
      <c r="F111" t="inlineStr">
        <is>
          <t>Added</t>
        </is>
      </c>
    </row>
    <row r="112">
      <c r="A112" t="inlineStr">
        <is>
          <t>Chaos Knights</t>
        </is>
      </c>
      <c r="B112" t="inlineStr">
        <is>
          <t>Chaos Questoris Knight Magaera</t>
        </is>
      </c>
      <c r="C112" t="inlineStr">
        <is>
          <t>1 model</t>
        </is>
      </c>
      <c r="D112" t="n">
        <v>375</v>
      </c>
      <c r="F112" t="inlineStr">
        <is>
          <t>Added</t>
        </is>
      </c>
    </row>
    <row r="113">
      <c r="A113" t="inlineStr">
        <is>
          <t>Chaos Knights</t>
        </is>
      </c>
      <c r="B113" t="inlineStr">
        <is>
          <t>Chaos Questoris Knight Styrix</t>
        </is>
      </c>
      <c r="C113" t="inlineStr">
        <is>
          <t>1 model</t>
        </is>
      </c>
      <c r="D113" t="n">
        <v>365</v>
      </c>
      <c r="F113" t="inlineStr">
        <is>
          <t>Added</t>
        </is>
      </c>
    </row>
    <row r="114">
      <c r="A114" t="inlineStr">
        <is>
          <t>Chaos Knights</t>
        </is>
      </c>
      <c r="B114" t="inlineStr">
        <is>
          <t>Knight Ruinator</t>
        </is>
      </c>
      <c r="C114" t="inlineStr">
        <is>
          <t>1 model</t>
        </is>
      </c>
      <c r="D114" t="n">
        <v>340</v>
      </c>
      <c r="F114" t="inlineStr">
        <is>
          <t>Added</t>
        </is>
      </c>
    </row>
    <row r="115">
      <c r="A115" t="inlineStr">
        <is>
          <t>Chaos Knights</t>
        </is>
      </c>
      <c r="B115" t="inlineStr">
        <is>
          <t>War Dog Moirax</t>
        </is>
      </c>
      <c r="C115" t="inlineStr">
        <is>
          <t>1 model</t>
        </is>
      </c>
      <c r="D115" t="n">
        <v>150</v>
      </c>
      <c r="F115" t="inlineStr">
        <is>
          <t>Added</t>
        </is>
      </c>
    </row>
    <row r="116">
      <c r="A116" t="inlineStr">
        <is>
          <t>Chaos Space Marines</t>
        </is>
      </c>
      <c r="B116" t="inlineStr">
        <is>
          <t>Chaos Lord With Jump Pack</t>
        </is>
      </c>
      <c r="C116" t="inlineStr">
        <is>
          <t>1 model</t>
        </is>
      </c>
      <c r="D116" t="n">
        <v>90</v>
      </c>
      <c r="F116" t="inlineStr">
        <is>
          <t>Added</t>
        </is>
      </c>
    </row>
    <row r="117">
      <c r="A117" t="inlineStr">
        <is>
          <t>Chaos Space Marines</t>
        </is>
      </c>
      <c r="B117" t="inlineStr">
        <is>
          <t>Cultist Firebrand</t>
        </is>
      </c>
      <c r="C117" t="inlineStr">
        <is>
          <t>1 model</t>
        </is>
      </c>
      <c r="D117" t="n">
        <v>45</v>
      </c>
      <c r="F117" t="inlineStr">
        <is>
          <t>Added</t>
        </is>
      </c>
    </row>
    <row r="118">
      <c r="A118" t="inlineStr">
        <is>
          <t>Chaos Space Marines</t>
        </is>
      </c>
      <c r="B118" t="inlineStr">
        <is>
          <t>Fabius Bile</t>
        </is>
      </c>
      <c r="C118" t="inlineStr">
        <is>
          <t>2 models</t>
        </is>
      </c>
      <c r="D118" t="n">
        <v>100</v>
      </c>
      <c r="F118" t="inlineStr">
        <is>
          <t>Added</t>
        </is>
      </c>
    </row>
    <row r="119">
      <c r="A119" t="inlineStr">
        <is>
          <t>Chaos Space Marines</t>
        </is>
      </c>
      <c r="B119" t="inlineStr">
        <is>
          <t>Fellgor Beastmen</t>
        </is>
      </c>
      <c r="C119" t="inlineStr">
        <is>
          <t>10 models</t>
        </is>
      </c>
      <c r="D119" t="n">
        <v>60</v>
      </c>
      <c r="F119" t="inlineStr">
        <is>
          <t>Added</t>
        </is>
      </c>
    </row>
    <row r="120">
      <c r="A120" t="inlineStr">
        <is>
          <t>Chaos Space Marines</t>
        </is>
      </c>
      <c r="B120" t="inlineStr">
        <is>
          <t>Kravek Morne</t>
        </is>
      </c>
      <c r="C120" t="inlineStr">
        <is>
          <t>1 model</t>
        </is>
      </c>
      <c r="D120" t="n">
        <v>120</v>
      </c>
      <c r="F120" t="inlineStr">
        <is>
          <t>Added</t>
        </is>
      </c>
    </row>
    <row r="121">
      <c r="A121" t="inlineStr">
        <is>
          <t>Chaos Space Marines</t>
        </is>
      </c>
      <c r="B121" t="inlineStr">
        <is>
          <t>Masters Of The Maelstrom</t>
        </is>
      </c>
      <c r="C121" t="inlineStr">
        <is>
          <t>5 models</t>
        </is>
      </c>
      <c r="D121" t="n">
        <v>135</v>
      </c>
      <c r="F121" t="inlineStr">
        <is>
          <t>Added</t>
        </is>
      </c>
    </row>
    <row r="122">
      <c r="A122" t="inlineStr">
        <is>
          <t>Chaos Space Marines</t>
        </is>
      </c>
      <c r="B122" t="inlineStr">
        <is>
          <t>Mutilators</t>
        </is>
      </c>
      <c r="C122" t="inlineStr">
        <is>
          <t>3 models</t>
        </is>
      </c>
      <c r="D122" t="n">
        <v>180</v>
      </c>
      <c r="F122" t="inlineStr">
        <is>
          <t>Added</t>
        </is>
      </c>
    </row>
    <row r="123">
      <c r="A123" t="inlineStr">
        <is>
          <t>Chaos Space Marines</t>
        </is>
      </c>
      <c r="B123" t="inlineStr">
        <is>
          <t>Noctilith Crown</t>
        </is>
      </c>
      <c r="C123" t="inlineStr">
        <is>
          <t>1 model</t>
        </is>
      </c>
      <c r="D123" t="n">
        <v>125</v>
      </c>
      <c r="F123" t="inlineStr">
        <is>
          <t>Added</t>
        </is>
      </c>
    </row>
    <row r="124">
      <c r="A124" t="inlineStr">
        <is>
          <t>Chaos Space Marines</t>
        </is>
      </c>
      <c r="B124" t="inlineStr">
        <is>
          <t>Red Corsairs Raiders</t>
        </is>
      </c>
      <c r="C124" t="inlineStr">
        <is>
          <t>5 models</t>
        </is>
      </c>
      <c r="D124" t="n">
        <v>110</v>
      </c>
      <c r="F124" t="inlineStr">
        <is>
          <t>Added</t>
        </is>
      </c>
    </row>
    <row r="125">
      <c r="A125" t="inlineStr">
        <is>
          <t>Chaos Space Marines</t>
        </is>
      </c>
      <c r="B125" t="inlineStr">
        <is>
          <t>Red Corsairs Reave-Captain</t>
        </is>
      </c>
      <c r="C125" t="inlineStr">
        <is>
          <t>1 model</t>
        </is>
      </c>
      <c r="D125" t="n">
        <v>70</v>
      </c>
      <c r="F125" t="inlineStr">
        <is>
          <t>Added</t>
        </is>
      </c>
    </row>
    <row r="126">
      <c r="A126" t="inlineStr">
        <is>
          <t>Chaos Space Marines</t>
        </is>
      </c>
      <c r="B126" t="inlineStr">
        <is>
          <t>Traitor Enforcer</t>
        </is>
      </c>
      <c r="C126" t="inlineStr">
        <is>
          <t>2 models</t>
        </is>
      </c>
      <c r="D126" t="n">
        <v>70</v>
      </c>
      <c r="F126" t="inlineStr">
        <is>
          <t>Added</t>
        </is>
      </c>
    </row>
    <row r="127">
      <c r="A127" t="inlineStr">
        <is>
          <t>Chaos Titan Legions</t>
        </is>
      </c>
      <c r="B127" t="inlineStr">
        <is>
          <t>Chaos Reaver Titan</t>
        </is>
      </c>
      <c r="C127" t="inlineStr">
        <is>
          <t>1 model</t>
        </is>
      </c>
      <c r="D127" t="n">
        <v>2200</v>
      </c>
      <c r="F127" t="inlineStr">
        <is>
          <t>Added</t>
        </is>
      </c>
    </row>
    <row r="128">
      <c r="A128" t="inlineStr">
        <is>
          <t>Chaos Titan Legions</t>
        </is>
      </c>
      <c r="B128" t="inlineStr">
        <is>
          <t>Chaos Warbringer Nemesis Titan</t>
        </is>
      </c>
      <c r="C128" t="inlineStr">
        <is>
          <t>1 model</t>
        </is>
      </c>
      <c r="D128" t="n">
        <v>2600</v>
      </c>
      <c r="F128" t="inlineStr">
        <is>
          <t>Added</t>
        </is>
      </c>
    </row>
    <row r="129">
      <c r="A129" t="inlineStr">
        <is>
          <t>Chaos Titan Legions</t>
        </is>
      </c>
      <c r="B129" t="inlineStr">
        <is>
          <t>Chaos Warhound Titan</t>
        </is>
      </c>
      <c r="C129" t="inlineStr">
        <is>
          <t>1 model</t>
        </is>
      </c>
      <c r="D129" t="n">
        <v>1100</v>
      </c>
      <c r="F129" t="inlineStr">
        <is>
          <t>Added</t>
        </is>
      </c>
    </row>
    <row r="130">
      <c r="A130" t="inlineStr">
        <is>
          <t>Chaos Titan Legions</t>
        </is>
      </c>
      <c r="B130" t="inlineStr">
        <is>
          <t>Chaos Warlord Titan</t>
        </is>
      </c>
      <c r="C130" t="inlineStr">
        <is>
          <t>1 model</t>
        </is>
      </c>
      <c r="D130" t="n">
        <v>3500</v>
      </c>
      <c r="F130" t="inlineStr">
        <is>
          <t>Added</t>
        </is>
      </c>
    </row>
    <row r="131">
      <c r="A131" t="inlineStr">
        <is>
          <t>Dark Angels</t>
        </is>
      </c>
      <c r="B131" t="inlineStr">
        <is>
          <t>Lazarus</t>
        </is>
      </c>
      <c r="C131" t="inlineStr">
        <is>
          <t>1 model</t>
        </is>
      </c>
      <c r="D131" t="n">
        <v>70</v>
      </c>
      <c r="E131" t="inlineStr">
        <is>
          <t>Dark Angels</t>
        </is>
      </c>
      <c r="F131" t="inlineStr">
        <is>
          <t>Added</t>
        </is>
      </c>
    </row>
    <row r="132">
      <c r="A132" t="inlineStr">
        <is>
          <t>Dark Angels</t>
        </is>
      </c>
      <c r="B132" t="inlineStr">
        <is>
          <t>Nephilim Jetfighter</t>
        </is>
      </c>
      <c r="C132" t="inlineStr">
        <is>
          <t>1 model</t>
        </is>
      </c>
      <c r="D132" t="n">
        <v>195</v>
      </c>
      <c r="E132" t="inlineStr">
        <is>
          <t>Dark Angels</t>
        </is>
      </c>
      <c r="F132" t="inlineStr">
        <is>
          <t>Added</t>
        </is>
      </c>
    </row>
    <row r="133">
      <c r="A133" t="inlineStr">
        <is>
          <t>Dark Angels</t>
        </is>
      </c>
      <c r="B133" t="inlineStr">
        <is>
          <t>Ravenwing Dark Talon</t>
        </is>
      </c>
      <c r="C133" t="inlineStr">
        <is>
          <t>1 model</t>
        </is>
      </c>
      <c r="D133" t="n">
        <v>200</v>
      </c>
      <c r="E133" t="inlineStr">
        <is>
          <t>Dark Angels</t>
        </is>
      </c>
      <c r="F133" t="inlineStr">
        <is>
          <t>Added</t>
        </is>
      </c>
    </row>
    <row r="134">
      <c r="A134" t="inlineStr">
        <is>
          <t>Death Guard</t>
        </is>
      </c>
      <c r="B134" t="inlineStr">
        <is>
          <t>Beasts Of Nurgle</t>
        </is>
      </c>
      <c r="C134" t="inlineStr">
        <is>
          <t>1 model</t>
        </is>
      </c>
      <c r="D134" t="n">
        <v>70</v>
      </c>
      <c r="F134" t="inlineStr">
        <is>
          <t>Added</t>
        </is>
      </c>
    </row>
    <row r="135">
      <c r="A135" t="inlineStr">
        <is>
          <t>Death Guard</t>
        </is>
      </c>
      <c r="B135" t="inlineStr">
        <is>
          <t>Chaos Land Raider</t>
        </is>
      </c>
      <c r="C135" t="inlineStr">
        <is>
          <t>1 model</t>
        </is>
      </c>
      <c r="D135" t="n">
        <v>220</v>
      </c>
      <c r="F135" t="inlineStr">
        <is>
          <t>Added</t>
        </is>
      </c>
    </row>
    <row r="136">
      <c r="A136" t="inlineStr">
        <is>
          <t>Death Guard</t>
        </is>
      </c>
      <c r="B136" t="inlineStr">
        <is>
          <t>Chaos Predator Annihilator</t>
        </is>
      </c>
      <c r="C136" t="inlineStr">
        <is>
          <t>1 model</t>
        </is>
      </c>
      <c r="D136" t="n">
        <v>135</v>
      </c>
      <c r="F136" t="inlineStr">
        <is>
          <t>Added</t>
        </is>
      </c>
    </row>
    <row r="137">
      <c r="A137" t="inlineStr">
        <is>
          <t>Death Guard</t>
        </is>
      </c>
      <c r="B137" t="inlineStr">
        <is>
          <t>Chaos Predator Destructor</t>
        </is>
      </c>
      <c r="C137" t="inlineStr">
        <is>
          <t>1 model</t>
        </is>
      </c>
      <c r="D137" t="n">
        <v>145</v>
      </c>
      <c r="F137" t="inlineStr">
        <is>
          <t>Added</t>
        </is>
      </c>
    </row>
    <row r="138">
      <c r="A138" t="inlineStr">
        <is>
          <t>Death Guard</t>
        </is>
      </c>
      <c r="B138" t="inlineStr">
        <is>
          <t>Chaos Rhino</t>
        </is>
      </c>
      <c r="C138" t="inlineStr">
        <is>
          <t>1 model</t>
        </is>
      </c>
      <c r="D138" t="n">
        <v>85</v>
      </c>
      <c r="F138" t="inlineStr">
        <is>
          <t>Added</t>
        </is>
      </c>
    </row>
    <row r="139">
      <c r="A139" t="inlineStr">
        <is>
          <t>Death Guard</t>
        </is>
      </c>
      <c r="B139" t="inlineStr">
        <is>
          <t>Daemon Prince Of Nurgle</t>
        </is>
      </c>
      <c r="C139" t="inlineStr">
        <is>
          <t>1 model</t>
        </is>
      </c>
      <c r="D139" t="n">
        <v>195</v>
      </c>
      <c r="F139" t="inlineStr">
        <is>
          <t>Added</t>
        </is>
      </c>
    </row>
    <row r="140">
      <c r="A140" t="inlineStr">
        <is>
          <t>Death Guard</t>
        </is>
      </c>
      <c r="B140" t="inlineStr">
        <is>
          <t>Daemon Prince Of Nurgle With Wings</t>
        </is>
      </c>
      <c r="C140" t="inlineStr">
        <is>
          <t>1 model</t>
        </is>
      </c>
      <c r="D140" t="n">
        <v>170</v>
      </c>
      <c r="F140" t="inlineStr">
        <is>
          <t>Added</t>
        </is>
      </c>
    </row>
    <row r="141">
      <c r="A141" t="inlineStr">
        <is>
          <t>Death Guard</t>
        </is>
      </c>
      <c r="B141" t="inlineStr">
        <is>
          <t>Foetid Bloat-Drone With Heavy Blight Launcher</t>
        </is>
      </c>
      <c r="C141" t="inlineStr">
        <is>
          <t>1 model</t>
        </is>
      </c>
      <c r="D141" t="n">
        <v>125</v>
      </c>
      <c r="F141" t="inlineStr">
        <is>
          <t>Added</t>
        </is>
      </c>
    </row>
    <row r="142">
      <c r="A142" t="inlineStr">
        <is>
          <t>Death Guard</t>
        </is>
      </c>
      <c r="B142" t="inlineStr">
        <is>
          <t>Great Unclean One</t>
        </is>
      </c>
      <c r="C142" t="inlineStr">
        <is>
          <t>1 model</t>
        </is>
      </c>
      <c r="D142" t="n">
        <v>265</v>
      </c>
      <c r="F142" t="inlineStr">
        <is>
          <t>Added</t>
        </is>
      </c>
    </row>
    <row r="143">
      <c r="A143" t="inlineStr">
        <is>
          <t>Death Guard</t>
        </is>
      </c>
      <c r="B143" t="inlineStr">
        <is>
          <t>Lord Of Poxes</t>
        </is>
      </c>
      <c r="C143" t="inlineStr">
        <is>
          <t>1 model</t>
        </is>
      </c>
      <c r="D143" t="n">
        <v>65</v>
      </c>
      <c r="F143" t="inlineStr">
        <is>
          <t>Added</t>
        </is>
      </c>
    </row>
    <row r="144">
      <c r="A144" t="inlineStr">
        <is>
          <t>Death Guard</t>
        </is>
      </c>
      <c r="B144" t="inlineStr">
        <is>
          <t>Nurglings</t>
        </is>
      </c>
      <c r="C144" t="inlineStr">
        <is>
          <t>3 models</t>
        </is>
      </c>
      <c r="D144" t="n">
        <v>45</v>
      </c>
      <c r="F144" t="inlineStr">
        <is>
          <t>Added</t>
        </is>
      </c>
    </row>
    <row r="145">
      <c r="A145" t="inlineStr">
        <is>
          <t>Death Guard</t>
        </is>
      </c>
      <c r="B145" t="inlineStr">
        <is>
          <t>Plague Drones</t>
        </is>
      </c>
      <c r="C145" t="inlineStr">
        <is>
          <t>3 models</t>
        </is>
      </c>
      <c r="D145" t="n">
        <v>110</v>
      </c>
      <c r="F145" t="inlineStr">
        <is>
          <t>Added</t>
        </is>
      </c>
    </row>
    <row r="146">
      <c r="A146" t="inlineStr">
        <is>
          <t>Death Guard</t>
        </is>
      </c>
      <c r="B146" t="inlineStr">
        <is>
          <t>Plaguebearers</t>
        </is>
      </c>
      <c r="C146" t="inlineStr">
        <is>
          <t>10 models</t>
        </is>
      </c>
      <c r="D146" t="n">
        <v>115</v>
      </c>
      <c r="F146" t="inlineStr">
        <is>
          <t>Added</t>
        </is>
      </c>
    </row>
    <row r="147">
      <c r="A147" t="inlineStr">
        <is>
          <t>Death Guard</t>
        </is>
      </c>
      <c r="B147" t="inlineStr">
        <is>
          <t>Rotigus</t>
        </is>
      </c>
      <c r="C147" t="inlineStr">
        <is>
          <t>1 model</t>
        </is>
      </c>
      <c r="D147" t="n">
        <v>280</v>
      </c>
      <c r="F147" t="inlineStr">
        <is>
          <t>Added</t>
        </is>
      </c>
    </row>
    <row r="148">
      <c r="A148" t="inlineStr">
        <is>
          <t>Deathwatch</t>
        </is>
      </c>
      <c r="B148" t="inlineStr">
        <is>
          <t>Decimus Kill Team</t>
        </is>
      </c>
      <c r="C148" t="inlineStr">
        <is>
          <t>5 models</t>
        </is>
      </c>
      <c r="D148" t="n">
        <v>100</v>
      </c>
      <c r="E148" t="inlineStr">
        <is>
          <t>Deathwatch</t>
        </is>
      </c>
      <c r="F148" t="inlineStr">
        <is>
          <t>Added</t>
        </is>
      </c>
    </row>
    <row r="149">
      <c r="A149" t="inlineStr">
        <is>
          <t>Deathwatch</t>
        </is>
      </c>
      <c r="B149" t="inlineStr">
        <is>
          <t>Talonstrike Kill Team</t>
        </is>
      </c>
      <c r="C149" t="inlineStr">
        <is>
          <t>10 models</t>
        </is>
      </c>
      <c r="D149" t="n">
        <v>265</v>
      </c>
      <c r="E149" t="inlineStr">
        <is>
          <t>Deathwatch</t>
        </is>
      </c>
      <c r="F149" t="inlineStr">
        <is>
          <t>Added</t>
        </is>
      </c>
    </row>
    <row r="150">
      <c r="A150" t="inlineStr">
        <is>
          <t>Drukhari</t>
        </is>
      </c>
      <c r="B150" t="inlineStr">
        <is>
          <t>Hand Of The Archon</t>
        </is>
      </c>
      <c r="C150" t="inlineStr">
        <is>
          <t>10 models</t>
        </is>
      </c>
      <c r="D150" t="n">
        <v>115</v>
      </c>
      <c r="F150" t="inlineStr">
        <is>
          <t>Added</t>
        </is>
      </c>
    </row>
    <row r="151">
      <c r="A151" t="inlineStr">
        <is>
          <t>Drukhari</t>
        </is>
      </c>
      <c r="B151" t="inlineStr">
        <is>
          <t>Lady Malys</t>
        </is>
      </c>
      <c r="C151" t="inlineStr">
        <is>
          <t>1 model</t>
        </is>
      </c>
      <c r="D151" t="n">
        <v>100</v>
      </c>
      <c r="F151" t="inlineStr">
        <is>
          <t>Added</t>
        </is>
      </c>
    </row>
    <row r="152">
      <c r="A152" t="inlineStr">
        <is>
          <t>Drukhari</t>
        </is>
      </c>
      <c r="B152" t="inlineStr">
        <is>
          <t>Scourges With Heavy Weapons</t>
        </is>
      </c>
      <c r="C152" t="inlineStr">
        <is>
          <t>5 models</t>
        </is>
      </c>
      <c r="D152" t="n">
        <v>110</v>
      </c>
      <c r="F152" t="inlineStr">
        <is>
          <t>Added</t>
        </is>
      </c>
    </row>
    <row r="153">
      <c r="A153" t="inlineStr">
        <is>
          <t>Drukhari</t>
        </is>
      </c>
      <c r="B153" t="inlineStr">
        <is>
          <t>Scourges With Shardcarbines</t>
        </is>
      </c>
      <c r="C153" t="inlineStr">
        <is>
          <t>5 models</t>
        </is>
      </c>
      <c r="D153" t="n">
        <v>75</v>
      </c>
      <c r="F153" t="inlineStr">
        <is>
          <t>Added</t>
        </is>
      </c>
    </row>
    <row r="154">
      <c r="A154" t="inlineStr">
        <is>
          <t>Emperor's Children</t>
        </is>
      </c>
      <c r="B154" t="inlineStr">
        <is>
          <t>Chaos Land Raider</t>
        </is>
      </c>
      <c r="C154" t="inlineStr">
        <is>
          <t>1 model</t>
        </is>
      </c>
      <c r="D154" t="n">
        <v>220</v>
      </c>
      <c r="F154" t="inlineStr">
        <is>
          <t>Added</t>
        </is>
      </c>
    </row>
    <row r="155">
      <c r="A155" t="inlineStr">
        <is>
          <t>Emperor's Children</t>
        </is>
      </c>
      <c r="B155" t="inlineStr">
        <is>
          <t>Chaos Rhino</t>
        </is>
      </c>
      <c r="C155" t="inlineStr">
        <is>
          <t>1 model</t>
        </is>
      </c>
      <c r="D155" t="n">
        <v>80</v>
      </c>
      <c r="F155" t="inlineStr">
        <is>
          <t>Added</t>
        </is>
      </c>
    </row>
    <row r="156">
      <c r="A156" t="inlineStr">
        <is>
          <t>Emperor's Children</t>
        </is>
      </c>
      <c r="B156" t="inlineStr">
        <is>
          <t>Chaos Spawn</t>
        </is>
      </c>
      <c r="C156" t="inlineStr">
        <is>
          <t>2 models</t>
        </is>
      </c>
      <c r="D156" t="n">
        <v>70</v>
      </c>
      <c r="F156" t="inlineStr">
        <is>
          <t>Added</t>
        </is>
      </c>
    </row>
    <row r="157">
      <c r="A157" t="inlineStr">
        <is>
          <t>Emperor's Children</t>
        </is>
      </c>
      <c r="B157" t="inlineStr">
        <is>
          <t>Chaos Terminators</t>
        </is>
      </c>
      <c r="C157" t="inlineStr">
        <is>
          <t>5 models</t>
        </is>
      </c>
      <c r="D157" t="n">
        <v>145</v>
      </c>
      <c r="F157" t="inlineStr">
        <is>
          <t>Added</t>
        </is>
      </c>
    </row>
    <row r="158">
      <c r="A158" t="inlineStr">
        <is>
          <t>Emperor's Children</t>
        </is>
      </c>
      <c r="B158" t="inlineStr">
        <is>
          <t>Daemonettes</t>
        </is>
      </c>
      <c r="C158" t="inlineStr">
        <is>
          <t>10 models</t>
        </is>
      </c>
      <c r="D158" t="n">
        <v>90</v>
      </c>
      <c r="F158" t="inlineStr">
        <is>
          <t>Added</t>
        </is>
      </c>
    </row>
    <row r="159">
      <c r="A159" t="inlineStr">
        <is>
          <t>Emperor's Children</t>
        </is>
      </c>
      <c r="B159" t="inlineStr">
        <is>
          <t>Defiler</t>
        </is>
      </c>
      <c r="C159" t="inlineStr">
        <is>
          <t>1 model</t>
        </is>
      </c>
      <c r="D159" t="n">
        <v>290</v>
      </c>
      <c r="F159" t="inlineStr">
        <is>
          <t>Added</t>
        </is>
      </c>
    </row>
    <row r="160">
      <c r="A160" t="inlineStr">
        <is>
          <t>Emperor's Children</t>
        </is>
      </c>
      <c r="B160" t="inlineStr">
        <is>
          <t>Fiends</t>
        </is>
      </c>
      <c r="C160" t="inlineStr">
        <is>
          <t>3 models</t>
        </is>
      </c>
      <c r="D160" t="n">
        <v>90</v>
      </c>
      <c r="F160" t="inlineStr">
        <is>
          <t>Added</t>
        </is>
      </c>
    </row>
    <row r="161">
      <c r="A161" t="inlineStr">
        <is>
          <t>Emperor's Children</t>
        </is>
      </c>
      <c r="B161" t="inlineStr">
        <is>
          <t>Flawless Blades</t>
        </is>
      </c>
      <c r="C161" t="inlineStr">
        <is>
          <t>3 models</t>
        </is>
      </c>
      <c r="D161" t="n">
        <v>95</v>
      </c>
      <c r="F161" t="inlineStr">
        <is>
          <t>Added</t>
        </is>
      </c>
    </row>
    <row r="162">
      <c r="A162" t="inlineStr">
        <is>
          <t>Emperor's Children</t>
        </is>
      </c>
      <c r="B162" t="inlineStr">
        <is>
          <t>Heldrake</t>
        </is>
      </c>
      <c r="C162" t="inlineStr">
        <is>
          <t>1 model</t>
        </is>
      </c>
      <c r="D162" t="n">
        <v>175</v>
      </c>
      <c r="F162" t="inlineStr">
        <is>
          <t>Added</t>
        </is>
      </c>
    </row>
    <row r="163">
      <c r="A163" t="inlineStr">
        <is>
          <t>Emperor's Children</t>
        </is>
      </c>
      <c r="B163" t="inlineStr">
        <is>
          <t>Keeper Of Secrets</t>
        </is>
      </c>
      <c r="C163" t="inlineStr">
        <is>
          <t>1 model</t>
        </is>
      </c>
      <c r="D163" t="n">
        <v>255</v>
      </c>
      <c r="F163" t="inlineStr">
        <is>
          <t>Added</t>
        </is>
      </c>
    </row>
    <row r="164">
      <c r="A164" t="inlineStr">
        <is>
          <t>Emperor's Children</t>
        </is>
      </c>
      <c r="B164" t="inlineStr">
        <is>
          <t>Lord Exultant</t>
        </is>
      </c>
      <c r="C164" t="inlineStr">
        <is>
          <t>1 model</t>
        </is>
      </c>
      <c r="D164" t="n">
        <v>80</v>
      </c>
      <c r="F164" t="inlineStr">
        <is>
          <t>Added</t>
        </is>
      </c>
    </row>
    <row r="165">
      <c r="A165" t="inlineStr">
        <is>
          <t>Emperor's Children</t>
        </is>
      </c>
      <c r="B165" t="inlineStr">
        <is>
          <t>Maulerfiend</t>
        </is>
      </c>
      <c r="C165" t="inlineStr">
        <is>
          <t>1 model</t>
        </is>
      </c>
      <c r="D165" t="n">
        <v>130</v>
      </c>
      <c r="F165" t="inlineStr">
        <is>
          <t>Added</t>
        </is>
      </c>
    </row>
    <row r="166">
      <c r="A166" t="inlineStr">
        <is>
          <t>Emperor's Children</t>
        </is>
      </c>
      <c r="B166" t="inlineStr">
        <is>
          <t>Seekers</t>
        </is>
      </c>
      <c r="C166" t="inlineStr">
        <is>
          <t>5 models</t>
        </is>
      </c>
      <c r="D166" t="n">
        <v>80</v>
      </c>
      <c r="F166" t="inlineStr">
        <is>
          <t>Added</t>
        </is>
      </c>
    </row>
    <row r="167">
      <c r="A167" t="inlineStr">
        <is>
          <t>Emperor's Children</t>
        </is>
      </c>
      <c r="B167" t="inlineStr">
        <is>
          <t>Shalaxi Helbane</t>
        </is>
      </c>
      <c r="C167" t="inlineStr">
        <is>
          <t>1 model</t>
        </is>
      </c>
      <c r="D167" t="n">
        <v>340</v>
      </c>
      <c r="F167" t="inlineStr">
        <is>
          <t>Added</t>
        </is>
      </c>
    </row>
    <row r="168">
      <c r="A168" t="inlineStr">
        <is>
          <t>Emperor's Children</t>
        </is>
      </c>
      <c r="B168" t="inlineStr">
        <is>
          <t>Sorcerer</t>
        </is>
      </c>
      <c r="C168" t="inlineStr">
        <is>
          <t>1 model</t>
        </is>
      </c>
      <c r="D168" t="n">
        <v>60</v>
      </c>
      <c r="F168" t="inlineStr">
        <is>
          <t>Added</t>
        </is>
      </c>
    </row>
    <row r="169">
      <c r="A169" t="inlineStr">
        <is>
          <t>Genestealer Cults</t>
        </is>
      </c>
      <c r="B169" t="inlineStr">
        <is>
          <t>Acolyte Iconward</t>
        </is>
      </c>
      <c r="C169" t="inlineStr">
        <is>
          <t>1 model</t>
        </is>
      </c>
      <c r="D169" t="n">
        <v>50</v>
      </c>
      <c r="F169" t="inlineStr">
        <is>
          <t>Added</t>
        </is>
      </c>
    </row>
    <row r="170">
      <c r="A170" t="inlineStr">
        <is>
          <t>Genestealer Cults</t>
        </is>
      </c>
      <c r="B170" t="inlineStr">
        <is>
          <t>Benefictus</t>
        </is>
      </c>
      <c r="C170" t="inlineStr">
        <is>
          <t>1 model</t>
        </is>
      </c>
      <c r="D170" t="n">
        <v>75</v>
      </c>
      <c r="F170" t="inlineStr">
        <is>
          <t>Added</t>
        </is>
      </c>
    </row>
    <row r="171">
      <c r="A171" t="inlineStr">
        <is>
          <t>Grey Knights</t>
        </is>
      </c>
      <c r="B171" t="inlineStr">
        <is>
          <t>Grand Master Voldus</t>
        </is>
      </c>
      <c r="C171" t="inlineStr">
        <is>
          <t>1 model</t>
        </is>
      </c>
      <c r="D171" t="n">
        <v>140</v>
      </c>
      <c r="F171" t="inlineStr">
        <is>
          <t>Added</t>
        </is>
      </c>
    </row>
    <row r="172">
      <c r="A172" t="inlineStr">
        <is>
          <t>Grey Knights</t>
        </is>
      </c>
      <c r="B172" t="inlineStr">
        <is>
          <t>Grey Knights Thunderhawk Gunship</t>
        </is>
      </c>
      <c r="C172" t="inlineStr">
        <is>
          <t>1 model</t>
        </is>
      </c>
      <c r="D172" t="n">
        <v>805</v>
      </c>
      <c r="F172" t="inlineStr">
        <is>
          <t>Added</t>
        </is>
      </c>
    </row>
    <row r="173">
      <c r="A173" t="inlineStr">
        <is>
          <t>Grey Knights</t>
        </is>
      </c>
      <c r="B173" t="inlineStr">
        <is>
          <t>Land Raider</t>
        </is>
      </c>
      <c r="C173" t="inlineStr">
        <is>
          <t>1 model</t>
        </is>
      </c>
      <c r="D173" t="n">
        <v>220</v>
      </c>
      <c r="F173" t="inlineStr">
        <is>
          <t>Added</t>
        </is>
      </c>
    </row>
    <row r="174">
      <c r="A174" t="inlineStr">
        <is>
          <t>Grey Knights</t>
        </is>
      </c>
      <c r="B174" t="inlineStr">
        <is>
          <t>Land Raider Crusader</t>
        </is>
      </c>
      <c r="C174" t="inlineStr">
        <is>
          <t>1 model</t>
        </is>
      </c>
      <c r="D174" t="n">
        <v>220</v>
      </c>
      <c r="F174" t="inlineStr">
        <is>
          <t>Added</t>
        </is>
      </c>
    </row>
    <row r="175">
      <c r="A175" t="inlineStr">
        <is>
          <t>Grey Knights</t>
        </is>
      </c>
      <c r="B175" t="inlineStr">
        <is>
          <t>Land Raider Redeemer</t>
        </is>
      </c>
      <c r="C175" t="inlineStr">
        <is>
          <t>1 model</t>
        </is>
      </c>
      <c r="D175" t="n">
        <v>250</v>
      </c>
      <c r="F175" t="inlineStr">
        <is>
          <t>Added</t>
        </is>
      </c>
    </row>
    <row r="176">
      <c r="A176" t="inlineStr">
        <is>
          <t>Grey Knights</t>
        </is>
      </c>
      <c r="B176" t="inlineStr">
        <is>
          <t>Razorback</t>
        </is>
      </c>
      <c r="C176" t="inlineStr">
        <is>
          <t>1 model</t>
        </is>
      </c>
      <c r="D176" t="n">
        <v>85</v>
      </c>
      <c r="F176" t="inlineStr">
        <is>
          <t>Added</t>
        </is>
      </c>
    </row>
    <row r="177">
      <c r="A177" t="inlineStr">
        <is>
          <t>Grey Knights</t>
        </is>
      </c>
      <c r="B177" t="inlineStr">
        <is>
          <t>Rhino</t>
        </is>
      </c>
      <c r="C177" t="inlineStr">
        <is>
          <t>1 model</t>
        </is>
      </c>
      <c r="D177" t="n">
        <v>80</v>
      </c>
      <c r="F177" t="inlineStr">
        <is>
          <t>Added</t>
        </is>
      </c>
    </row>
    <row r="178">
      <c r="A178" t="inlineStr">
        <is>
          <t>Grey Knights</t>
        </is>
      </c>
      <c r="B178" t="inlineStr">
        <is>
          <t>Stormhawk Interceptor</t>
        </is>
      </c>
      <c r="C178" t="inlineStr">
        <is>
          <t>1 model</t>
        </is>
      </c>
      <c r="D178" t="n">
        <v>160</v>
      </c>
      <c r="F178" t="inlineStr">
        <is>
          <t>Added</t>
        </is>
      </c>
    </row>
    <row r="179">
      <c r="A179" t="inlineStr">
        <is>
          <t>Grey Knights</t>
        </is>
      </c>
      <c r="B179" t="inlineStr">
        <is>
          <t>Stormraven Gunship</t>
        </is>
      </c>
      <c r="C179" t="inlineStr">
        <is>
          <t>1 model</t>
        </is>
      </c>
      <c r="D179" t="n">
        <v>280</v>
      </c>
      <c r="F179" t="inlineStr">
        <is>
          <t>Added</t>
        </is>
      </c>
    </row>
    <row r="180">
      <c r="A180" t="inlineStr">
        <is>
          <t>Grey Knights</t>
        </is>
      </c>
      <c r="B180" t="inlineStr">
        <is>
          <t>Stormtalon Gunship</t>
        </is>
      </c>
      <c r="C180" t="inlineStr">
        <is>
          <t>1 model</t>
        </is>
      </c>
      <c r="D180" t="n">
        <v>170</v>
      </c>
      <c r="F180" t="inlineStr">
        <is>
          <t>Added</t>
        </is>
      </c>
    </row>
    <row r="181">
      <c r="A181" t="inlineStr">
        <is>
          <t>Imperial Agents</t>
        </is>
      </c>
      <c r="B181" t="inlineStr">
        <is>
          <t>Aquila Kill Team</t>
        </is>
      </c>
      <c r="C181" t="inlineStr">
        <is>
          <t>5 models</t>
        </is>
      </c>
      <c r="D181" t="n">
        <v>100</v>
      </c>
      <c r="F181" t="inlineStr">
        <is>
          <t>Added</t>
        </is>
      </c>
    </row>
    <row r="182">
      <c r="A182" t="inlineStr">
        <is>
          <t>Imperial Agents</t>
        </is>
      </c>
      <c r="B182" t="inlineStr">
        <is>
          <t>Corvus Blackstar</t>
        </is>
      </c>
      <c r="C182" t="inlineStr">
        <is>
          <t>1 model</t>
        </is>
      </c>
      <c r="D182" t="n">
        <v>180</v>
      </c>
      <c r="F182" t="inlineStr">
        <is>
          <t>Added</t>
        </is>
      </c>
    </row>
    <row r="183">
      <c r="A183" t="inlineStr">
        <is>
          <t>Imperial Agents</t>
        </is>
      </c>
      <c r="B183" t="inlineStr">
        <is>
          <t>Deathwatch Kill Team</t>
        </is>
      </c>
      <c r="C183" t="inlineStr">
        <is>
          <t>5 models</t>
        </is>
      </c>
      <c r="D183" t="n">
        <v>100</v>
      </c>
      <c r="F183" t="inlineStr">
        <is>
          <t>Added</t>
        </is>
      </c>
    </row>
    <row r="184">
      <c r="A184" t="inlineStr">
        <is>
          <t>Imperial Agents</t>
        </is>
      </c>
      <c r="B184" t="inlineStr">
        <is>
          <t>Grey Knights Terminator Squad</t>
        </is>
      </c>
      <c r="C184" t="inlineStr">
        <is>
          <t>5 models</t>
        </is>
      </c>
      <c r="D184" t="n">
        <v>190</v>
      </c>
      <c r="F184" t="inlineStr">
        <is>
          <t>Added</t>
        </is>
      </c>
    </row>
    <row r="185">
      <c r="A185" t="inlineStr">
        <is>
          <t>Imperial Agents</t>
        </is>
      </c>
      <c r="B185" t="inlineStr">
        <is>
          <t>Imperial Rhino</t>
        </is>
      </c>
      <c r="C185" t="inlineStr">
        <is>
          <t>1 model</t>
        </is>
      </c>
      <c r="D185" t="n">
        <v>75</v>
      </c>
      <c r="F185" t="inlineStr">
        <is>
          <t>Added</t>
        </is>
      </c>
    </row>
    <row r="186">
      <c r="A186" t="inlineStr">
        <is>
          <t>Imperial Agents</t>
        </is>
      </c>
      <c r="B186" t="inlineStr">
        <is>
          <t>Inquisitor</t>
        </is>
      </c>
      <c r="C186" t="inlineStr">
        <is>
          <t>1 model</t>
        </is>
      </c>
      <c r="D186" t="n">
        <v>55</v>
      </c>
      <c r="F186" t="inlineStr">
        <is>
          <t>Added</t>
        </is>
      </c>
    </row>
    <row r="187">
      <c r="A187" t="inlineStr">
        <is>
          <t>Imperial Agents</t>
        </is>
      </c>
      <c r="B187" t="inlineStr">
        <is>
          <t>Inquisitor Coteaz</t>
        </is>
      </c>
      <c r="C187" t="inlineStr">
        <is>
          <t>1 model</t>
        </is>
      </c>
      <c r="D187" t="n">
        <v>75</v>
      </c>
      <c r="F187" t="inlineStr">
        <is>
          <t>Added</t>
        </is>
      </c>
    </row>
    <row r="188">
      <c r="A188" t="inlineStr">
        <is>
          <t>Imperial Agents</t>
        </is>
      </c>
      <c r="B188" t="inlineStr">
        <is>
          <t>Inquisitor Greyfax</t>
        </is>
      </c>
      <c r="C188" t="inlineStr">
        <is>
          <t>1 model</t>
        </is>
      </c>
      <c r="D188" t="n">
        <v>65</v>
      </c>
      <c r="F188" t="inlineStr">
        <is>
          <t>Added</t>
        </is>
      </c>
    </row>
    <row r="189">
      <c r="A189" t="inlineStr">
        <is>
          <t>Imperial Agents</t>
        </is>
      </c>
      <c r="B189" t="inlineStr">
        <is>
          <t>Inquisitor Kroyle</t>
        </is>
      </c>
      <c r="C189" t="inlineStr">
        <is>
          <t>1 model</t>
        </is>
      </c>
      <c r="D189" t="n">
        <v>100</v>
      </c>
      <c r="F189" t="inlineStr">
        <is>
          <t>Added</t>
        </is>
      </c>
    </row>
    <row r="190">
      <c r="A190" t="inlineStr">
        <is>
          <t>Imperial Agents</t>
        </is>
      </c>
      <c r="B190" t="inlineStr">
        <is>
          <t>Inquisitorial Chimera</t>
        </is>
      </c>
      <c r="C190" t="inlineStr">
        <is>
          <t>1 model</t>
        </is>
      </c>
      <c r="D190" t="n">
        <v>70</v>
      </c>
      <c r="F190" t="inlineStr">
        <is>
          <t>Added</t>
        </is>
      </c>
    </row>
    <row r="191">
      <c r="A191" t="inlineStr">
        <is>
          <t>Imperial Agents</t>
        </is>
      </c>
      <c r="B191" t="inlineStr">
        <is>
          <t>Sanctifiers</t>
        </is>
      </c>
      <c r="C191" t="inlineStr">
        <is>
          <t>9 models</t>
        </is>
      </c>
      <c r="D191" t="n">
        <v>100</v>
      </c>
      <c r="F191" t="inlineStr">
        <is>
          <t>Added</t>
        </is>
      </c>
    </row>
    <row r="192">
      <c r="A192" t="inlineStr">
        <is>
          <t>Imperial Agents</t>
        </is>
      </c>
      <c r="B192" t="inlineStr">
        <is>
          <t>Sisters Of Battle Immolator</t>
        </is>
      </c>
      <c r="C192" t="inlineStr">
        <is>
          <t>1 model</t>
        </is>
      </c>
      <c r="D192" t="n">
        <v>100</v>
      </c>
      <c r="F192" t="inlineStr">
        <is>
          <t>Added</t>
        </is>
      </c>
    </row>
    <row r="193">
      <c r="A193" t="inlineStr">
        <is>
          <t>Imperial Agents</t>
        </is>
      </c>
      <c r="B193" t="inlineStr">
        <is>
          <t>Sisters Of Battle Squad</t>
        </is>
      </c>
      <c r="C193" t="inlineStr">
        <is>
          <t>10 models</t>
        </is>
      </c>
      <c r="D193" t="n">
        <v>100</v>
      </c>
      <c r="F193" t="inlineStr">
        <is>
          <t>Added</t>
        </is>
      </c>
    </row>
    <row r="194">
      <c r="A194" t="inlineStr">
        <is>
          <t>Imperial Agents</t>
        </is>
      </c>
      <c r="B194" t="inlineStr">
        <is>
          <t>Vigilant Squad</t>
        </is>
      </c>
      <c r="C194" t="inlineStr">
        <is>
          <t>11 models</t>
        </is>
      </c>
      <c r="D194" t="n">
        <v>85</v>
      </c>
      <c r="F194" t="inlineStr">
        <is>
          <t>Added</t>
        </is>
      </c>
    </row>
    <row r="195">
      <c r="A195" t="inlineStr">
        <is>
          <t>Imperial Agents</t>
        </is>
      </c>
      <c r="B195" t="inlineStr">
        <is>
          <t>Watch Master</t>
        </is>
      </c>
      <c r="C195" t="inlineStr">
        <is>
          <t>1 model</t>
        </is>
      </c>
      <c r="D195" t="n">
        <v>95</v>
      </c>
      <c r="F195" t="inlineStr">
        <is>
          <t>Added</t>
        </is>
      </c>
    </row>
    <row r="196">
      <c r="A196" t="inlineStr">
        <is>
          <t>Imperial Knights</t>
        </is>
      </c>
      <c r="B196" t="inlineStr">
        <is>
          <t>Acastus Knight Asterius</t>
        </is>
      </c>
      <c r="C196" t="inlineStr">
        <is>
          <t>1 model</t>
        </is>
      </c>
      <c r="D196" t="n">
        <v>785</v>
      </c>
      <c r="F196" t="inlineStr">
        <is>
          <t>Added</t>
        </is>
      </c>
    </row>
    <row r="197">
      <c r="A197" t="inlineStr">
        <is>
          <t>Imperial Knights</t>
        </is>
      </c>
      <c r="B197" t="inlineStr">
        <is>
          <t>Acastus Knight Porphyrion</t>
        </is>
      </c>
      <c r="C197" t="inlineStr">
        <is>
          <t>1 model</t>
        </is>
      </c>
      <c r="D197" t="n">
        <v>725</v>
      </c>
      <c r="F197" t="inlineStr">
        <is>
          <t>Added</t>
        </is>
      </c>
    </row>
    <row r="198">
      <c r="A198" t="inlineStr">
        <is>
          <t>Imperial Knights</t>
        </is>
      </c>
      <c r="B198" t="inlineStr">
        <is>
          <t>Armiger Moirax</t>
        </is>
      </c>
      <c r="C198" t="inlineStr">
        <is>
          <t>1 model</t>
        </is>
      </c>
      <c r="D198" t="n">
        <v>150</v>
      </c>
      <c r="F198" t="inlineStr">
        <is>
          <t>Added</t>
        </is>
      </c>
    </row>
    <row r="199">
      <c r="A199" t="inlineStr">
        <is>
          <t>Imperial Knights</t>
        </is>
      </c>
      <c r="B199" t="inlineStr">
        <is>
          <t>Cerastus Knight Acheron</t>
        </is>
      </c>
      <c r="C199" t="inlineStr">
        <is>
          <t>1 model</t>
        </is>
      </c>
      <c r="D199" t="n">
        <v>380</v>
      </c>
      <c r="F199" t="inlineStr">
        <is>
          <t>Added</t>
        </is>
      </c>
    </row>
    <row r="200">
      <c r="A200" t="inlineStr">
        <is>
          <t>Imperial Knights</t>
        </is>
      </c>
      <c r="B200" t="inlineStr">
        <is>
          <t>Cerastus Knight Atrapos</t>
        </is>
      </c>
      <c r="C200" t="inlineStr">
        <is>
          <t>1 model</t>
        </is>
      </c>
      <c r="D200" t="n">
        <v>405</v>
      </c>
      <c r="F200" t="inlineStr">
        <is>
          <t>Added</t>
        </is>
      </c>
    </row>
    <row r="201">
      <c r="A201" t="inlineStr">
        <is>
          <t>Imperial Knights</t>
        </is>
      </c>
      <c r="B201" t="inlineStr">
        <is>
          <t>Cerastus Knight Castigator</t>
        </is>
      </c>
      <c r="C201" t="inlineStr">
        <is>
          <t>1 model</t>
        </is>
      </c>
      <c r="D201" t="n">
        <v>380</v>
      </c>
      <c r="F201" t="inlineStr">
        <is>
          <t>Added</t>
        </is>
      </c>
    </row>
    <row r="202">
      <c r="A202" t="inlineStr">
        <is>
          <t>Imperial Knights</t>
        </is>
      </c>
      <c r="B202" t="inlineStr">
        <is>
          <t>Cerastus Knight Lancer</t>
        </is>
      </c>
      <c r="C202" t="inlineStr">
        <is>
          <t>1 model</t>
        </is>
      </c>
      <c r="D202" t="n">
        <v>415</v>
      </c>
      <c r="F202" t="inlineStr">
        <is>
          <t>Added</t>
        </is>
      </c>
    </row>
    <row r="203">
      <c r="A203" t="inlineStr">
        <is>
          <t>Imperial Knights</t>
        </is>
      </c>
      <c r="B203" t="inlineStr">
        <is>
          <t>Knight Defender</t>
        </is>
      </c>
      <c r="C203" t="inlineStr">
        <is>
          <t>1 model</t>
        </is>
      </c>
      <c r="D203" t="n">
        <v>400</v>
      </c>
      <c r="F203" t="inlineStr">
        <is>
          <t>Added</t>
        </is>
      </c>
    </row>
    <row r="204">
      <c r="A204" t="inlineStr">
        <is>
          <t>Imperial Knights</t>
        </is>
      </c>
      <c r="B204" t="inlineStr">
        <is>
          <t>Knight Destrier</t>
        </is>
      </c>
      <c r="C204" t="inlineStr">
        <is>
          <t>1 model</t>
        </is>
      </c>
      <c r="D204" t="n">
        <v>265</v>
      </c>
      <c r="F204" t="inlineStr">
        <is>
          <t>Added</t>
        </is>
      </c>
    </row>
    <row r="205">
      <c r="A205" t="inlineStr">
        <is>
          <t>Imperial Knights</t>
        </is>
      </c>
      <c r="B205" t="inlineStr">
        <is>
          <t>Questoris Knight Magaera</t>
        </is>
      </c>
      <c r="C205" t="inlineStr">
        <is>
          <t>1 model</t>
        </is>
      </c>
      <c r="D205" t="n">
        <v>385</v>
      </c>
      <c r="F205" t="inlineStr">
        <is>
          <t>Added</t>
        </is>
      </c>
    </row>
    <row r="206">
      <c r="A206" t="inlineStr">
        <is>
          <t>Imperial Knights</t>
        </is>
      </c>
      <c r="B206" t="inlineStr">
        <is>
          <t>Questoris Knight Styrix</t>
        </is>
      </c>
      <c r="C206" t="inlineStr">
        <is>
          <t>1 model</t>
        </is>
      </c>
      <c r="D206" t="n">
        <v>375</v>
      </c>
      <c r="F206" t="inlineStr">
        <is>
          <t>Added</t>
        </is>
      </c>
    </row>
    <row r="207">
      <c r="A207" t="inlineStr">
        <is>
          <t>Leagues of Votann</t>
        </is>
      </c>
      <c r="B207" t="inlineStr">
        <is>
          <t>Arkanyst Evaluator</t>
        </is>
      </c>
      <c r="C207" t="inlineStr">
        <is>
          <t>1 model</t>
        </is>
      </c>
      <c r="D207" t="n">
        <v>70</v>
      </c>
      <c r="F207" t="inlineStr">
        <is>
          <t>Added</t>
        </is>
      </c>
    </row>
    <row r="208">
      <c r="A208" t="inlineStr">
        <is>
          <t>Leagues of Votann</t>
        </is>
      </c>
      <c r="B208" t="inlineStr">
        <is>
          <t>Berehk Stornbröw</t>
        </is>
      </c>
      <c r="C208" t="inlineStr">
        <is>
          <t>1 model</t>
        </is>
      </c>
      <c r="D208" t="n">
        <v>95</v>
      </c>
      <c r="F208" t="inlineStr">
        <is>
          <t>Added</t>
        </is>
      </c>
    </row>
    <row r="209">
      <c r="A209" t="inlineStr">
        <is>
          <t>Leagues of Votann</t>
        </is>
      </c>
      <c r="B209" t="inlineStr">
        <is>
          <t>Buri Aegnirssen</t>
        </is>
      </c>
      <c r="C209" t="inlineStr">
        <is>
          <t>1 model</t>
        </is>
      </c>
      <c r="D209" t="n">
        <v>95</v>
      </c>
      <c r="F209" t="inlineStr">
        <is>
          <t>Added</t>
        </is>
      </c>
    </row>
    <row r="210">
      <c r="A210" t="inlineStr">
        <is>
          <t>Leagues of Votann</t>
        </is>
      </c>
      <c r="B210" t="inlineStr">
        <is>
          <t>Cthonian Earthshakers</t>
        </is>
      </c>
      <c r="C210" t="inlineStr">
        <is>
          <t>2 models</t>
        </is>
      </c>
      <c r="D210" t="n">
        <v>110</v>
      </c>
      <c r="F210" t="inlineStr">
        <is>
          <t>Added</t>
        </is>
      </c>
    </row>
    <row r="211">
      <c r="A211" t="inlineStr">
        <is>
          <t>Leagues of Votann</t>
        </is>
      </c>
      <c r="B211" t="inlineStr">
        <is>
          <t>Ironkin Steeljacks With Heavy Volkanite Disintegrators</t>
        </is>
      </c>
      <c r="C211" t="inlineStr">
        <is>
          <t>3 models</t>
        </is>
      </c>
      <c r="D211" t="n">
        <v>80</v>
      </c>
      <c r="F211" t="inlineStr">
        <is>
          <t>Added</t>
        </is>
      </c>
    </row>
    <row r="212">
      <c r="A212" t="inlineStr">
        <is>
          <t>Leagues of Votann</t>
        </is>
      </c>
      <c r="B212" t="inlineStr">
        <is>
          <t>Ironkin Steeljacks With Melee Weapons</t>
        </is>
      </c>
      <c r="C212" t="inlineStr">
        <is>
          <t>3 models</t>
        </is>
      </c>
      <c r="D212" t="n">
        <v>80</v>
      </c>
      <c r="F212" t="inlineStr">
        <is>
          <t>Added</t>
        </is>
      </c>
    </row>
    <row r="213">
      <c r="A213" t="inlineStr">
        <is>
          <t>Leagues of Votann</t>
        </is>
      </c>
      <c r="B213" t="inlineStr">
        <is>
          <t>Kapricus Carrier</t>
        </is>
      </c>
      <c r="C213" t="inlineStr">
        <is>
          <t>1 model</t>
        </is>
      </c>
      <c r="D213" t="n">
        <v>75</v>
      </c>
      <c r="F213" t="inlineStr">
        <is>
          <t>Added</t>
        </is>
      </c>
    </row>
    <row r="214">
      <c r="A214" t="inlineStr">
        <is>
          <t>Leagues of Votann</t>
        </is>
      </c>
      <c r="B214" t="inlineStr">
        <is>
          <t>Kapricus Defenders</t>
        </is>
      </c>
      <c r="C214" t="inlineStr">
        <is>
          <t>1 model</t>
        </is>
      </c>
      <c r="D214" t="n">
        <v>65</v>
      </c>
      <c r="F214" t="inlineStr">
        <is>
          <t>Added</t>
        </is>
      </c>
    </row>
    <row r="215">
      <c r="A215" t="inlineStr">
        <is>
          <t>Leagues of Votann</t>
        </is>
      </c>
      <c r="B215" t="inlineStr">
        <is>
          <t>Memnyr Strategist</t>
        </is>
      </c>
      <c r="C215" t="inlineStr">
        <is>
          <t>1 model</t>
        </is>
      </c>
      <c r="D215" t="n">
        <v>45</v>
      </c>
      <c r="F215" t="inlineStr">
        <is>
          <t>Added</t>
        </is>
      </c>
    </row>
    <row r="216">
      <c r="A216" t="inlineStr">
        <is>
          <t>Necrons</t>
        </is>
      </c>
      <c r="B216" t="inlineStr">
        <is>
          <t>Canoptek Macrocytes</t>
        </is>
      </c>
      <c r="C216" t="inlineStr">
        <is>
          <t>5 models</t>
        </is>
      </c>
      <c r="D216" t="n">
        <v>70</v>
      </c>
      <c r="F216" t="inlineStr">
        <is>
          <t>Added</t>
        </is>
      </c>
    </row>
    <row r="217">
      <c r="A217" t="inlineStr">
        <is>
          <t>Necrons</t>
        </is>
      </c>
      <c r="B217" t="inlineStr">
        <is>
          <t>Canoptek Tomb Crawlers</t>
        </is>
      </c>
      <c r="C217" t="inlineStr">
        <is>
          <t>2 models</t>
        </is>
      </c>
      <c r="D217" t="n">
        <v>50</v>
      </c>
      <c r="F217" t="inlineStr">
        <is>
          <t>Added</t>
        </is>
      </c>
    </row>
    <row r="218">
      <c r="A218" t="inlineStr">
        <is>
          <t>Necrons</t>
        </is>
      </c>
      <c r="B218" t="inlineStr">
        <is>
          <t>Cryptothralls</t>
        </is>
      </c>
      <c r="C218" t="inlineStr">
        <is>
          <t>2 models</t>
        </is>
      </c>
      <c r="D218" t="n">
        <v>60</v>
      </c>
      <c r="F218" t="inlineStr">
        <is>
          <t>Added</t>
        </is>
      </c>
    </row>
    <row r="219">
      <c r="A219" t="inlineStr">
        <is>
          <t>Necrons</t>
        </is>
      </c>
      <c r="B219" t="inlineStr">
        <is>
          <t>Geomancer</t>
        </is>
      </c>
      <c r="C219" t="inlineStr">
        <is>
          <t>1 model</t>
        </is>
      </c>
      <c r="D219" t="n">
        <v>75</v>
      </c>
      <c r="F219" t="inlineStr">
        <is>
          <t>Added</t>
        </is>
      </c>
    </row>
    <row r="220">
      <c r="A220" t="inlineStr">
        <is>
          <t>Necrons</t>
        </is>
      </c>
      <c r="B220" t="inlineStr">
        <is>
          <t>Nekrosor Ammentar</t>
        </is>
      </c>
      <c r="C220" t="inlineStr">
        <is>
          <t>1 model</t>
        </is>
      </c>
      <c r="D220" t="n">
        <v>175</v>
      </c>
      <c r="F220" t="inlineStr">
        <is>
          <t>Added</t>
        </is>
      </c>
    </row>
    <row r="221">
      <c r="A221" t="inlineStr">
        <is>
          <t>Necrons</t>
        </is>
      </c>
      <c r="B221" t="inlineStr">
        <is>
          <t>Seraptek Heavy Construct</t>
        </is>
      </c>
      <c r="C221" t="inlineStr">
        <is>
          <t>1 model</t>
        </is>
      </c>
      <c r="D221" t="n">
        <v>540</v>
      </c>
      <c r="F221" t="inlineStr">
        <is>
          <t>Added</t>
        </is>
      </c>
    </row>
    <row r="222">
      <c r="A222" t="inlineStr">
        <is>
          <t>Orks</t>
        </is>
      </c>
      <c r="B222" t="inlineStr">
        <is>
          <t>Bannernob</t>
        </is>
      </c>
      <c r="C222" t="inlineStr">
        <is>
          <t>1 model</t>
        </is>
      </c>
      <c r="D222" t="n">
        <v>50</v>
      </c>
      <c r="F222" t="inlineStr">
        <is>
          <t>Added</t>
        </is>
      </c>
    </row>
    <row r="223">
      <c r="A223" t="inlineStr">
        <is>
          <t>Orks</t>
        </is>
      </c>
      <c r="B223" t="inlineStr">
        <is>
          <t>Big Mek Dakkarig</t>
        </is>
      </c>
      <c r="C223" t="inlineStr">
        <is>
          <t>1 model</t>
        </is>
      </c>
      <c r="D223" t="n">
        <v>100</v>
      </c>
      <c r="F223" t="inlineStr">
        <is>
          <t>Added</t>
        </is>
      </c>
    </row>
    <row r="224">
      <c r="A224" t="inlineStr">
        <is>
          <t>Orks</t>
        </is>
      </c>
      <c r="B224" t="inlineStr">
        <is>
          <t>Bigboss</t>
        </is>
      </c>
      <c r="C224" t="inlineStr">
        <is>
          <t>1 model</t>
        </is>
      </c>
      <c r="D224" t="n">
        <v>55</v>
      </c>
      <c r="F224" t="inlineStr">
        <is>
          <t>Added</t>
        </is>
      </c>
    </row>
    <row r="225">
      <c r="A225" t="inlineStr">
        <is>
          <t>Orks</t>
        </is>
      </c>
      <c r="B225" t="inlineStr">
        <is>
          <t>Big’Ed Bossbunka</t>
        </is>
      </c>
      <c r="C225" t="inlineStr">
        <is>
          <t>1 model</t>
        </is>
      </c>
      <c r="D225" t="n">
        <v>135</v>
      </c>
      <c r="F225" t="inlineStr">
        <is>
          <t>Added</t>
        </is>
      </c>
    </row>
    <row r="226">
      <c r="A226" t="inlineStr">
        <is>
          <t>Orks</t>
        </is>
      </c>
      <c r="B226" t="inlineStr">
        <is>
          <t>Breaka Boyz</t>
        </is>
      </c>
      <c r="C226" t="inlineStr">
        <is>
          <t>6 models</t>
        </is>
      </c>
      <c r="D226" t="n">
        <v>125</v>
      </c>
      <c r="F226" t="inlineStr">
        <is>
          <t>Added</t>
        </is>
      </c>
    </row>
    <row r="227">
      <c r="A227" t="inlineStr">
        <is>
          <t>Orks</t>
        </is>
      </c>
      <c r="B227" t="inlineStr">
        <is>
          <t>Gargantuan Squiggoth</t>
        </is>
      </c>
      <c r="C227" t="inlineStr">
        <is>
          <t>1 model</t>
        </is>
      </c>
      <c r="D227" t="n">
        <v>440</v>
      </c>
      <c r="F227" t="inlineStr">
        <is>
          <t>Added</t>
        </is>
      </c>
    </row>
    <row r="228">
      <c r="A228" t="inlineStr">
        <is>
          <t>Orks</t>
        </is>
      </c>
      <c r="B228" t="inlineStr">
        <is>
          <t>Kustom Boosta-Blasta</t>
        </is>
      </c>
      <c r="C228" t="inlineStr">
        <is>
          <t>1 model</t>
        </is>
      </c>
      <c r="D228" t="n">
        <v>70</v>
      </c>
      <c r="F228" t="inlineStr">
        <is>
          <t>Added</t>
        </is>
      </c>
    </row>
    <row r="229">
      <c r="A229" t="inlineStr">
        <is>
          <t>Orks</t>
        </is>
      </c>
      <c r="B229" t="inlineStr">
        <is>
          <t>Wartrakk</t>
        </is>
      </c>
      <c r="C229" t="inlineStr">
        <is>
          <t>1 model</t>
        </is>
      </c>
      <c r="D229" t="n">
        <v>60</v>
      </c>
      <c r="F229" t="inlineStr">
        <is>
          <t>Added</t>
        </is>
      </c>
    </row>
    <row r="230">
      <c r="A230" t="inlineStr">
        <is>
          <t>Orks</t>
        </is>
      </c>
      <c r="B230" t="inlineStr">
        <is>
          <t>Wazdakka Gutsmek</t>
        </is>
      </c>
      <c r="C230" t="inlineStr">
        <is>
          <t>1 model</t>
        </is>
      </c>
      <c r="D230" t="n">
        <v>175</v>
      </c>
      <c r="F230" t="inlineStr">
        <is>
          <t>Added</t>
        </is>
      </c>
    </row>
    <row r="231">
      <c r="A231" t="inlineStr">
        <is>
          <t>Orks</t>
        </is>
      </c>
      <c r="B231" t="inlineStr">
        <is>
          <t>Wurrboy</t>
        </is>
      </c>
      <c r="C231" t="inlineStr">
        <is>
          <t>1 model</t>
        </is>
      </c>
      <c r="D231" t="n">
        <v>60</v>
      </c>
      <c r="F231" t="inlineStr">
        <is>
          <t>Added</t>
        </is>
      </c>
    </row>
    <row r="232">
      <c r="A232" t="inlineStr">
        <is>
          <t>Space Marines</t>
        </is>
      </c>
      <c r="B232" t="inlineStr">
        <is>
          <t>Aethon Shaan</t>
        </is>
      </c>
      <c r="C232" t="inlineStr">
        <is>
          <t>1 model</t>
        </is>
      </c>
      <c r="D232" t="n">
        <v>100</v>
      </c>
      <c r="E232" t="inlineStr">
        <is>
          <t>Raven Guard</t>
        </is>
      </c>
      <c r="F232" t="inlineStr">
        <is>
          <t>Added</t>
        </is>
      </c>
    </row>
    <row r="233">
      <c r="A233" t="inlineStr">
        <is>
          <t>Space Marines</t>
        </is>
      </c>
      <c r="B233" t="inlineStr">
        <is>
          <t>Ancient In Terminator Armour</t>
        </is>
      </c>
      <c r="C233" t="inlineStr">
        <is>
          <t>1 model</t>
        </is>
      </c>
      <c r="D233" t="n">
        <v>65</v>
      </c>
      <c r="E233" t="inlineStr">
        <is>
          <t>Space Marines</t>
        </is>
      </c>
      <c r="F233" t="inlineStr">
        <is>
          <t>Added</t>
        </is>
      </c>
    </row>
    <row r="234">
      <c r="A234" t="inlineStr">
        <is>
          <t>Space Marines</t>
        </is>
      </c>
      <c r="B234" t="inlineStr">
        <is>
          <t>Astraeus</t>
        </is>
      </c>
      <c r="C234" t="inlineStr">
        <is>
          <t>1 model</t>
        </is>
      </c>
      <c r="D234" t="n">
        <v>525</v>
      </c>
      <c r="E234" t="inlineStr">
        <is>
          <t>Space Marines</t>
        </is>
      </c>
      <c r="F234" t="inlineStr">
        <is>
          <t>Added</t>
        </is>
      </c>
    </row>
    <row r="235">
      <c r="A235" t="inlineStr">
        <is>
          <t>Space Marines</t>
        </is>
      </c>
      <c r="B235" t="inlineStr">
        <is>
          <t>Caanok Var</t>
        </is>
      </c>
      <c r="C235" t="inlineStr">
        <is>
          <t>1 model</t>
        </is>
      </c>
      <c r="D235" t="n">
        <v>90</v>
      </c>
      <c r="E235" t="inlineStr">
        <is>
          <t>Iron Hands</t>
        </is>
      </c>
      <c r="F235" t="inlineStr">
        <is>
          <t>Added</t>
        </is>
      </c>
    </row>
    <row r="236">
      <c r="A236" t="inlineStr">
        <is>
          <t>Space Marines</t>
        </is>
      </c>
      <c r="B236" t="inlineStr">
        <is>
          <t>Captain Titus</t>
        </is>
      </c>
      <c r="C236" t="inlineStr">
        <is>
          <t>1 model</t>
        </is>
      </c>
      <c r="D236" t="n">
        <v>90</v>
      </c>
      <c r="E236" t="inlineStr">
        <is>
          <t>Ultramarines</t>
        </is>
      </c>
      <c r="F236" t="inlineStr">
        <is>
          <t>Added</t>
        </is>
      </c>
    </row>
    <row r="237">
      <c r="A237" t="inlineStr">
        <is>
          <t>Space Marines</t>
        </is>
      </c>
      <c r="B237" t="inlineStr">
        <is>
          <t>Captain With Jump Pack</t>
        </is>
      </c>
      <c r="C237" t="inlineStr">
        <is>
          <t>1 model</t>
        </is>
      </c>
      <c r="D237" t="n">
        <v>75</v>
      </c>
      <c r="E237" t="inlineStr">
        <is>
          <t>Space Marines</t>
        </is>
      </c>
      <c r="F237" t="inlineStr">
        <is>
          <t>Added</t>
        </is>
      </c>
    </row>
    <row r="238">
      <c r="A238" t="inlineStr">
        <is>
          <t>Space Marines</t>
        </is>
      </c>
      <c r="B238" t="inlineStr">
        <is>
          <t>Cato Sicarius</t>
        </is>
      </c>
      <c r="C238" t="inlineStr">
        <is>
          <t>1 model</t>
        </is>
      </c>
      <c r="D238" t="n">
        <v>95</v>
      </c>
      <c r="E238" t="inlineStr">
        <is>
          <t>Ultramarines</t>
        </is>
      </c>
      <c r="F238" t="inlineStr">
        <is>
          <t>Added</t>
        </is>
      </c>
    </row>
    <row r="239">
      <c r="A239" t="inlineStr">
        <is>
          <t>Space Marines</t>
        </is>
      </c>
      <c r="B239" t="inlineStr">
        <is>
          <t>Centurion Assault Squad</t>
        </is>
      </c>
      <c r="C239" t="inlineStr">
        <is>
          <t>3 models</t>
        </is>
      </c>
      <c r="D239" t="n">
        <v>150</v>
      </c>
      <c r="E239" t="inlineStr">
        <is>
          <t>Space Marines</t>
        </is>
      </c>
      <c r="F239" t="inlineStr">
        <is>
          <t>Added</t>
        </is>
      </c>
    </row>
    <row r="240">
      <c r="A240" t="inlineStr">
        <is>
          <t>Space Marines</t>
        </is>
      </c>
      <c r="B240" t="inlineStr">
        <is>
          <t>Centurion Devastator Squad</t>
        </is>
      </c>
      <c r="C240" t="inlineStr">
        <is>
          <t>3 models</t>
        </is>
      </c>
      <c r="D240" t="n">
        <v>175</v>
      </c>
      <c r="E240" t="inlineStr">
        <is>
          <t>Space Marines</t>
        </is>
      </c>
      <c r="F240" t="inlineStr">
        <is>
          <t>Added</t>
        </is>
      </c>
    </row>
    <row r="241">
      <c r="A241" t="inlineStr">
        <is>
          <t>Space Marines</t>
        </is>
      </c>
      <c r="B241" t="inlineStr">
        <is>
          <t>Chaplain With Jump Pack</t>
        </is>
      </c>
      <c r="C241" t="inlineStr">
        <is>
          <t>1 model</t>
        </is>
      </c>
      <c r="D241" t="n">
        <v>75</v>
      </c>
      <c r="E241" t="inlineStr">
        <is>
          <t>Space Marines</t>
        </is>
      </c>
      <c r="F241" t="inlineStr">
        <is>
          <t>Added</t>
        </is>
      </c>
    </row>
    <row r="242">
      <c r="A242" t="inlineStr">
        <is>
          <t>Space Marines</t>
        </is>
      </c>
      <c r="B242" t="inlineStr">
        <is>
          <t>Chief Librarian Tigurius</t>
        </is>
      </c>
      <c r="C242" t="inlineStr">
        <is>
          <t>1 model</t>
        </is>
      </c>
      <c r="D242" t="n">
        <v>95</v>
      </c>
      <c r="E242" t="inlineStr">
        <is>
          <t>Ultramarines</t>
        </is>
      </c>
      <c r="F242" t="inlineStr">
        <is>
          <t>Added</t>
        </is>
      </c>
    </row>
    <row r="243">
      <c r="A243" t="inlineStr">
        <is>
          <t>Space Marines</t>
        </is>
      </c>
      <c r="B243" t="inlineStr">
        <is>
          <t>Dreadnought</t>
        </is>
      </c>
      <c r="C243" t="inlineStr">
        <is>
          <t>1 model</t>
        </is>
      </c>
      <c r="D243" t="n">
        <v>135</v>
      </c>
      <c r="E243" t="inlineStr">
        <is>
          <t>Space Marines</t>
        </is>
      </c>
      <c r="F243" t="inlineStr">
        <is>
          <t>Added</t>
        </is>
      </c>
    </row>
    <row r="244">
      <c r="A244" t="inlineStr">
        <is>
          <t>Space Marines</t>
        </is>
      </c>
      <c r="B244" t="inlineStr">
        <is>
          <t>Drop Pod</t>
        </is>
      </c>
      <c r="C244" t="inlineStr">
        <is>
          <t>1 model</t>
        </is>
      </c>
      <c r="D244" t="n">
        <v>70</v>
      </c>
      <c r="E244" t="inlineStr">
        <is>
          <t>Space Marines</t>
        </is>
      </c>
      <c r="F244" t="inlineStr">
        <is>
          <t>Added</t>
        </is>
      </c>
    </row>
    <row r="245">
      <c r="A245" t="inlineStr">
        <is>
          <t>Space Marines</t>
        </is>
      </c>
      <c r="B245" t="inlineStr">
        <is>
          <t>Eradicator Squad With Heavy Bolters</t>
        </is>
      </c>
      <c r="C245" t="inlineStr">
        <is>
          <t>3 models</t>
        </is>
      </c>
      <c r="D245" t="n">
        <v>70</v>
      </c>
      <c r="E245" t="inlineStr">
        <is>
          <t>Space Marines</t>
        </is>
      </c>
      <c r="F245" t="inlineStr">
        <is>
          <t>Added</t>
        </is>
      </c>
    </row>
    <row r="246">
      <c r="A246" t="inlineStr">
        <is>
          <t>Space Marines</t>
        </is>
      </c>
      <c r="B246" t="inlineStr">
        <is>
          <t>Firestrike Servo-Turrets</t>
        </is>
      </c>
      <c r="C246" t="inlineStr">
        <is>
          <t>1 model</t>
        </is>
      </c>
      <c r="D246" t="n">
        <v>75</v>
      </c>
      <c r="E246" t="inlineStr">
        <is>
          <t>Space Marines</t>
        </is>
      </c>
      <c r="F246" t="inlineStr">
        <is>
          <t>Added</t>
        </is>
      </c>
    </row>
    <row r="247">
      <c r="A247" t="inlineStr">
        <is>
          <t>Space Marines</t>
        </is>
      </c>
      <c r="B247" t="inlineStr">
        <is>
          <t>Intercessor Squad</t>
        </is>
      </c>
      <c r="C247" t="inlineStr">
        <is>
          <t>5 models</t>
        </is>
      </c>
      <c r="D247" t="n">
        <v>80</v>
      </c>
      <c r="E247" t="inlineStr">
        <is>
          <t>Space Marines</t>
        </is>
      </c>
      <c r="F247" t="inlineStr">
        <is>
          <t>Added</t>
        </is>
      </c>
    </row>
    <row r="248">
      <c r="A248" t="inlineStr">
        <is>
          <t>Space Marines</t>
        </is>
      </c>
      <c r="B248" t="inlineStr">
        <is>
          <t>Iron Father Feirros</t>
        </is>
      </c>
      <c r="C248" t="inlineStr">
        <is>
          <t>1 model</t>
        </is>
      </c>
      <c r="D248" t="n">
        <v>85</v>
      </c>
      <c r="E248" t="inlineStr">
        <is>
          <t>Iron Hands</t>
        </is>
      </c>
      <c r="F248" t="inlineStr">
        <is>
          <t>Added</t>
        </is>
      </c>
    </row>
    <row r="249">
      <c r="A249" t="inlineStr">
        <is>
          <t>Space Marines</t>
        </is>
      </c>
      <c r="B249" t="inlineStr">
        <is>
          <t>Land Speeder</t>
        </is>
      </c>
      <c r="C249" t="inlineStr">
        <is>
          <t>1 model</t>
        </is>
      </c>
      <c r="D249" t="n">
        <v>95</v>
      </c>
      <c r="E249" t="inlineStr">
        <is>
          <t>Space Marines</t>
        </is>
      </c>
      <c r="F249" t="inlineStr">
        <is>
          <t>Added</t>
        </is>
      </c>
    </row>
    <row r="250">
      <c r="A250" t="inlineStr">
        <is>
          <t>Space Marines</t>
        </is>
      </c>
      <c r="B250" t="inlineStr">
        <is>
          <t>Lieutenant In Reiver Armour</t>
        </is>
      </c>
      <c r="C250" t="inlineStr">
        <is>
          <t>1 model</t>
        </is>
      </c>
      <c r="D250" t="n">
        <v>45</v>
      </c>
      <c r="E250" t="inlineStr">
        <is>
          <t>Space Marines</t>
        </is>
      </c>
      <c r="F250" t="inlineStr">
        <is>
          <t>Added</t>
        </is>
      </c>
    </row>
    <row r="251">
      <c r="A251" t="inlineStr">
        <is>
          <t>Space Marines</t>
        </is>
      </c>
      <c r="B251" t="inlineStr">
        <is>
          <t>Marneus Calgar In Armour Of Antilochus</t>
        </is>
      </c>
      <c r="C251" t="inlineStr">
        <is>
          <t>1 model</t>
        </is>
      </c>
      <c r="D251" t="n">
        <v>140</v>
      </c>
      <c r="E251" t="inlineStr">
        <is>
          <t>Ultramarines</t>
        </is>
      </c>
      <c r="F251" t="inlineStr">
        <is>
          <t>Added</t>
        </is>
      </c>
    </row>
    <row r="252">
      <c r="A252" t="inlineStr">
        <is>
          <t>Space Marines</t>
        </is>
      </c>
      <c r="B252" t="inlineStr">
        <is>
          <t>Suboden Khan</t>
        </is>
      </c>
      <c r="C252" t="inlineStr">
        <is>
          <t>1 model</t>
        </is>
      </c>
      <c r="D252" t="n">
        <v>100</v>
      </c>
      <c r="E252" t="inlineStr">
        <is>
          <t>White Scars</t>
        </is>
      </c>
      <c r="F252" t="inlineStr">
        <is>
          <t>Added</t>
        </is>
      </c>
    </row>
    <row r="253">
      <c r="A253" t="inlineStr">
        <is>
          <t>Space Marines</t>
        </is>
      </c>
      <c r="B253" t="inlineStr">
        <is>
          <t>Thunderhawk Gunship</t>
        </is>
      </c>
      <c r="C253" t="inlineStr">
        <is>
          <t>1 model</t>
        </is>
      </c>
      <c r="D253" t="n">
        <v>840</v>
      </c>
      <c r="E253" t="inlineStr">
        <is>
          <t>Space Marines</t>
        </is>
      </c>
      <c r="F253" t="inlineStr">
        <is>
          <t>Added</t>
        </is>
      </c>
    </row>
    <row r="254">
      <c r="A254" t="inlineStr">
        <is>
          <t>Space Marines</t>
        </is>
      </c>
      <c r="B254" t="inlineStr">
        <is>
          <t>Victrix Honour Guard</t>
        </is>
      </c>
      <c r="C254" t="inlineStr">
        <is>
          <t>3 models</t>
        </is>
      </c>
      <c r="D254" t="n">
        <v>110</v>
      </c>
      <c r="E254" t="inlineStr">
        <is>
          <t>Ultramarines</t>
        </is>
      </c>
      <c r="F254" t="inlineStr">
        <is>
          <t>Added</t>
        </is>
      </c>
    </row>
    <row r="255">
      <c r="A255" t="inlineStr">
        <is>
          <t>Space Marines</t>
        </is>
      </c>
      <c r="B255" t="inlineStr">
        <is>
          <t>Vulkan He’Stan</t>
        </is>
      </c>
      <c r="C255" t="inlineStr">
        <is>
          <t>1 model</t>
        </is>
      </c>
      <c r="D255" t="n">
        <v>85</v>
      </c>
      <c r="E255" t="inlineStr">
        <is>
          <t>Salamanders</t>
        </is>
      </c>
      <c r="F255" t="inlineStr">
        <is>
          <t>Added</t>
        </is>
      </c>
    </row>
    <row r="256">
      <c r="A256" t="inlineStr">
        <is>
          <t>Space Marines</t>
        </is>
      </c>
      <c r="B256" t="inlineStr">
        <is>
          <t>Wardens Of Ultramar</t>
        </is>
      </c>
      <c r="C256" t="inlineStr">
        <is>
          <t>6 models</t>
        </is>
      </c>
      <c r="D256" t="n">
        <v>110</v>
      </c>
      <c r="E256" t="inlineStr">
        <is>
          <t>Ultramarines</t>
        </is>
      </c>
      <c r="F256" t="inlineStr">
        <is>
          <t>Added</t>
        </is>
      </c>
    </row>
    <row r="257">
      <c r="A257" t="inlineStr">
        <is>
          <t>Space Wolves</t>
        </is>
      </c>
      <c r="B257" t="inlineStr">
        <is>
          <t>Iron Priest</t>
        </is>
      </c>
      <c r="C257" t="inlineStr">
        <is>
          <t>1 model</t>
        </is>
      </c>
      <c r="D257" t="n">
        <v>55</v>
      </c>
      <c r="E257" t="inlineStr">
        <is>
          <t>Space Wolves</t>
        </is>
      </c>
      <c r="F257" t="inlineStr">
        <is>
          <t>Added</t>
        </is>
      </c>
    </row>
    <row r="258">
      <c r="A258" t="inlineStr">
        <is>
          <t>Space Wolves</t>
        </is>
      </c>
      <c r="B258" t="inlineStr">
        <is>
          <t>Wolf Guard Battle Leader</t>
        </is>
      </c>
      <c r="C258" t="inlineStr">
        <is>
          <t>1 model</t>
        </is>
      </c>
      <c r="D258" t="n">
        <v>65</v>
      </c>
      <c r="E258" t="inlineStr">
        <is>
          <t>Space Wolves</t>
        </is>
      </c>
      <c r="F258" t="inlineStr">
        <is>
          <t>Added</t>
        </is>
      </c>
    </row>
    <row r="259">
      <c r="A259" t="inlineStr">
        <is>
          <t>Space Wolves</t>
        </is>
      </c>
      <c r="B259" t="inlineStr">
        <is>
          <t>Wolf Guard Headtakers</t>
        </is>
      </c>
      <c r="C259" t="inlineStr">
        <is>
          <t>3 models</t>
        </is>
      </c>
      <c r="D259" t="n">
        <v>85</v>
      </c>
      <c r="E259" t="inlineStr">
        <is>
          <t>Space Wolves</t>
        </is>
      </c>
      <c r="F259" t="inlineStr">
        <is>
          <t>Added</t>
        </is>
      </c>
    </row>
    <row r="260">
      <c r="A260" t="inlineStr">
        <is>
          <t>Space Wolves</t>
        </is>
      </c>
      <c r="B260" t="inlineStr">
        <is>
          <t>Wolf Guard Terminators</t>
        </is>
      </c>
      <c r="C260" t="inlineStr">
        <is>
          <t>5 models</t>
        </is>
      </c>
      <c r="D260" t="n">
        <v>150</v>
      </c>
      <c r="E260" t="inlineStr">
        <is>
          <t>Space Wolves</t>
        </is>
      </c>
      <c r="F260" t="inlineStr">
        <is>
          <t>Added</t>
        </is>
      </c>
    </row>
    <row r="261">
      <c r="A261" t="inlineStr">
        <is>
          <t>Space Wolves</t>
        </is>
      </c>
      <c r="B261" t="inlineStr">
        <is>
          <t>Wolf Priest</t>
        </is>
      </c>
      <c r="C261" t="inlineStr">
        <is>
          <t>1 model</t>
        </is>
      </c>
      <c r="D261" t="n">
        <v>70</v>
      </c>
      <c r="E261" t="inlineStr">
        <is>
          <t>Space Wolves</t>
        </is>
      </c>
      <c r="F261" t="inlineStr">
        <is>
          <t>Added</t>
        </is>
      </c>
    </row>
    <row r="262">
      <c r="A262" t="inlineStr">
        <is>
          <t>Space Wolves</t>
        </is>
      </c>
      <c r="B262" t="inlineStr">
        <is>
          <t>Wolf Scouts</t>
        </is>
      </c>
      <c r="C262" t="inlineStr">
        <is>
          <t>6 models</t>
        </is>
      </c>
      <c r="D262" t="n">
        <v>95</v>
      </c>
      <c r="E262" t="inlineStr">
        <is>
          <t>Space Wolves</t>
        </is>
      </c>
      <c r="F262" t="inlineStr">
        <is>
          <t>Added</t>
        </is>
      </c>
    </row>
    <row r="263">
      <c r="A263" t="inlineStr">
        <is>
          <t>Space Wolves</t>
        </is>
      </c>
      <c r="B263" t="inlineStr">
        <is>
          <t>Wulfen With Storm Shields</t>
        </is>
      </c>
      <c r="C263" t="inlineStr">
        <is>
          <t>5 models</t>
        </is>
      </c>
      <c r="D263" t="n">
        <v>100</v>
      </c>
      <c r="E263" t="inlineStr">
        <is>
          <t>Space Wolves</t>
        </is>
      </c>
      <c r="F263" t="inlineStr">
        <is>
          <t>Added</t>
        </is>
      </c>
    </row>
    <row r="264">
      <c r="A264" t="inlineStr">
        <is>
          <t>T'au Empire</t>
        </is>
      </c>
      <c r="B264" t="inlineStr">
        <is>
          <t>Ax-1-0 Tiger Shark</t>
        </is>
      </c>
      <c r="C264" t="inlineStr">
        <is>
          <t>1 model</t>
        </is>
      </c>
      <c r="D264" t="n">
        <v>315</v>
      </c>
      <c r="F264" t="inlineStr">
        <is>
          <t>Added</t>
        </is>
      </c>
    </row>
    <row r="265">
      <c r="A265" t="inlineStr">
        <is>
          <t>T'au Empire</t>
        </is>
      </c>
      <c r="B265" t="inlineStr">
        <is>
          <t>Breacher Team</t>
        </is>
      </c>
      <c r="C265" t="inlineStr">
        <is>
          <t>10 models</t>
        </is>
      </c>
      <c r="D265" t="n">
        <v>90</v>
      </c>
      <c r="F265" t="inlineStr">
        <is>
          <t>Added</t>
        </is>
      </c>
    </row>
    <row r="266">
      <c r="A266" t="inlineStr">
        <is>
          <t>T'au Empire</t>
        </is>
      </c>
      <c r="B266" t="inlineStr">
        <is>
          <t>Kroot Flesh Shaper</t>
        </is>
      </c>
      <c r="C266" t="inlineStr">
        <is>
          <t>1 model</t>
        </is>
      </c>
      <c r="D266" t="n">
        <v>45</v>
      </c>
      <c r="F266" t="inlineStr">
        <is>
          <t>Added</t>
        </is>
      </c>
    </row>
    <row r="267">
      <c r="A267" t="inlineStr">
        <is>
          <t>T'au Empire</t>
        </is>
      </c>
      <c r="B267" t="inlineStr">
        <is>
          <t>Kroot Trail Shaper</t>
        </is>
      </c>
      <c r="C267" t="inlineStr">
        <is>
          <t>1 model</t>
        </is>
      </c>
      <c r="D267" t="n">
        <v>50</v>
      </c>
      <c r="F267" t="inlineStr">
        <is>
          <t>Added</t>
        </is>
      </c>
    </row>
    <row r="268">
      <c r="A268" t="inlineStr">
        <is>
          <t>T'au Empire</t>
        </is>
      </c>
      <c r="B268" t="inlineStr">
        <is>
          <t>Kroot War Shaper</t>
        </is>
      </c>
      <c r="C268" t="inlineStr">
        <is>
          <t>1 model</t>
        </is>
      </c>
      <c r="D268" t="n">
        <v>60</v>
      </c>
      <c r="F268" t="inlineStr">
        <is>
          <t>Added</t>
        </is>
      </c>
    </row>
    <row r="269">
      <c r="A269" t="inlineStr">
        <is>
          <t>T'au Empire</t>
        </is>
      </c>
      <c r="B269" t="inlineStr">
        <is>
          <t>Manta</t>
        </is>
      </c>
      <c r="C269" t="inlineStr">
        <is>
          <t>1 model</t>
        </is>
      </c>
      <c r="D269" t="n">
        <v>2100</v>
      </c>
      <c r="F269" t="inlineStr">
        <is>
          <t>Added</t>
        </is>
      </c>
    </row>
    <row r="270">
      <c r="A270" t="inlineStr">
        <is>
          <t>T'au Empire</t>
        </is>
      </c>
      <c r="B270" t="inlineStr">
        <is>
          <t>Ta’Unar Supremacy Armour</t>
        </is>
      </c>
      <c r="C270" t="inlineStr">
        <is>
          <t>1 model</t>
        </is>
      </c>
      <c r="D270" t="n">
        <v>790</v>
      </c>
      <c r="F270" t="inlineStr">
        <is>
          <t>Added</t>
        </is>
      </c>
    </row>
    <row r="271">
      <c r="A271" t="inlineStr">
        <is>
          <t>T'au Empire</t>
        </is>
      </c>
      <c r="B271" t="inlineStr">
        <is>
          <t>The Twin Lance</t>
        </is>
      </c>
      <c r="C271" t="inlineStr">
        <is>
          <t>2 models</t>
        </is>
      </c>
      <c r="D271" t="n">
        <v>205</v>
      </c>
      <c r="F271" t="inlineStr">
        <is>
          <t>Added</t>
        </is>
      </c>
    </row>
    <row r="272">
      <c r="A272" t="inlineStr">
        <is>
          <t>T'au Empire</t>
        </is>
      </c>
      <c r="B272" t="inlineStr">
        <is>
          <t>Tidewall Droneport</t>
        </is>
      </c>
      <c r="C272" t="inlineStr">
        <is>
          <t>1 model</t>
        </is>
      </c>
      <c r="D272" t="n">
        <v>85</v>
      </c>
      <c r="F272" t="inlineStr">
        <is>
          <t>Added</t>
        </is>
      </c>
    </row>
    <row r="273">
      <c r="A273" t="inlineStr">
        <is>
          <t>T'au Empire</t>
        </is>
      </c>
      <c r="B273" t="inlineStr">
        <is>
          <t>Tidewall Gunrig</t>
        </is>
      </c>
      <c r="C273" t="inlineStr">
        <is>
          <t>1 model</t>
        </is>
      </c>
      <c r="D273" t="n">
        <v>90</v>
      </c>
      <c r="F273" t="inlineStr">
        <is>
          <t>Added</t>
        </is>
      </c>
    </row>
    <row r="274">
      <c r="A274" t="inlineStr">
        <is>
          <t>T'au Empire</t>
        </is>
      </c>
      <c r="B274" t="inlineStr">
        <is>
          <t>Tidewall Shieldline</t>
        </is>
      </c>
      <c r="C274" t="inlineStr">
        <is>
          <t>1 model</t>
        </is>
      </c>
      <c r="D274" t="n">
        <v>85</v>
      </c>
      <c r="F274" t="inlineStr">
        <is>
          <t>Added</t>
        </is>
      </c>
    </row>
    <row r="275">
      <c r="A275" t="inlineStr">
        <is>
          <t>T'au Empire</t>
        </is>
      </c>
      <c r="B275" t="inlineStr">
        <is>
          <t>Tiger Shark</t>
        </is>
      </c>
      <c r="C275" t="inlineStr">
        <is>
          <t>1 model</t>
        </is>
      </c>
      <c r="D275" t="n">
        <v>325</v>
      </c>
      <c r="F275" t="inlineStr">
        <is>
          <t>Added</t>
        </is>
      </c>
    </row>
    <row r="276">
      <c r="A276" t="inlineStr">
        <is>
          <t>Thousand Sons</t>
        </is>
      </c>
      <c r="B276" t="inlineStr">
        <is>
          <t>Blue Horrors</t>
        </is>
      </c>
      <c r="C276" t="inlineStr">
        <is>
          <t>10 models</t>
        </is>
      </c>
      <c r="D276" t="n">
        <v>90</v>
      </c>
      <c r="F276" t="inlineStr">
        <is>
          <t>Added</t>
        </is>
      </c>
    </row>
    <row r="277">
      <c r="A277" t="inlineStr">
        <is>
          <t>Thousand Sons</t>
        </is>
      </c>
      <c r="B277" t="inlineStr">
        <is>
          <t>Chaos Land Raider</t>
        </is>
      </c>
      <c r="C277" t="inlineStr">
        <is>
          <t>1 model</t>
        </is>
      </c>
      <c r="D277" t="n">
        <v>220</v>
      </c>
      <c r="F277" t="inlineStr">
        <is>
          <t>Added</t>
        </is>
      </c>
    </row>
    <row r="278">
      <c r="A278" t="inlineStr">
        <is>
          <t>Thousand Sons</t>
        </is>
      </c>
      <c r="B278" t="inlineStr">
        <is>
          <t>Chaos Predator Annihilator</t>
        </is>
      </c>
      <c r="C278" t="inlineStr">
        <is>
          <t>1 model</t>
        </is>
      </c>
      <c r="D278" t="n">
        <v>130</v>
      </c>
      <c r="F278" t="inlineStr">
        <is>
          <t>Added</t>
        </is>
      </c>
    </row>
    <row r="279">
      <c r="A279" t="inlineStr">
        <is>
          <t>Thousand Sons</t>
        </is>
      </c>
      <c r="B279" t="inlineStr">
        <is>
          <t>Chaos Predator Destructor</t>
        </is>
      </c>
      <c r="C279" t="inlineStr">
        <is>
          <t>1 model</t>
        </is>
      </c>
      <c r="D279" t="n">
        <v>130</v>
      </c>
      <c r="F279" t="inlineStr">
        <is>
          <t>Added</t>
        </is>
      </c>
    </row>
    <row r="280">
      <c r="A280" t="inlineStr">
        <is>
          <t>Thousand Sons</t>
        </is>
      </c>
      <c r="B280" t="inlineStr">
        <is>
          <t>Chaos Rhino</t>
        </is>
      </c>
      <c r="C280" t="inlineStr">
        <is>
          <t>1 model</t>
        </is>
      </c>
      <c r="D280" t="n">
        <v>90</v>
      </c>
      <c r="F280" t="inlineStr">
        <is>
          <t>Added</t>
        </is>
      </c>
    </row>
    <row r="281">
      <c r="A281" t="inlineStr">
        <is>
          <t>Thousand Sons</t>
        </is>
      </c>
      <c r="B281" t="inlineStr">
        <is>
          <t>Chaos Vindicator</t>
        </is>
      </c>
      <c r="C281" t="inlineStr">
        <is>
          <t>1 model</t>
        </is>
      </c>
      <c r="D281" t="n">
        <v>185</v>
      </c>
      <c r="F281" t="inlineStr">
        <is>
          <t>Added</t>
        </is>
      </c>
    </row>
    <row r="282">
      <c r="A282" t="inlineStr">
        <is>
          <t>Thousand Sons</t>
        </is>
      </c>
      <c r="B282" t="inlineStr">
        <is>
          <t>Daemon Prince Of Tzeentch</t>
        </is>
      </c>
      <c r="C282" t="inlineStr">
        <is>
          <t>1 model</t>
        </is>
      </c>
      <c r="D282" t="n">
        <v>170</v>
      </c>
      <c r="F282" t="inlineStr">
        <is>
          <t>Added</t>
        </is>
      </c>
    </row>
    <row r="283">
      <c r="A283" t="inlineStr">
        <is>
          <t>Thousand Sons</t>
        </is>
      </c>
      <c r="B283" t="inlineStr">
        <is>
          <t>Daemon Prince Of Tzeentch With Wings</t>
        </is>
      </c>
      <c r="C283" t="inlineStr">
        <is>
          <t>1 model</t>
        </is>
      </c>
      <c r="D283" t="n">
        <v>170</v>
      </c>
      <c r="F283" t="inlineStr">
        <is>
          <t>Added</t>
        </is>
      </c>
    </row>
    <row r="284">
      <c r="A284" t="inlineStr">
        <is>
          <t>Thousand Sons</t>
        </is>
      </c>
      <c r="B284" t="inlineStr">
        <is>
          <t>Flamers</t>
        </is>
      </c>
      <c r="C284" t="inlineStr">
        <is>
          <t>3 models</t>
        </is>
      </c>
      <c r="D284" t="n">
        <v>65</v>
      </c>
      <c r="F284" t="inlineStr">
        <is>
          <t>Added</t>
        </is>
      </c>
    </row>
    <row r="285">
      <c r="A285" t="inlineStr">
        <is>
          <t>Thousand Sons</t>
        </is>
      </c>
      <c r="B285" t="inlineStr">
        <is>
          <t>Heldrake</t>
        </is>
      </c>
      <c r="C285" t="inlineStr">
        <is>
          <t>1 model</t>
        </is>
      </c>
      <c r="D285" t="n">
        <v>175</v>
      </c>
      <c r="F285" t="inlineStr">
        <is>
          <t>Added</t>
        </is>
      </c>
    </row>
    <row r="286">
      <c r="A286" t="inlineStr">
        <is>
          <t>Thousand Sons</t>
        </is>
      </c>
      <c r="B286" t="inlineStr">
        <is>
          <t>Kairos Fateweaver</t>
        </is>
      </c>
      <c r="C286" t="inlineStr">
        <is>
          <t>1 model</t>
        </is>
      </c>
      <c r="D286" t="n">
        <v>295</v>
      </c>
      <c r="F286" t="inlineStr">
        <is>
          <t>Added</t>
        </is>
      </c>
    </row>
    <row r="287">
      <c r="A287" t="inlineStr">
        <is>
          <t>Thousand Sons</t>
        </is>
      </c>
      <c r="B287" t="inlineStr">
        <is>
          <t>Lord Of Change</t>
        </is>
      </c>
      <c r="C287" t="inlineStr">
        <is>
          <t>1 model</t>
        </is>
      </c>
      <c r="D287" t="n">
        <v>300</v>
      </c>
      <c r="F287" t="inlineStr">
        <is>
          <t>Added</t>
        </is>
      </c>
    </row>
    <row r="288">
      <c r="A288" t="inlineStr">
        <is>
          <t>Thousand Sons</t>
        </is>
      </c>
      <c r="B288" t="inlineStr">
        <is>
          <t>Pink Horrors</t>
        </is>
      </c>
      <c r="C288" t="inlineStr">
        <is>
          <t>10 models</t>
        </is>
      </c>
      <c r="D288" t="n">
        <v>115</v>
      </c>
      <c r="F288" t="inlineStr">
        <is>
          <t>Added</t>
        </is>
      </c>
    </row>
    <row r="289">
      <c r="A289" t="inlineStr">
        <is>
          <t>Thousand Sons</t>
        </is>
      </c>
      <c r="B289" t="inlineStr">
        <is>
          <t>Screamers</t>
        </is>
      </c>
      <c r="C289" t="inlineStr">
        <is>
          <t>3 models</t>
        </is>
      </c>
      <c r="D289" t="n">
        <v>80</v>
      </c>
      <c r="F289" t="inlineStr">
        <is>
          <t>Added</t>
        </is>
      </c>
    </row>
    <row r="290">
      <c r="A290" t="inlineStr">
        <is>
          <t>Thousand Sons</t>
        </is>
      </c>
      <c r="B290" t="inlineStr">
        <is>
          <t>Sekhetar Robots</t>
        </is>
      </c>
      <c r="C290" t="inlineStr">
        <is>
          <t>2 models</t>
        </is>
      </c>
      <c r="D290" t="n">
        <v>80</v>
      </c>
      <c r="F290" t="inlineStr">
        <is>
          <t>Added</t>
        </is>
      </c>
    </row>
    <row r="291">
      <c r="A291" t="inlineStr">
        <is>
          <t>Thousand Sons</t>
        </is>
      </c>
      <c r="B291" t="inlineStr">
        <is>
          <t>Sorcerer</t>
        </is>
      </c>
      <c r="C291" t="inlineStr">
        <is>
          <t>1 model</t>
        </is>
      </c>
      <c r="D291" t="n">
        <v>85</v>
      </c>
      <c r="F291" t="inlineStr">
        <is>
          <t>Added</t>
        </is>
      </c>
    </row>
    <row r="292">
      <c r="A292" t="inlineStr">
        <is>
          <t>Thousand Sons</t>
        </is>
      </c>
      <c r="B292" t="inlineStr">
        <is>
          <t>Tzaangor Enlightened With Fatecaster Greatbows</t>
        </is>
      </c>
      <c r="C292" t="inlineStr">
        <is>
          <t>3 models</t>
        </is>
      </c>
      <c r="D292" t="n">
        <v>55</v>
      </c>
      <c r="F292" t="inlineStr">
        <is>
          <t>Added</t>
        </is>
      </c>
    </row>
    <row r="293">
      <c r="A293" t="inlineStr">
        <is>
          <t>Tyranids</t>
        </is>
      </c>
      <c r="B293" t="inlineStr">
        <is>
          <t>Harridan</t>
        </is>
      </c>
      <c r="C293" t="inlineStr">
        <is>
          <t>1 model</t>
        </is>
      </c>
      <c r="D293" t="n">
        <v>610</v>
      </c>
      <c r="F293" t="inlineStr">
        <is>
          <t>Added</t>
        </is>
      </c>
    </row>
    <row r="294">
      <c r="A294" t="inlineStr">
        <is>
          <t>Tyranids</t>
        </is>
      </c>
      <c r="B294" t="inlineStr">
        <is>
          <t>Hierophant</t>
        </is>
      </c>
      <c r="C294" t="inlineStr">
        <is>
          <t>1 model</t>
        </is>
      </c>
      <c r="D294" t="n">
        <v>810</v>
      </c>
      <c r="F294" t="inlineStr">
        <is>
          <t>Added</t>
        </is>
      </c>
    </row>
    <row r="295">
      <c r="A295" t="inlineStr">
        <is>
          <t>Tyranids</t>
        </is>
      </c>
      <c r="B295" t="inlineStr">
        <is>
          <t>Hyperadapted Raveners</t>
        </is>
      </c>
      <c r="C295" t="inlineStr">
        <is>
          <t>5 models</t>
        </is>
      </c>
      <c r="D295" t="n">
        <v>165</v>
      </c>
      <c r="F295" t="inlineStr">
        <is>
          <t>Added</t>
        </is>
      </c>
    </row>
    <row r="296">
      <c r="A296" t="inlineStr">
        <is>
          <t>Tyranids</t>
        </is>
      </c>
      <c r="B296" t="inlineStr">
        <is>
          <t>The Red Terror</t>
        </is>
      </c>
      <c r="C296" t="inlineStr">
        <is>
          <t>1 model</t>
        </is>
      </c>
      <c r="D296" t="n">
        <v>130</v>
      </c>
      <c r="F296" t="inlineStr">
        <is>
          <t>Added</t>
        </is>
      </c>
    </row>
    <row r="297">
      <c r="A297" t="inlineStr">
        <is>
          <t>Tyranids</t>
        </is>
      </c>
      <c r="B297" t="inlineStr">
        <is>
          <t>Tyranid Prime With Lash Whip</t>
        </is>
      </c>
      <c r="C297" t="inlineStr">
        <is>
          <t>1 model</t>
        </is>
      </c>
      <c r="D297" t="n">
        <v>75</v>
      </c>
      <c r="F297" t="inlineStr">
        <is>
          <t>Added</t>
        </is>
      </c>
    </row>
    <row r="298">
      <c r="A298" t="inlineStr">
        <is>
          <t>Tyranids</t>
        </is>
      </c>
      <c r="B298" t="inlineStr">
        <is>
          <t>Venomthropes</t>
        </is>
      </c>
      <c r="C298" t="inlineStr">
        <is>
          <t>3 models</t>
        </is>
      </c>
      <c r="D298" t="n">
        <v>55</v>
      </c>
      <c r="F298" t="inlineStr">
        <is>
          <t>Added</t>
        </is>
      </c>
    </row>
    <row r="299">
      <c r="A299" t="inlineStr">
        <is>
          <t>World Eaters</t>
        </is>
      </c>
      <c r="B299" t="inlineStr">
        <is>
          <t>Bloodcrushers</t>
        </is>
      </c>
      <c r="C299" t="inlineStr">
        <is>
          <t>3 models</t>
        </is>
      </c>
      <c r="D299" t="n">
        <v>95</v>
      </c>
      <c r="F299" t="inlineStr">
        <is>
          <t>Added</t>
        </is>
      </c>
    </row>
    <row r="300">
      <c r="A300" t="inlineStr">
        <is>
          <t>World Eaters</t>
        </is>
      </c>
      <c r="B300" t="inlineStr">
        <is>
          <t>Bloodletters</t>
        </is>
      </c>
      <c r="C300" t="inlineStr">
        <is>
          <t>10 models</t>
        </is>
      </c>
      <c r="D300" t="n">
        <v>90</v>
      </c>
      <c r="F300" t="inlineStr">
        <is>
          <t>Added</t>
        </is>
      </c>
    </row>
    <row r="301">
      <c r="A301" t="inlineStr">
        <is>
          <t>World Eaters</t>
        </is>
      </c>
      <c r="B301" t="inlineStr">
        <is>
          <t>Bloodthirster</t>
        </is>
      </c>
      <c r="C301" t="inlineStr">
        <is>
          <t>1 model</t>
        </is>
      </c>
      <c r="D301" t="n">
        <v>320</v>
      </c>
      <c r="F301" t="inlineStr">
        <is>
          <t>Added</t>
        </is>
      </c>
    </row>
    <row r="302">
      <c r="A302" t="inlineStr">
        <is>
          <t>World Eaters</t>
        </is>
      </c>
      <c r="B302" t="inlineStr">
        <is>
          <t>Chaos Land Raider</t>
        </is>
      </c>
      <c r="C302" t="inlineStr">
        <is>
          <t>1 model</t>
        </is>
      </c>
      <c r="D302" t="n">
        <v>220</v>
      </c>
      <c r="F302" t="inlineStr">
        <is>
          <t>Added</t>
        </is>
      </c>
    </row>
    <row r="303">
      <c r="A303" t="inlineStr">
        <is>
          <t>World Eaters</t>
        </is>
      </c>
      <c r="B303" t="inlineStr">
        <is>
          <t>Chaos Predator Annihilator</t>
        </is>
      </c>
      <c r="C303" t="inlineStr">
        <is>
          <t>1 model</t>
        </is>
      </c>
      <c r="D303" t="n">
        <v>135</v>
      </c>
      <c r="F303" t="inlineStr">
        <is>
          <t>Added</t>
        </is>
      </c>
    </row>
    <row r="304">
      <c r="A304" t="inlineStr">
        <is>
          <t>World Eaters</t>
        </is>
      </c>
      <c r="B304" t="inlineStr">
        <is>
          <t>Chaos Predator Destructor</t>
        </is>
      </c>
      <c r="C304" t="inlineStr">
        <is>
          <t>1 model</t>
        </is>
      </c>
      <c r="D304" t="n">
        <v>135</v>
      </c>
      <c r="F304" t="inlineStr">
        <is>
          <t>Added</t>
        </is>
      </c>
    </row>
    <row r="305">
      <c r="A305" t="inlineStr">
        <is>
          <t>World Eaters</t>
        </is>
      </c>
      <c r="B305" t="inlineStr">
        <is>
          <t>Chaos Rhino</t>
        </is>
      </c>
      <c r="C305" t="inlineStr">
        <is>
          <t>1 model</t>
        </is>
      </c>
      <c r="D305" t="n">
        <v>85</v>
      </c>
      <c r="F305" t="inlineStr">
        <is>
          <t>Added</t>
        </is>
      </c>
    </row>
    <row r="306">
      <c r="A306" t="inlineStr">
        <is>
          <t>World Eaters</t>
        </is>
      </c>
      <c r="B306" t="inlineStr">
        <is>
          <t>Chaos Terminators</t>
        </is>
      </c>
      <c r="C306" t="inlineStr">
        <is>
          <t>5 models</t>
        </is>
      </c>
      <c r="D306" t="n">
        <v>175</v>
      </c>
      <c r="F306" t="inlineStr">
        <is>
          <t>Added</t>
        </is>
      </c>
    </row>
    <row r="307">
      <c r="A307" t="inlineStr">
        <is>
          <t>World Eaters</t>
        </is>
      </c>
      <c r="B307" t="inlineStr">
        <is>
          <t>Daemon Prince Of Khorne</t>
        </is>
      </c>
      <c r="C307" t="inlineStr">
        <is>
          <t>1 model</t>
        </is>
      </c>
      <c r="D307" t="n">
        <v>200</v>
      </c>
      <c r="F307" t="inlineStr">
        <is>
          <t>Added</t>
        </is>
      </c>
    </row>
    <row r="308">
      <c r="A308" t="inlineStr">
        <is>
          <t>World Eaters</t>
        </is>
      </c>
      <c r="B308" t="inlineStr">
        <is>
          <t>Daemon Prince Of Khorne With Wings</t>
        </is>
      </c>
      <c r="C308" t="inlineStr">
        <is>
          <t>1 model</t>
        </is>
      </c>
      <c r="D308" t="n">
        <v>170</v>
      </c>
      <c r="F308" t="inlineStr">
        <is>
          <t>Added</t>
        </is>
      </c>
    </row>
    <row r="309">
      <c r="A309" t="inlineStr">
        <is>
          <t>World Eaters</t>
        </is>
      </c>
      <c r="B309" t="inlineStr">
        <is>
          <t>Flesh Hounds</t>
        </is>
      </c>
      <c r="C309" t="inlineStr">
        <is>
          <t>5 models</t>
        </is>
      </c>
      <c r="D309" t="n">
        <v>75</v>
      </c>
      <c r="F309" t="inlineStr">
        <is>
          <t>Added</t>
        </is>
      </c>
    </row>
    <row r="310">
      <c r="A310" t="inlineStr">
        <is>
          <t>World Eaters</t>
        </is>
      </c>
      <c r="B310" t="inlineStr">
        <is>
          <t>Goremongers</t>
        </is>
      </c>
      <c r="C310" t="inlineStr">
        <is>
          <t>8 models</t>
        </is>
      </c>
      <c r="D310" t="n">
        <v>75</v>
      </c>
      <c r="F310" t="inlineStr">
        <is>
          <t>Added</t>
        </is>
      </c>
    </row>
    <row r="311">
      <c r="A311" t="inlineStr">
        <is>
          <t>World Eaters</t>
        </is>
      </c>
      <c r="B311" t="inlineStr">
        <is>
          <t>Heldrake</t>
        </is>
      </c>
      <c r="C311" t="inlineStr">
        <is>
          <t>1 model</t>
        </is>
      </c>
      <c r="D311" t="n">
        <v>175</v>
      </c>
      <c r="F311" t="inlineStr">
        <is>
          <t>Added</t>
        </is>
      </c>
    </row>
    <row r="312">
      <c r="A312" t="inlineStr">
        <is>
          <t>World Eaters</t>
        </is>
      </c>
      <c r="B312" t="inlineStr">
        <is>
          <t>Skarbrand</t>
        </is>
      </c>
      <c r="C312" t="inlineStr">
        <is>
          <t>1 model</t>
        </is>
      </c>
      <c r="D312" t="n">
        <v>315</v>
      </c>
      <c r="F312" t="inlineStr">
        <is>
          <t>Added</t>
        </is>
      </c>
    </row>
    <row r="313">
      <c r="A313" t="inlineStr">
        <is>
          <t>World Eaters</t>
        </is>
      </c>
      <c r="B313" t="inlineStr">
        <is>
          <t>Slaughterbound</t>
        </is>
      </c>
      <c r="C313" t="inlineStr">
        <is>
          <t>1 model</t>
        </is>
      </c>
      <c r="D313" t="n">
        <v>100</v>
      </c>
      <c r="F313" t="inlineStr">
        <is>
          <t>Added</t>
        </is>
      </c>
    </row>
  </sheetData>
  <mergeCells count="1">
    <mergeCell ref="A1:F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2026-07-12T13:42:58Z</dcterms:created>
  <dcterms:modified xmlns:dcterms="http://purl.org/dc/terms/" xmlns:xsi="http://www.w3.org/2001/XMLSchema-instance" xsi:type="dcterms:W3CDTF">2026-07-12T13:43:00Z</dcterms:modified>
</cp:coreProperties>
</file>